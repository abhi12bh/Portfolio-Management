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bhishek\Downloads\Freelancing\Stock Market Projects\Mutual Funds\"/>
    </mc:Choice>
  </mc:AlternateContent>
  <xr:revisionPtr revIDLastSave="0" documentId="13_ncr:1_{BBEA4C15-B7E9-4EFD-ABA2-1C25856982F9}" xr6:coauthVersionLast="47" xr6:coauthVersionMax="47" xr10:uidLastSave="{00000000-0000-0000-0000-000000000000}"/>
  <bookViews>
    <workbookView xWindow="-110" yWindow="-110" windowWidth="19420" windowHeight="10300" tabRatio="500" firstSheet="12" activeTab="13" xr2:uid="{00000000-000D-0000-FFFF-FFFF00000000}"/>
  </bookViews>
  <sheets>
    <sheet name="rupeevest_fetch_data" sheetId="2" r:id="rId1"/>
    <sheet name="mutual_fund_list" sheetId="3" r:id="rId2"/>
    <sheet name="added_new_stocks" sheetId="6" r:id="rId3"/>
    <sheet name="mutual_fund_analysis" sheetId="1" r:id="rId4"/>
    <sheet name="large_cap_filter_mf" sheetId="13" r:id="rId5"/>
    <sheet name="mid_cap_filter_mf" sheetId="19" r:id="rId6"/>
    <sheet name="small_cap_filter_mf" sheetId="20" r:id="rId7"/>
    <sheet name="final_portfolio" sheetId="24" r:id="rId8"/>
    <sheet name="fund_status_count" sheetId="4" r:id="rId9"/>
    <sheet name="stock_list" sheetId="5" r:id="rId10"/>
    <sheet name="portfolio_analysis" sheetId="8" r:id="rId11"/>
    <sheet name="large_cap_filter_portfolio" sheetId="23" r:id="rId12"/>
    <sheet name="mid_cap_filter_portfolio" sheetId="22" r:id="rId13"/>
    <sheet name="small_cap_filter_portfolio" sheetId="21" r:id="rId14"/>
  </sheets>
  <definedNames>
    <definedName name="_xlnm._FilterDatabase" localSheetId="2" hidden="1">added_new_stocks!$C$6:$H$2143</definedName>
    <definedName name="_xlnm._FilterDatabase" localSheetId="4" hidden="1">large_cap_filter_mf!$A$2:$J$5</definedName>
    <definedName name="_xlnm._FilterDatabase" localSheetId="11" hidden="1">large_cap_filter_portfolio!$A$2:$J$5</definedName>
    <definedName name="_xlnm._FilterDatabase" localSheetId="5" hidden="1">mid_cap_filter_mf!$A$2:$J$5</definedName>
    <definedName name="_xlnm._FilterDatabase" localSheetId="12" hidden="1">mid_cap_filter_portfolio!$A$2:$J$5</definedName>
    <definedName name="_xlnm._FilterDatabase" localSheetId="3" hidden="1">mutual_fund_analysis!$A$5:$BK$1269</definedName>
    <definedName name="_xlnm._FilterDatabase" localSheetId="1" hidden="1">mutual_fund_list!$A$3:$B$3</definedName>
    <definedName name="_xlnm._FilterDatabase" localSheetId="10" hidden="1">portfolio_analysis!$A$5:$BL$5</definedName>
    <definedName name="_xlnm._FilterDatabase" localSheetId="0" hidden="1">rupeevest_fetch_data!$A$4:$I$1137</definedName>
    <definedName name="_xlnm._FilterDatabase" localSheetId="6" hidden="1">small_cap_filter_mf!$A$2:$J$5</definedName>
    <definedName name="_xlnm._FilterDatabase" localSheetId="13" hidden="1">small_cap_filter_portfolio!$A$2:$J$5</definedName>
    <definedName name="_xlcn.WorksheetConnection_rupeevest_fetch_dataA4H10485761" hidden="1">rupeevest_fetch_data!$A$4:$H$1048576</definedName>
    <definedName name="_xlnm.Criteria" localSheetId="4">large_cap_filter_mf!$C$2</definedName>
    <definedName name="_xlnm.Criteria" localSheetId="11">large_cap_filter_portfolio!$C$2</definedName>
    <definedName name="_xlnm.Criteria" localSheetId="5">mid_cap_filter_mf!$C$2</definedName>
    <definedName name="_xlnm.Criteria" localSheetId="12">mid_cap_filter_portfolio!$C$2</definedName>
    <definedName name="_xlnm.Criteria" localSheetId="6">small_cap_filter_mf!$C$2</definedName>
    <definedName name="_xlnm.Criteria" localSheetId="13">small_cap_filter_portfolio!$C$2</definedName>
    <definedName name="_xlnm.Extract" localSheetId="4">large_cap_filter_mf!#REF!</definedName>
    <definedName name="_xlnm.Extract" localSheetId="11">large_cap_filter_portfolio!#REF!</definedName>
    <definedName name="_xlnm.Extract" localSheetId="5">mid_cap_filter_mf!#REF!</definedName>
    <definedName name="_xlnm.Extract" localSheetId="12">mid_cap_filter_portfolio!#REF!</definedName>
    <definedName name="_xlnm.Extract" localSheetId="6">small_cap_filter_mf!#REF!</definedName>
    <definedName name="_xlnm.Extract" localSheetId="13">small_cap_filter_portfolio!#REF!</definedName>
  </definedNames>
  <calcPr calcId="191029"/>
  <pivotCaches>
    <pivotCache cacheId="0" r:id="rId15"/>
  </pivotCaches>
  <extLst>
    <ext xmlns:x15="http://schemas.microsoft.com/office/spreadsheetml/2010/11/main" uri="{FCE2AD5D-F65C-4FA6-A056-5C36A1767C68}">
      <x15:dataModel>
        <x15:modelTables>
          <x15:modelTable id="Range" name="Range" connection="WorksheetConnection_rupeevest_fetch_data!$A$4:$H$1048576"/>
        </x15:modelTables>
      </x15:dataModel>
    </ext>
  </extLst>
</workbook>
</file>

<file path=xl/calcChain.xml><?xml version="1.0" encoding="utf-8"?>
<calcChain xmlns="http://schemas.openxmlformats.org/spreadsheetml/2006/main">
  <c r="B15" i="8" l="1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7" i="8"/>
  <c r="B8" i="8"/>
  <c r="B9" i="8"/>
  <c r="B10" i="8"/>
  <c r="B11" i="8"/>
  <c r="B12" i="8"/>
  <c r="B13" i="8"/>
  <c r="B14" i="8"/>
  <c r="B6" i="8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D8" i="6"/>
  <c r="D9" i="6"/>
  <c r="D10" i="6"/>
  <c r="D11" i="6"/>
  <c r="D12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5" i="6"/>
  <c r="D36" i="6"/>
  <c r="D37" i="6"/>
  <c r="D38" i="6"/>
  <c r="D39" i="6"/>
  <c r="D40" i="6"/>
  <c r="D41" i="6"/>
  <c r="D42" i="6"/>
  <c r="D43" i="6"/>
  <c r="D45" i="6"/>
  <c r="D46" i="6"/>
  <c r="D47" i="6"/>
  <c r="D48" i="6"/>
  <c r="D49" i="6"/>
  <c r="D50" i="6"/>
  <c r="D51" i="6"/>
  <c r="D52" i="6"/>
  <c r="D53" i="6"/>
  <c r="D54" i="6"/>
  <c r="D55" i="6"/>
  <c r="D56" i="6"/>
  <c r="D58" i="6"/>
  <c r="D61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9" i="6"/>
  <c r="D90" i="6"/>
  <c r="D91" i="6"/>
  <c r="D92" i="6"/>
  <c r="D93" i="6"/>
  <c r="D94" i="6"/>
  <c r="D95" i="6"/>
  <c r="D99" i="6"/>
  <c r="D100" i="6"/>
  <c r="D101" i="6"/>
  <c r="D102" i="6"/>
  <c r="D103" i="6"/>
  <c r="D104" i="6"/>
  <c r="D105" i="6"/>
  <c r="D106" i="6"/>
  <c r="D107" i="6"/>
  <c r="D108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4" i="6"/>
  <c r="D137" i="6"/>
  <c r="D139" i="6"/>
  <c r="D140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8" i="6"/>
  <c r="D159" i="6"/>
  <c r="D160" i="6"/>
  <c r="D161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6" i="6"/>
  <c r="D177" i="6"/>
  <c r="D179" i="6"/>
  <c r="D180" i="6"/>
  <c r="D181" i="6"/>
  <c r="D182" i="6"/>
  <c r="D183" i="6"/>
  <c r="D184" i="6"/>
  <c r="D185" i="6"/>
  <c r="D186" i="6"/>
  <c r="D187" i="6"/>
  <c r="D188" i="6"/>
  <c r="D190" i="6"/>
  <c r="D191" i="6"/>
  <c r="D192" i="6"/>
  <c r="D194" i="6"/>
  <c r="D195" i="6"/>
  <c r="D197" i="6"/>
  <c r="D198" i="6"/>
  <c r="D199" i="6"/>
  <c r="D201" i="6"/>
  <c r="D202" i="6"/>
  <c r="D203" i="6"/>
  <c r="D204" i="6"/>
  <c r="D205" i="6"/>
  <c r="D206" i="6"/>
  <c r="D207" i="6"/>
  <c r="D208" i="6"/>
  <c r="D209" i="6"/>
  <c r="D210" i="6"/>
  <c r="D211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3" i="6"/>
  <c r="D264" i="6"/>
  <c r="D265" i="6"/>
  <c r="D266" i="6"/>
  <c r="D267" i="6"/>
  <c r="D268" i="6"/>
  <c r="D269" i="6"/>
  <c r="D270" i="6"/>
  <c r="D271" i="6"/>
  <c r="D272" i="6"/>
  <c r="D274" i="6"/>
  <c r="D276" i="6"/>
  <c r="D277" i="6"/>
  <c r="D278" i="6"/>
  <c r="D279" i="6"/>
  <c r="D280" i="6"/>
  <c r="D281" i="6"/>
  <c r="D282" i="6"/>
  <c r="D283" i="6"/>
  <c r="D284" i="6"/>
  <c r="D285" i="6"/>
  <c r="D286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5" i="6"/>
  <c r="D316" i="6"/>
  <c r="D317" i="6"/>
  <c r="D319" i="6"/>
  <c r="D320" i="6"/>
  <c r="D321" i="6"/>
  <c r="D322" i="6"/>
  <c r="D323" i="6"/>
  <c r="D324" i="6"/>
  <c r="D325" i="6"/>
  <c r="D327" i="6"/>
  <c r="D328" i="6"/>
  <c r="D329" i="6"/>
  <c r="D330" i="6"/>
  <c r="D331" i="6"/>
  <c r="D332" i="6"/>
  <c r="D333" i="6"/>
  <c r="D336" i="6"/>
  <c r="D337" i="6"/>
  <c r="D338" i="6"/>
  <c r="D340" i="6"/>
  <c r="D341" i="6"/>
  <c r="D342" i="6"/>
  <c r="D343" i="6"/>
  <c r="D344" i="6"/>
  <c r="D345" i="6"/>
  <c r="D346" i="6"/>
  <c r="D347" i="6"/>
  <c r="D348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3" i="6"/>
  <c r="D364" i="6"/>
  <c r="D365" i="6"/>
  <c r="D366" i="6"/>
  <c r="D367" i="6"/>
  <c r="D368" i="6"/>
  <c r="D369" i="6"/>
  <c r="D370" i="6"/>
  <c r="D371" i="6"/>
  <c r="D372" i="6"/>
  <c r="D373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9" i="6"/>
  <c r="D410" i="6"/>
  <c r="D411" i="6"/>
  <c r="D412" i="6"/>
  <c r="D413" i="6"/>
  <c r="D414" i="6"/>
  <c r="D415" i="6"/>
  <c r="D416" i="6"/>
  <c r="D417" i="6"/>
  <c r="D418" i="6"/>
  <c r="D419" i="6"/>
  <c r="D421" i="6"/>
  <c r="D423" i="6"/>
  <c r="D424" i="6"/>
  <c r="D425" i="6"/>
  <c r="D426" i="6"/>
  <c r="D427" i="6"/>
  <c r="D428" i="6"/>
  <c r="D429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7" i="6"/>
  <c r="D448" i="6"/>
  <c r="D449" i="6"/>
  <c r="D450" i="6"/>
  <c r="D451" i="6"/>
  <c r="D452" i="6"/>
  <c r="D453" i="6"/>
  <c r="D454" i="6"/>
  <c r="D455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9" i="6"/>
  <c r="D540" i="6"/>
  <c r="D541" i="6"/>
  <c r="D542" i="6"/>
  <c r="D544" i="6"/>
  <c r="D545" i="6"/>
  <c r="D546" i="6"/>
  <c r="D548" i="6"/>
  <c r="D549" i="6"/>
  <c r="D550" i="6"/>
  <c r="D551" i="6"/>
  <c r="D552" i="6"/>
  <c r="D553" i="6"/>
  <c r="D554" i="6"/>
  <c r="D555" i="6"/>
  <c r="D557" i="6"/>
  <c r="D559" i="6"/>
  <c r="D560" i="6"/>
  <c r="D562" i="6"/>
  <c r="D563" i="6"/>
  <c r="D564" i="6"/>
  <c r="D565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K3" i="23"/>
  <c r="K3" i="22"/>
  <c r="K3" i="21"/>
  <c r="K3" i="20"/>
  <c r="K3" i="19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2" i="1"/>
  <c r="BK233" i="1"/>
  <c r="BK234" i="1"/>
  <c r="BK235" i="1"/>
  <c r="BK236" i="1"/>
  <c r="BK237" i="1"/>
  <c r="BK238" i="1"/>
  <c r="BK239" i="1"/>
  <c r="BK240" i="1"/>
  <c r="BK241" i="1"/>
  <c r="BK242" i="1"/>
  <c r="BK243" i="1"/>
  <c r="BK244" i="1"/>
  <c r="BK245" i="1"/>
  <c r="BK246" i="1"/>
  <c r="BK247" i="1"/>
  <c r="BK248" i="1"/>
  <c r="BK249" i="1"/>
  <c r="BK250" i="1"/>
  <c r="BK251" i="1"/>
  <c r="BK252" i="1"/>
  <c r="BK253" i="1"/>
  <c r="BK254" i="1"/>
  <c r="BK255" i="1"/>
  <c r="BK256" i="1"/>
  <c r="BK257" i="1"/>
  <c r="BK258" i="1"/>
  <c r="BK259" i="1"/>
  <c r="BK260" i="1"/>
  <c r="BK261" i="1"/>
  <c r="BK262" i="1"/>
  <c r="BK263" i="1"/>
  <c r="BK264" i="1"/>
  <c r="BK265" i="1"/>
  <c r="BK266" i="1"/>
  <c r="BK267" i="1"/>
  <c r="BK268" i="1"/>
  <c r="BK269" i="1"/>
  <c r="BK270" i="1"/>
  <c r="BK271" i="1"/>
  <c r="BK272" i="1"/>
  <c r="BK273" i="1"/>
  <c r="BK274" i="1"/>
  <c r="BK275" i="1"/>
  <c r="BK276" i="1"/>
  <c r="BK277" i="1"/>
  <c r="BK278" i="1"/>
  <c r="BK279" i="1"/>
  <c r="BK280" i="1"/>
  <c r="BK281" i="1"/>
  <c r="BK282" i="1"/>
  <c r="BK283" i="1"/>
  <c r="BK284" i="1"/>
  <c r="BK285" i="1"/>
  <c r="BK286" i="1"/>
  <c r="BK287" i="1"/>
  <c r="BK288" i="1"/>
  <c r="BK289" i="1"/>
  <c r="BK290" i="1"/>
  <c r="BK291" i="1"/>
  <c r="BK292" i="1"/>
  <c r="BK293" i="1"/>
  <c r="BK294" i="1"/>
  <c r="BK295" i="1"/>
  <c r="BK296" i="1"/>
  <c r="BK297" i="1"/>
  <c r="BK298" i="1"/>
  <c r="BK299" i="1"/>
  <c r="BK300" i="1"/>
  <c r="BK301" i="1"/>
  <c r="BK302" i="1"/>
  <c r="BK303" i="1"/>
  <c r="BK304" i="1"/>
  <c r="BK305" i="1"/>
  <c r="BK306" i="1"/>
  <c r="BK307" i="1"/>
  <c r="BK308" i="1"/>
  <c r="BK309" i="1"/>
  <c r="BK310" i="1"/>
  <c r="BK311" i="1"/>
  <c r="BK312" i="1"/>
  <c r="BK313" i="1"/>
  <c r="BK314" i="1"/>
  <c r="BK315" i="1"/>
  <c r="BK316" i="1"/>
  <c r="BK317" i="1"/>
  <c r="BK318" i="1"/>
  <c r="BK319" i="1"/>
  <c r="BK320" i="1"/>
  <c r="BK321" i="1"/>
  <c r="BK322" i="1"/>
  <c r="BK323" i="1"/>
  <c r="BK324" i="1"/>
  <c r="BK325" i="1"/>
  <c r="BK326" i="1"/>
  <c r="BK327" i="1"/>
  <c r="BK328" i="1"/>
  <c r="BK329" i="1"/>
  <c r="BK330" i="1"/>
  <c r="BK331" i="1"/>
  <c r="BK332" i="1"/>
  <c r="BK333" i="1"/>
  <c r="BK334" i="1"/>
  <c r="BK335" i="1"/>
  <c r="BK336" i="1"/>
  <c r="BK337" i="1"/>
  <c r="BK338" i="1"/>
  <c r="BK339" i="1"/>
  <c r="BK340" i="1"/>
  <c r="BK341" i="1"/>
  <c r="BK342" i="1"/>
  <c r="BK343" i="1"/>
  <c r="BK344" i="1"/>
  <c r="BK345" i="1"/>
  <c r="BK346" i="1"/>
  <c r="BK347" i="1"/>
  <c r="BK348" i="1"/>
  <c r="BK349" i="1"/>
  <c r="BK350" i="1"/>
  <c r="BK351" i="1"/>
  <c r="BK352" i="1"/>
  <c r="BK353" i="1"/>
  <c r="BK354" i="1"/>
  <c r="BK355" i="1"/>
  <c r="BK356" i="1"/>
  <c r="BK357" i="1"/>
  <c r="BK358" i="1"/>
  <c r="BK359" i="1"/>
  <c r="BK360" i="1"/>
  <c r="BK361" i="1"/>
  <c r="BK362" i="1"/>
  <c r="BK363" i="1"/>
  <c r="BK364" i="1"/>
  <c r="BK365" i="1"/>
  <c r="BK366" i="1"/>
  <c r="BK367" i="1"/>
  <c r="BK368" i="1"/>
  <c r="BK369" i="1"/>
  <c r="BK370" i="1"/>
  <c r="BK371" i="1"/>
  <c r="BK372" i="1"/>
  <c r="BK373" i="1"/>
  <c r="BK374" i="1"/>
  <c r="BK375" i="1"/>
  <c r="BK376" i="1"/>
  <c r="BK377" i="1"/>
  <c r="BK378" i="1"/>
  <c r="BK379" i="1"/>
  <c r="BK380" i="1"/>
  <c r="BK381" i="1"/>
  <c r="BK382" i="1"/>
  <c r="BK383" i="1"/>
  <c r="BK384" i="1"/>
  <c r="BK385" i="1"/>
  <c r="BK386" i="1"/>
  <c r="BK387" i="1"/>
  <c r="BK388" i="1"/>
  <c r="BK389" i="1"/>
  <c r="BK390" i="1"/>
  <c r="BK391" i="1"/>
  <c r="BK392" i="1"/>
  <c r="BK393" i="1"/>
  <c r="BK394" i="1"/>
  <c r="BK395" i="1"/>
  <c r="BK396" i="1"/>
  <c r="BK397" i="1"/>
  <c r="BK398" i="1"/>
  <c r="BK399" i="1"/>
  <c r="BK400" i="1"/>
  <c r="BK401" i="1"/>
  <c r="BK402" i="1"/>
  <c r="BK403" i="1"/>
  <c r="BK404" i="1"/>
  <c r="BK405" i="1"/>
  <c r="BK406" i="1"/>
  <c r="BK407" i="1"/>
  <c r="BK408" i="1"/>
  <c r="BK409" i="1"/>
  <c r="BK410" i="1"/>
  <c r="BK411" i="1"/>
  <c r="BK412" i="1"/>
  <c r="BK413" i="1"/>
  <c r="BK414" i="1"/>
  <c r="BK415" i="1"/>
  <c r="BK416" i="1"/>
  <c r="BK417" i="1"/>
  <c r="BK418" i="1"/>
  <c r="BK419" i="1"/>
  <c r="BK420" i="1"/>
  <c r="BK421" i="1"/>
  <c r="BK422" i="1"/>
  <c r="BK423" i="1"/>
  <c r="BK424" i="1"/>
  <c r="BK425" i="1"/>
  <c r="BK426" i="1"/>
  <c r="BK427" i="1"/>
  <c r="BK428" i="1"/>
  <c r="BK429" i="1"/>
  <c r="BK430" i="1"/>
  <c r="BK431" i="1"/>
  <c r="BK432" i="1"/>
  <c r="BK433" i="1"/>
  <c r="BK434" i="1"/>
  <c r="BK435" i="1"/>
  <c r="BK436" i="1"/>
  <c r="BK437" i="1"/>
  <c r="BK438" i="1"/>
  <c r="BK439" i="1"/>
  <c r="BK440" i="1"/>
  <c r="BK441" i="1"/>
  <c r="BK442" i="1"/>
  <c r="BK443" i="1"/>
  <c r="BK444" i="1"/>
  <c r="BK445" i="1"/>
  <c r="BK446" i="1"/>
  <c r="BK447" i="1"/>
  <c r="BK448" i="1"/>
  <c r="BK449" i="1"/>
  <c r="BK450" i="1"/>
  <c r="BK451" i="1"/>
  <c r="BK452" i="1"/>
  <c r="BK453" i="1"/>
  <c r="BK454" i="1"/>
  <c r="BK455" i="1"/>
  <c r="BK456" i="1"/>
  <c r="BK457" i="1"/>
  <c r="BK458" i="1"/>
  <c r="BK459" i="1"/>
  <c r="BK460" i="1"/>
  <c r="BK461" i="1"/>
  <c r="BK462" i="1"/>
  <c r="BK463" i="1"/>
  <c r="BK464" i="1"/>
  <c r="BK465" i="1"/>
  <c r="BK466" i="1"/>
  <c r="BK467" i="1"/>
  <c r="BK468" i="1"/>
  <c r="BK469" i="1"/>
  <c r="BK470" i="1"/>
  <c r="BK471" i="1"/>
  <c r="BK472" i="1"/>
  <c r="BK473" i="1"/>
  <c r="BK474" i="1"/>
  <c r="BK475" i="1"/>
  <c r="BK476" i="1"/>
  <c r="BK477" i="1"/>
  <c r="BK478" i="1"/>
  <c r="BK479" i="1"/>
  <c r="BK480" i="1"/>
  <c r="BK481" i="1"/>
  <c r="BK482" i="1"/>
  <c r="BK483" i="1"/>
  <c r="BK484" i="1"/>
  <c r="BK485" i="1"/>
  <c r="BK486" i="1"/>
  <c r="BK487" i="1"/>
  <c r="BK488" i="1"/>
  <c r="BK489" i="1"/>
  <c r="BK490" i="1"/>
  <c r="BK491" i="1"/>
  <c r="BK492" i="1"/>
  <c r="BK493" i="1"/>
  <c r="BK494" i="1"/>
  <c r="BK495" i="1"/>
  <c r="BK496" i="1"/>
  <c r="BK497" i="1"/>
  <c r="BK498" i="1"/>
  <c r="BK499" i="1"/>
  <c r="BK500" i="1"/>
  <c r="BK501" i="1"/>
  <c r="BK502" i="1"/>
  <c r="BK503" i="1"/>
  <c r="BK504" i="1"/>
  <c r="BK505" i="1"/>
  <c r="BK506" i="1"/>
  <c r="BK507" i="1"/>
  <c r="BK508" i="1"/>
  <c r="BK509" i="1"/>
  <c r="BK510" i="1"/>
  <c r="BK511" i="1"/>
  <c r="BK512" i="1"/>
  <c r="BK513" i="1"/>
  <c r="BK514" i="1"/>
  <c r="BK515" i="1"/>
  <c r="BK516" i="1"/>
  <c r="BK517" i="1"/>
  <c r="BK518" i="1"/>
  <c r="BK519" i="1"/>
  <c r="BK520" i="1"/>
  <c r="BK521" i="1"/>
  <c r="BK522" i="1"/>
  <c r="BK523" i="1"/>
  <c r="BK524" i="1"/>
  <c r="BK525" i="1"/>
  <c r="BK526" i="1"/>
  <c r="BK527" i="1"/>
  <c r="BK528" i="1"/>
  <c r="BK529" i="1"/>
  <c r="BK530" i="1"/>
  <c r="BK531" i="1"/>
  <c r="BK532" i="1"/>
  <c r="BK533" i="1"/>
  <c r="BK534" i="1"/>
  <c r="BK535" i="1"/>
  <c r="BK536" i="1"/>
  <c r="BK537" i="1"/>
  <c r="BK538" i="1"/>
  <c r="BK539" i="1"/>
  <c r="BK540" i="1"/>
  <c r="BK541" i="1"/>
  <c r="BK542" i="1"/>
  <c r="BK543" i="1"/>
  <c r="BK544" i="1"/>
  <c r="BK545" i="1"/>
  <c r="BK546" i="1"/>
  <c r="BK547" i="1"/>
  <c r="BK548" i="1"/>
  <c r="BK549" i="1"/>
  <c r="BK550" i="1"/>
  <c r="BK551" i="1"/>
  <c r="BK552" i="1"/>
  <c r="BK553" i="1"/>
  <c r="BK554" i="1"/>
  <c r="BK555" i="1"/>
  <c r="BK556" i="1"/>
  <c r="BK557" i="1"/>
  <c r="BK558" i="1"/>
  <c r="BK559" i="1"/>
  <c r="BK560" i="1"/>
  <c r="BK561" i="1"/>
  <c r="BK562" i="1"/>
  <c r="BK563" i="1"/>
  <c r="BK564" i="1"/>
  <c r="BK565" i="1"/>
  <c r="BK566" i="1"/>
  <c r="BK567" i="1"/>
  <c r="BK568" i="1"/>
  <c r="BK569" i="1"/>
  <c r="BK570" i="1"/>
  <c r="BK571" i="1"/>
  <c r="BK572" i="1"/>
  <c r="BK573" i="1"/>
  <c r="BK574" i="1"/>
  <c r="BK575" i="1"/>
  <c r="BK576" i="1"/>
  <c r="BK577" i="1"/>
  <c r="BK578" i="1"/>
  <c r="BK579" i="1"/>
  <c r="BK580" i="1"/>
  <c r="BK581" i="1"/>
  <c r="BK582" i="1"/>
  <c r="BK583" i="1"/>
  <c r="BK584" i="1"/>
  <c r="BK585" i="1"/>
  <c r="BK586" i="1"/>
  <c r="BK587" i="1"/>
  <c r="BK588" i="1"/>
  <c r="BK589" i="1"/>
  <c r="BK590" i="1"/>
  <c r="BK591" i="1"/>
  <c r="BK592" i="1"/>
  <c r="BK593" i="1"/>
  <c r="BK594" i="1"/>
  <c r="BK595" i="1"/>
  <c r="BK596" i="1"/>
  <c r="BK597" i="1"/>
  <c r="BK598" i="1"/>
  <c r="BK599" i="1"/>
  <c r="BK600" i="1"/>
  <c r="BK601" i="1"/>
  <c r="BK602" i="1"/>
  <c r="BK603" i="1"/>
  <c r="BK604" i="1"/>
  <c r="BK605" i="1"/>
  <c r="BK606" i="1"/>
  <c r="BK607" i="1"/>
  <c r="BK608" i="1"/>
  <c r="BK609" i="1"/>
  <c r="BK610" i="1"/>
  <c r="BK611" i="1"/>
  <c r="BK612" i="1"/>
  <c r="BK613" i="1"/>
  <c r="BK614" i="1"/>
  <c r="BK615" i="1"/>
  <c r="BK616" i="1"/>
  <c r="BK617" i="1"/>
  <c r="BK618" i="1"/>
  <c r="BK619" i="1"/>
  <c r="BK620" i="1"/>
  <c r="BK621" i="1"/>
  <c r="BK622" i="1"/>
  <c r="BK623" i="1"/>
  <c r="BK624" i="1"/>
  <c r="BK625" i="1"/>
  <c r="BK626" i="1"/>
  <c r="BK627" i="1"/>
  <c r="BK628" i="1"/>
  <c r="BK629" i="1"/>
  <c r="BK630" i="1"/>
  <c r="BK631" i="1"/>
  <c r="BK632" i="1"/>
  <c r="BK633" i="1"/>
  <c r="BK634" i="1"/>
  <c r="BK635" i="1"/>
  <c r="BK636" i="1"/>
  <c r="BK637" i="1"/>
  <c r="BK638" i="1"/>
  <c r="BK639" i="1"/>
  <c r="BK640" i="1"/>
  <c r="BK641" i="1"/>
  <c r="BK642" i="1"/>
  <c r="BK643" i="1"/>
  <c r="BK644" i="1"/>
  <c r="BK645" i="1"/>
  <c r="BK646" i="1"/>
  <c r="BK647" i="1"/>
  <c r="BK648" i="1"/>
  <c r="BK649" i="1"/>
  <c r="BK650" i="1"/>
  <c r="BK651" i="1"/>
  <c r="BK652" i="1"/>
  <c r="BK653" i="1"/>
  <c r="BK654" i="1"/>
  <c r="BK655" i="1"/>
  <c r="BK656" i="1"/>
  <c r="BK657" i="1"/>
  <c r="BK658" i="1"/>
  <c r="BK659" i="1"/>
  <c r="BK660" i="1"/>
  <c r="BK661" i="1"/>
  <c r="BK662" i="1"/>
  <c r="BK663" i="1"/>
  <c r="BK664" i="1"/>
  <c r="BK665" i="1"/>
  <c r="BK666" i="1"/>
  <c r="BK667" i="1"/>
  <c r="BK668" i="1"/>
  <c r="BK669" i="1"/>
  <c r="BK670" i="1"/>
  <c r="BK671" i="1"/>
  <c r="BK672" i="1"/>
  <c r="BK673" i="1"/>
  <c r="BK674" i="1"/>
  <c r="BK675" i="1"/>
  <c r="BK676" i="1"/>
  <c r="BK677" i="1"/>
  <c r="BK678" i="1"/>
  <c r="BK679" i="1"/>
  <c r="BK680" i="1"/>
  <c r="BK681" i="1"/>
  <c r="BK682" i="1"/>
  <c r="BK683" i="1"/>
  <c r="BK684" i="1"/>
  <c r="BK685" i="1"/>
  <c r="BK686" i="1"/>
  <c r="BK687" i="1"/>
  <c r="BK688" i="1"/>
  <c r="BK689" i="1"/>
  <c r="BK690" i="1"/>
  <c r="BK691" i="1"/>
  <c r="BK692" i="1"/>
  <c r="BK693" i="1"/>
  <c r="BK694" i="1"/>
  <c r="BK695" i="1"/>
  <c r="BK696" i="1"/>
  <c r="BK697" i="1"/>
  <c r="BK698" i="1"/>
  <c r="BK699" i="1"/>
  <c r="BK700" i="1"/>
  <c r="BK701" i="1"/>
  <c r="BK702" i="1"/>
  <c r="BK703" i="1"/>
  <c r="BK704" i="1"/>
  <c r="BK705" i="1"/>
  <c r="BK706" i="1"/>
  <c r="BK707" i="1"/>
  <c r="BK708" i="1"/>
  <c r="BK709" i="1"/>
  <c r="BK710" i="1"/>
  <c r="BK711" i="1"/>
  <c r="BK712" i="1"/>
  <c r="BK713" i="1"/>
  <c r="BK714" i="1"/>
  <c r="BK715" i="1"/>
  <c r="BK716" i="1"/>
  <c r="BK717" i="1"/>
  <c r="BK718" i="1"/>
  <c r="BK719" i="1"/>
  <c r="BK720" i="1"/>
  <c r="BK721" i="1"/>
  <c r="BK722" i="1"/>
  <c r="BK723" i="1"/>
  <c r="BK724" i="1"/>
  <c r="BK725" i="1"/>
  <c r="BK726" i="1"/>
  <c r="BK727" i="1"/>
  <c r="BK728" i="1"/>
  <c r="BK729" i="1"/>
  <c r="BK730" i="1"/>
  <c r="BK731" i="1"/>
  <c r="BK732" i="1"/>
  <c r="BK733" i="1"/>
  <c r="BK734" i="1"/>
  <c r="BK735" i="1"/>
  <c r="BK736" i="1"/>
  <c r="BK737" i="1"/>
  <c r="BK738" i="1"/>
  <c r="BK739" i="1"/>
  <c r="BK740" i="1"/>
  <c r="BK741" i="1"/>
  <c r="BK742" i="1"/>
  <c r="BK743" i="1"/>
  <c r="BK744" i="1"/>
  <c r="BK745" i="1"/>
  <c r="BK746" i="1"/>
  <c r="BK747" i="1"/>
  <c r="BK748" i="1"/>
  <c r="BK749" i="1"/>
  <c r="BK750" i="1"/>
  <c r="BK751" i="1"/>
  <c r="BK752" i="1"/>
  <c r="BK753" i="1"/>
  <c r="BK754" i="1"/>
  <c r="BK755" i="1"/>
  <c r="BK756" i="1"/>
  <c r="BK757" i="1"/>
  <c r="BK758" i="1"/>
  <c r="BK759" i="1"/>
  <c r="BK760" i="1"/>
  <c r="BK761" i="1"/>
  <c r="BK762" i="1"/>
  <c r="BK763" i="1"/>
  <c r="BK764" i="1"/>
  <c r="BK765" i="1"/>
  <c r="BK766" i="1"/>
  <c r="BK767" i="1"/>
  <c r="BK768" i="1"/>
  <c r="BK769" i="1"/>
  <c r="BK770" i="1"/>
  <c r="BK771" i="1"/>
  <c r="BK772" i="1"/>
  <c r="BK773" i="1"/>
  <c r="BK774" i="1"/>
  <c r="BK775" i="1"/>
  <c r="BK776" i="1"/>
  <c r="BK777" i="1"/>
  <c r="BK778" i="1"/>
  <c r="BK779" i="1"/>
  <c r="BK780" i="1"/>
  <c r="BK781" i="1"/>
  <c r="BK782" i="1"/>
  <c r="BK783" i="1"/>
  <c r="BK784" i="1"/>
  <c r="BK785" i="1"/>
  <c r="BK786" i="1"/>
  <c r="BK787" i="1"/>
  <c r="BK788" i="1"/>
  <c r="BK789" i="1"/>
  <c r="BK790" i="1"/>
  <c r="BK791" i="1"/>
  <c r="BK792" i="1"/>
  <c r="BK793" i="1"/>
  <c r="BK794" i="1"/>
  <c r="BK795" i="1"/>
  <c r="BK796" i="1"/>
  <c r="BK797" i="1"/>
  <c r="BK798" i="1"/>
  <c r="BK799" i="1"/>
  <c r="BK800" i="1"/>
  <c r="BK801" i="1"/>
  <c r="BK802" i="1"/>
  <c r="BK803" i="1"/>
  <c r="BK804" i="1"/>
  <c r="BK805" i="1"/>
  <c r="BK806" i="1"/>
  <c r="BK807" i="1"/>
  <c r="BK808" i="1"/>
  <c r="BK809" i="1"/>
  <c r="BK810" i="1"/>
  <c r="BK811" i="1"/>
  <c r="BK812" i="1"/>
  <c r="BK813" i="1"/>
  <c r="BK814" i="1"/>
  <c r="BK815" i="1"/>
  <c r="BK816" i="1"/>
  <c r="BK817" i="1"/>
  <c r="BK818" i="1"/>
  <c r="BK819" i="1"/>
  <c r="BK820" i="1"/>
  <c r="BK821" i="1"/>
  <c r="BK822" i="1"/>
  <c r="BK823" i="1"/>
  <c r="BK824" i="1"/>
  <c r="BK825" i="1"/>
  <c r="BK826" i="1"/>
  <c r="BK827" i="1"/>
  <c r="BK828" i="1"/>
  <c r="BK829" i="1"/>
  <c r="BK830" i="1"/>
  <c r="BK831" i="1"/>
  <c r="BK832" i="1"/>
  <c r="BK833" i="1"/>
  <c r="BK834" i="1"/>
  <c r="BK835" i="1"/>
  <c r="BK836" i="1"/>
  <c r="BK837" i="1"/>
  <c r="BK838" i="1"/>
  <c r="BK839" i="1"/>
  <c r="BK840" i="1"/>
  <c r="BK841" i="1"/>
  <c r="BK842" i="1"/>
  <c r="BK843" i="1"/>
  <c r="BK844" i="1"/>
  <c r="BK845" i="1"/>
  <c r="BK846" i="1"/>
  <c r="BK847" i="1"/>
  <c r="BK848" i="1"/>
  <c r="BK849" i="1"/>
  <c r="BK850" i="1"/>
  <c r="BK851" i="1"/>
  <c r="BK852" i="1"/>
  <c r="BK853" i="1"/>
  <c r="BK854" i="1"/>
  <c r="BK855" i="1"/>
  <c r="BK856" i="1"/>
  <c r="BK857" i="1"/>
  <c r="BK858" i="1"/>
  <c r="BK859" i="1"/>
  <c r="BK860" i="1"/>
  <c r="BK861" i="1"/>
  <c r="BK862" i="1"/>
  <c r="BK863" i="1"/>
  <c r="BK864" i="1"/>
  <c r="BK865" i="1"/>
  <c r="BK866" i="1"/>
  <c r="BK867" i="1"/>
  <c r="BK868" i="1"/>
  <c r="BK869" i="1"/>
  <c r="BK870" i="1"/>
  <c r="BK871" i="1"/>
  <c r="BK872" i="1"/>
  <c r="BK873" i="1"/>
  <c r="BK874" i="1"/>
  <c r="BK875" i="1"/>
  <c r="BK876" i="1"/>
  <c r="BK877" i="1"/>
  <c r="BK878" i="1"/>
  <c r="BK879" i="1"/>
  <c r="BK880" i="1"/>
  <c r="BK881" i="1"/>
  <c r="BK882" i="1"/>
  <c r="BK883" i="1"/>
  <c r="BK884" i="1"/>
  <c r="BK885" i="1"/>
  <c r="BK886" i="1"/>
  <c r="BK887" i="1"/>
  <c r="BK888" i="1"/>
  <c r="BK889" i="1"/>
  <c r="BK890" i="1"/>
  <c r="BK891" i="1"/>
  <c r="BK892" i="1"/>
  <c r="BK893" i="1"/>
  <c r="BK894" i="1"/>
  <c r="BK895" i="1"/>
  <c r="BK896" i="1"/>
  <c r="BK897" i="1"/>
  <c r="BK898" i="1"/>
  <c r="BK899" i="1"/>
  <c r="BK900" i="1"/>
  <c r="BK901" i="1"/>
  <c r="BK902" i="1"/>
  <c r="BK903" i="1"/>
  <c r="BK904" i="1"/>
  <c r="BK905" i="1"/>
  <c r="BK906" i="1"/>
  <c r="BK907" i="1"/>
  <c r="BK908" i="1"/>
  <c r="BK909" i="1"/>
  <c r="BK910" i="1"/>
  <c r="BK911" i="1"/>
  <c r="BK912" i="1"/>
  <c r="BK913" i="1"/>
  <c r="BK914" i="1"/>
  <c r="BK915" i="1"/>
  <c r="BK916" i="1"/>
  <c r="BK917" i="1"/>
  <c r="BK918" i="1"/>
  <c r="BK919" i="1"/>
  <c r="BK920" i="1"/>
  <c r="BK921" i="1"/>
  <c r="BK922" i="1"/>
  <c r="BK923" i="1"/>
  <c r="BK924" i="1"/>
  <c r="BK925" i="1"/>
  <c r="BK926" i="1"/>
  <c r="BK927" i="1"/>
  <c r="BK928" i="1"/>
  <c r="BK929" i="1"/>
  <c r="BK930" i="1"/>
  <c r="BK931" i="1"/>
  <c r="BK932" i="1"/>
  <c r="BK933" i="1"/>
  <c r="BK934" i="1"/>
  <c r="BK935" i="1"/>
  <c r="BK936" i="1"/>
  <c r="BK937" i="1"/>
  <c r="BK938" i="1"/>
  <c r="BK939" i="1"/>
  <c r="BK940" i="1"/>
  <c r="BK941" i="1"/>
  <c r="BK942" i="1"/>
  <c r="BK943" i="1"/>
  <c r="BK944" i="1"/>
  <c r="BK945" i="1"/>
  <c r="BK946" i="1"/>
  <c r="BK947" i="1"/>
  <c r="BK948" i="1"/>
  <c r="BK949" i="1"/>
  <c r="BK950" i="1"/>
  <c r="BK951" i="1"/>
  <c r="BK952" i="1"/>
  <c r="BK953" i="1"/>
  <c r="BK954" i="1"/>
  <c r="BK955" i="1"/>
  <c r="BK956" i="1"/>
  <c r="BK957" i="1"/>
  <c r="BK958" i="1"/>
  <c r="BK959" i="1"/>
  <c r="BK960" i="1"/>
  <c r="BK961" i="1"/>
  <c r="BK962" i="1"/>
  <c r="BK963" i="1"/>
  <c r="BK964" i="1"/>
  <c r="BK965" i="1"/>
  <c r="BK966" i="1"/>
  <c r="BK967" i="1"/>
  <c r="BK968" i="1"/>
  <c r="BK969" i="1"/>
  <c r="BK970" i="1"/>
  <c r="BK971" i="1"/>
  <c r="BK972" i="1"/>
  <c r="BK973" i="1"/>
  <c r="BK974" i="1"/>
  <c r="BK975" i="1"/>
  <c r="BK976" i="1"/>
  <c r="BK977" i="1"/>
  <c r="BK978" i="1"/>
  <c r="BK979" i="1"/>
  <c r="BK980" i="1"/>
  <c r="BK981" i="1"/>
  <c r="BK982" i="1"/>
  <c r="BK983" i="1"/>
  <c r="BK984" i="1"/>
  <c r="BK985" i="1"/>
  <c r="BK986" i="1"/>
  <c r="BK987" i="1"/>
  <c r="BK988" i="1"/>
  <c r="BK989" i="1"/>
  <c r="BK990" i="1"/>
  <c r="BK991" i="1"/>
  <c r="BK992" i="1"/>
  <c r="BK993" i="1"/>
  <c r="BK994" i="1"/>
  <c r="BK995" i="1"/>
  <c r="BK996" i="1"/>
  <c r="BK997" i="1"/>
  <c r="BK998" i="1"/>
  <c r="BK999" i="1"/>
  <c r="BK1000" i="1"/>
  <c r="BK1001" i="1"/>
  <c r="BK1002" i="1"/>
  <c r="BK1003" i="1"/>
  <c r="BK1004" i="1"/>
  <c r="BK1005" i="1"/>
  <c r="BK1006" i="1"/>
  <c r="BK1007" i="1"/>
  <c r="BK1008" i="1"/>
  <c r="BK1009" i="1"/>
  <c r="BK1010" i="1"/>
  <c r="BK1011" i="1"/>
  <c r="BK1012" i="1"/>
  <c r="BK1013" i="1"/>
  <c r="BK1014" i="1"/>
  <c r="BK1015" i="1"/>
  <c r="BK1016" i="1"/>
  <c r="BK1017" i="1"/>
  <c r="BK1018" i="1"/>
  <c r="BK1019" i="1"/>
  <c r="BK1020" i="1"/>
  <c r="BK1021" i="1"/>
  <c r="BK1022" i="1"/>
  <c r="BK1023" i="1"/>
  <c r="BK1024" i="1"/>
  <c r="BK1025" i="1"/>
  <c r="BK1026" i="1"/>
  <c r="BK1027" i="1"/>
  <c r="BK1028" i="1"/>
  <c r="BK1029" i="1"/>
  <c r="BK1030" i="1"/>
  <c r="BK1031" i="1"/>
  <c r="BK1032" i="1"/>
  <c r="BK1033" i="1"/>
  <c r="BK1034" i="1"/>
  <c r="BK1035" i="1"/>
  <c r="BK1036" i="1"/>
  <c r="BK1037" i="1"/>
  <c r="BK1038" i="1"/>
  <c r="BK1039" i="1"/>
  <c r="BK1040" i="1"/>
  <c r="BK1041" i="1"/>
  <c r="BK1042" i="1"/>
  <c r="BK1043" i="1"/>
  <c r="BK1044" i="1"/>
  <c r="BK1045" i="1"/>
  <c r="BK1046" i="1"/>
  <c r="BK1047" i="1"/>
  <c r="BK1048" i="1"/>
  <c r="BK1049" i="1"/>
  <c r="BK1050" i="1"/>
  <c r="BK1051" i="1"/>
  <c r="BK1052" i="1"/>
  <c r="BK1053" i="1"/>
  <c r="BK1054" i="1"/>
  <c r="BK1055" i="1"/>
  <c r="BK1056" i="1"/>
  <c r="BK1057" i="1"/>
  <c r="BK1058" i="1"/>
  <c r="BK1059" i="1"/>
  <c r="BK1060" i="1"/>
  <c r="BK1061" i="1"/>
  <c r="BK1062" i="1"/>
  <c r="BK1063" i="1"/>
  <c r="BK1064" i="1"/>
  <c r="BK1065" i="1"/>
  <c r="BK1066" i="1"/>
  <c r="BK1067" i="1"/>
  <c r="BK1068" i="1"/>
  <c r="BK1069" i="1"/>
  <c r="BK1070" i="1"/>
  <c r="BK1071" i="1"/>
  <c r="BK1072" i="1"/>
  <c r="BK1073" i="1"/>
  <c r="BK1074" i="1"/>
  <c r="BK1075" i="1"/>
  <c r="BK1076" i="1"/>
  <c r="BK1077" i="1"/>
  <c r="BK1078" i="1"/>
  <c r="BK1079" i="1"/>
  <c r="BK1080" i="1"/>
  <c r="BK1081" i="1"/>
  <c r="BK1082" i="1"/>
  <c r="BK1083" i="1"/>
  <c r="BK1084" i="1"/>
  <c r="BK1085" i="1"/>
  <c r="BK1086" i="1"/>
  <c r="BK1087" i="1"/>
  <c r="BK1088" i="1"/>
  <c r="BK1089" i="1"/>
  <c r="BK1090" i="1"/>
  <c r="BK1091" i="1"/>
  <c r="BK1092" i="1"/>
  <c r="BK1093" i="1"/>
  <c r="BK1094" i="1"/>
  <c r="BK1095" i="1"/>
  <c r="BK1096" i="1"/>
  <c r="BK1097" i="1"/>
  <c r="BK1098" i="1"/>
  <c r="BK1099" i="1"/>
  <c r="BK1100" i="1"/>
  <c r="BK1101" i="1"/>
  <c r="BK1102" i="1"/>
  <c r="BK1103" i="1"/>
  <c r="BK1104" i="1"/>
  <c r="BK1105" i="1"/>
  <c r="BK1106" i="1"/>
  <c r="BK1107" i="1"/>
  <c r="BK1108" i="1"/>
  <c r="BK1109" i="1"/>
  <c r="BK1110" i="1"/>
  <c r="BK1111" i="1"/>
  <c r="BK1112" i="1"/>
  <c r="BK1113" i="1"/>
  <c r="BK1114" i="1"/>
  <c r="BK1115" i="1"/>
  <c r="BK1116" i="1"/>
  <c r="BK1117" i="1"/>
  <c r="BK1118" i="1"/>
  <c r="BK1119" i="1"/>
  <c r="BK1120" i="1"/>
  <c r="BK1121" i="1"/>
  <c r="BK1122" i="1"/>
  <c r="BK1123" i="1"/>
  <c r="BK1124" i="1"/>
  <c r="BK1125" i="1"/>
  <c r="BK1126" i="1"/>
  <c r="BK1127" i="1"/>
  <c r="BK1128" i="1"/>
  <c r="BK1129" i="1"/>
  <c r="BK1130" i="1"/>
  <c r="BK1131" i="1"/>
  <c r="BK1132" i="1"/>
  <c r="BK1133" i="1"/>
  <c r="BK1134" i="1"/>
  <c r="BK1135" i="1"/>
  <c r="BK1136" i="1"/>
  <c r="BK1137" i="1"/>
  <c r="BK1138" i="1"/>
  <c r="BK1139" i="1"/>
  <c r="BK1140" i="1"/>
  <c r="BK1141" i="1"/>
  <c r="BK1142" i="1"/>
  <c r="BK1143" i="1"/>
  <c r="BK1144" i="1"/>
  <c r="BK1145" i="1"/>
  <c r="BK1146" i="1"/>
  <c r="BK1147" i="1"/>
  <c r="BK1148" i="1"/>
  <c r="BK1149" i="1"/>
  <c r="BK1150" i="1"/>
  <c r="BK1151" i="1"/>
  <c r="BK1152" i="1"/>
  <c r="BK1153" i="1"/>
  <c r="BK1154" i="1"/>
  <c r="BK1155" i="1"/>
  <c r="BK1156" i="1"/>
  <c r="BK1157" i="1"/>
  <c r="BK1158" i="1"/>
  <c r="BK1159" i="1"/>
  <c r="BK1160" i="1"/>
  <c r="BK1161" i="1"/>
  <c r="BK1162" i="1"/>
  <c r="BK1163" i="1"/>
  <c r="BK1164" i="1"/>
  <c r="BK1165" i="1"/>
  <c r="BK1166" i="1"/>
  <c r="BK1167" i="1"/>
  <c r="BK1168" i="1"/>
  <c r="BK1169" i="1"/>
  <c r="BK1170" i="1"/>
  <c r="BK1171" i="1"/>
  <c r="BK1172" i="1"/>
  <c r="BK1173" i="1"/>
  <c r="BK1174" i="1"/>
  <c r="BK1175" i="1"/>
  <c r="BK1176" i="1"/>
  <c r="BK1177" i="1"/>
  <c r="BK1178" i="1"/>
  <c r="BK1179" i="1"/>
  <c r="BK1180" i="1"/>
  <c r="BK1181" i="1"/>
  <c r="BK1182" i="1"/>
  <c r="BK1183" i="1"/>
  <c r="BK1184" i="1"/>
  <c r="BK1185" i="1"/>
  <c r="BK1186" i="1"/>
  <c r="BK1187" i="1"/>
  <c r="BK1188" i="1"/>
  <c r="BK1189" i="1"/>
  <c r="BK1190" i="1"/>
  <c r="BK1191" i="1"/>
  <c r="BK1192" i="1"/>
  <c r="BK1193" i="1"/>
  <c r="BK1194" i="1"/>
  <c r="BK1195" i="1"/>
  <c r="BK1196" i="1"/>
  <c r="BK1197" i="1"/>
  <c r="BK1198" i="1"/>
  <c r="BK1199" i="1"/>
  <c r="BK1200" i="1"/>
  <c r="BK1201" i="1"/>
  <c r="BK1202" i="1"/>
  <c r="BK1203" i="1"/>
  <c r="BK1204" i="1"/>
  <c r="BK1205" i="1"/>
  <c r="BK1206" i="1"/>
  <c r="BK1207" i="1"/>
  <c r="BK1208" i="1"/>
  <c r="BK1209" i="1"/>
  <c r="BK1210" i="1"/>
  <c r="BK1211" i="1"/>
  <c r="BK1212" i="1"/>
  <c r="BK1213" i="1"/>
  <c r="BK1214" i="1"/>
  <c r="BK1215" i="1"/>
  <c r="BK1216" i="1"/>
  <c r="BK1217" i="1"/>
  <c r="BK1218" i="1"/>
  <c r="BK1219" i="1"/>
  <c r="BK1220" i="1"/>
  <c r="BK1221" i="1"/>
  <c r="BK1222" i="1"/>
  <c r="BK1223" i="1"/>
  <c r="BK1224" i="1"/>
  <c r="BK1225" i="1"/>
  <c r="BK1226" i="1"/>
  <c r="BK1227" i="1"/>
  <c r="BK1228" i="1"/>
  <c r="BK1229" i="1"/>
  <c r="BK1230" i="1"/>
  <c r="BK1231" i="1"/>
  <c r="BK1232" i="1"/>
  <c r="BK1233" i="1"/>
  <c r="BK1234" i="1"/>
  <c r="BK1235" i="1"/>
  <c r="BK1236" i="1"/>
  <c r="BK1237" i="1"/>
  <c r="BK1238" i="1"/>
  <c r="BK1239" i="1"/>
  <c r="BK1240" i="1"/>
  <c r="BK1241" i="1"/>
  <c r="BK1242" i="1"/>
  <c r="BK1243" i="1"/>
  <c r="BK1244" i="1"/>
  <c r="BK1245" i="1"/>
  <c r="BK1246" i="1"/>
  <c r="BK1247" i="1"/>
  <c r="BK1248" i="1"/>
  <c r="BK1249" i="1"/>
  <c r="BK1250" i="1"/>
  <c r="BK1251" i="1"/>
  <c r="BK1252" i="1"/>
  <c r="BK1253" i="1"/>
  <c r="BK1254" i="1"/>
  <c r="BK1255" i="1"/>
  <c r="BK1256" i="1"/>
  <c r="BK1257" i="1"/>
  <c r="BK1258" i="1"/>
  <c r="BK1259" i="1"/>
  <c r="BK1260" i="1"/>
  <c r="BK1261" i="1"/>
  <c r="BK1262" i="1"/>
  <c r="BK1263" i="1"/>
  <c r="BK1264" i="1"/>
  <c r="BK1265" i="1"/>
  <c r="BK1266" i="1"/>
  <c r="BK1267" i="1"/>
  <c r="BK1268" i="1"/>
  <c r="BK1269" i="1"/>
  <c r="D7" i="6"/>
  <c r="K3" i="1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99CFE7C-D12B-4FF1-9203-D53A4018EF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8E4479BA-E9F2-4B57-9E4D-427C7B94641D}" name="WorksheetConnection_rupeevest_fetch_data!$A$4:$H$1048576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rupeevest_fetch_dataA4H10485761"/>
        </x15:connection>
      </ext>
    </extLst>
  </connection>
</connections>
</file>

<file path=xl/sharedStrings.xml><?xml version="1.0" encoding="utf-8"?>
<sst xmlns="http://schemas.openxmlformats.org/spreadsheetml/2006/main" count="25428" uniqueCount="7951">
  <si>
    <t>TRENDLYNE</t>
  </si>
  <si>
    <t>DASHBOARD</t>
  </si>
  <si>
    <t>TECHNICAL SUMMARY</t>
  </si>
  <si>
    <t>QUALITY</t>
  </si>
  <si>
    <t>VALUATION</t>
  </si>
  <si>
    <t>FINANCIAL TREND</t>
  </si>
  <si>
    <t>RETURNS ANALYSIS</t>
  </si>
  <si>
    <t>SHAREHOLDING</t>
  </si>
  <si>
    <t>S</t>
  </si>
  <si>
    <t>W</t>
  </si>
  <si>
    <t>O</t>
  </si>
  <si>
    <t>T</t>
  </si>
  <si>
    <t>MarketsMojo link</t>
  </si>
  <si>
    <t>Trendlyne link</t>
  </si>
  <si>
    <t>Positive</t>
  </si>
  <si>
    <t>Target Price</t>
  </si>
  <si>
    <t>Target %</t>
  </si>
  <si>
    <t>Quant Focused Fund(G)</t>
  </si>
  <si>
    <t>Canara Rob Bluechip Equity Fund-Reg(G)</t>
  </si>
  <si>
    <t>PGIM India Midcap Opp Fund-Reg(G)</t>
  </si>
  <si>
    <t>Quant Mid Cap Fund(G)</t>
  </si>
  <si>
    <t>Canara_Rob_Bluechip_Equity_Fund-Reg(G)</t>
  </si>
  <si>
    <t>ADDED</t>
  </si>
  <si>
    <t>NOCHANGE</t>
  </si>
  <si>
    <t>Bharti Airtel Ltd</t>
  </si>
  <si>
    <t>PARTIAl EXIT</t>
  </si>
  <si>
    <t>Axis Bank Ltd</t>
  </si>
  <si>
    <t>State Bank of India</t>
  </si>
  <si>
    <t>Ultratech Cement Ltd</t>
  </si>
  <si>
    <t>Hindustan Unilever Ltd</t>
  </si>
  <si>
    <t>Mahindra &amp; Mahindra Ltd</t>
  </si>
  <si>
    <t>ABB India Ltd</t>
  </si>
  <si>
    <t>NEW</t>
  </si>
  <si>
    <t>Indian Hotels Co Ltd</t>
  </si>
  <si>
    <t>Housing Development Finance Corporation Ltd</t>
  </si>
  <si>
    <t>Gland Pharma Ltd</t>
  </si>
  <si>
    <t>REMOVED</t>
  </si>
  <si>
    <t>Gujarat Gas Ltd</t>
  </si>
  <si>
    <t>Bajaj Finance Ltd.</t>
  </si>
  <si>
    <t>P I INDUSTRIES LIMITED</t>
  </si>
  <si>
    <t>Jubilant Foodworks Ltd.</t>
  </si>
  <si>
    <t>Persistent Systems Ltd.</t>
  </si>
  <si>
    <t>ABB India Ltd.</t>
  </si>
  <si>
    <t>Housing Development Finance Corporation Ltd.</t>
  </si>
  <si>
    <t>Dr. Reddy's Laboratories Ltd.</t>
  </si>
  <si>
    <t>Hindalco Industries Ltd.</t>
  </si>
  <si>
    <t>Siemens Ltd.</t>
  </si>
  <si>
    <t>Indian Energy Exchange Ltd.</t>
  </si>
  <si>
    <t>PGIM_India_Midcap_Opp_Fund-Reg(G)</t>
  </si>
  <si>
    <t>Bata India Ltd.</t>
  </si>
  <si>
    <t>Dr. Lal Path Labs Ltd.</t>
  </si>
  <si>
    <t>Laurus Labs Ltd.</t>
  </si>
  <si>
    <t>India Glycols Ltd.</t>
  </si>
  <si>
    <t>The Federal Bank Ltd.</t>
  </si>
  <si>
    <t>Voltas Ltd.</t>
  </si>
  <si>
    <t>Coromandel International Ltd.</t>
  </si>
  <si>
    <t>Mahindra &amp; Mahindra Financial Services Ltd</t>
  </si>
  <si>
    <t>Kolte - Patil Developers Ltd.</t>
  </si>
  <si>
    <t>Gland Pharma Ltd.</t>
  </si>
  <si>
    <t>Crompton Greaves Cons Electrical Ltd.</t>
  </si>
  <si>
    <t>Reliance Industries Limited</t>
  </si>
  <si>
    <t>HDFC Bank Limited</t>
  </si>
  <si>
    <t>Aurobindo Pharma Limited</t>
  </si>
  <si>
    <t>Tata Communications Limited</t>
  </si>
  <si>
    <t>Bikaji Foods International Limited</t>
  </si>
  <si>
    <t>Punjab National Bank</t>
  </si>
  <si>
    <t>LTIMindtree Limited</t>
  </si>
  <si>
    <t>Piramal Enterprises Limited</t>
  </si>
  <si>
    <t>Escorts Kubota Limited</t>
  </si>
  <si>
    <t>IRB Infrastructure Developers Limited</t>
  </si>
  <si>
    <t>Aegis Logistics Limited</t>
  </si>
  <si>
    <t>CRISIL Limited</t>
  </si>
  <si>
    <t>DLF Limited</t>
  </si>
  <si>
    <t>UltraTech Cement Limited</t>
  </si>
  <si>
    <t>Jindal Steel &amp; Power Ltd</t>
  </si>
  <si>
    <t>Union Bank of India</t>
  </si>
  <si>
    <t>Anupam Rasayan India Limited</t>
  </si>
  <si>
    <t>Capri Global Capital Limited</t>
  </si>
  <si>
    <t>HFCL Limited</t>
  </si>
  <si>
    <t>Macrotech Developers Limited</t>
  </si>
  <si>
    <t>Graphite India Limited</t>
  </si>
  <si>
    <t>Dr. Reddy's Laboratories Limited</t>
  </si>
  <si>
    <t>Hindustan Copper Limited</t>
  </si>
  <si>
    <t>Jio Financial Services Limited</t>
  </si>
  <si>
    <t>Rossell India Limited</t>
  </si>
  <si>
    <t>India Pesticides Limited</t>
  </si>
  <si>
    <t>Century Enka Limited</t>
  </si>
  <si>
    <t>Bosch Limited</t>
  </si>
  <si>
    <t>Mahindra CIE Automotive Limited</t>
  </si>
  <si>
    <t>Sula Vineyards Limited</t>
  </si>
  <si>
    <t>Torrent Power Limited</t>
  </si>
  <si>
    <t>Honda India Power Products Limited</t>
  </si>
  <si>
    <t>Nitin Spinners Limited</t>
  </si>
  <si>
    <t>Aavas Financiers Limited</t>
  </si>
  <si>
    <t>Arvind SmartSpaces Limited</t>
  </si>
  <si>
    <t>Sun Pharmaceutical Industries Limited</t>
  </si>
  <si>
    <t>Lyka Labs Limited</t>
  </si>
  <si>
    <t>Hindalco Industries Limited</t>
  </si>
  <si>
    <t>Larsen &amp; Toubro Limited</t>
  </si>
  <si>
    <t>Voltas Limited</t>
  </si>
  <si>
    <t>ITC Limited</t>
  </si>
  <si>
    <t>UPL Limited</t>
  </si>
  <si>
    <t>Stylam Industries Limited</t>
  </si>
  <si>
    <t>Bharti Airtel Limited</t>
  </si>
  <si>
    <t>Network18 Media &amp; Investments Limited</t>
  </si>
  <si>
    <t>Power Finance Corporation Ltd.</t>
  </si>
  <si>
    <t>Rural Electrification Corporation Ltd</t>
  </si>
  <si>
    <t>RBL Bank Limited</t>
  </si>
  <si>
    <t>Archean Chemical Industries Limited</t>
  </si>
  <si>
    <t>Easy Trip Planners Limited</t>
  </si>
  <si>
    <t>Quant_Focused_Fund(G)</t>
  </si>
  <si>
    <t>Orchid Pharma Limited</t>
  </si>
  <si>
    <t>NTPC Limited</t>
  </si>
  <si>
    <t>Power Grid Corporation of India Limited</t>
  </si>
  <si>
    <t>Nestle India Limited</t>
  </si>
  <si>
    <t>Infosys Limited</t>
  </si>
  <si>
    <t>Shree Cements Ltd</t>
  </si>
  <si>
    <t>Wipro Ltd</t>
  </si>
  <si>
    <t>Bank of Baroda</t>
  </si>
  <si>
    <t>Quant_Mid_Cap_Fund(G)</t>
  </si>
  <si>
    <t>Dalmia Bharat Limited</t>
  </si>
  <si>
    <t>Alkem Laboratories Limited</t>
  </si>
  <si>
    <t>Canara Bank</t>
  </si>
  <si>
    <t>SUN TV Network Limited</t>
  </si>
  <si>
    <t>Piramal Pharma Limited</t>
  </si>
  <si>
    <t>Grand Total</t>
  </si>
  <si>
    <t>Fund Name</t>
  </si>
  <si>
    <t>Stautus</t>
  </si>
  <si>
    <t>STOCKS</t>
  </si>
  <si>
    <t>BUY</t>
  </si>
  <si>
    <t>-</t>
  </si>
  <si>
    <t>High in industry</t>
  </si>
  <si>
    <t>Low in industry</t>
  </si>
  <si>
    <t>Good</t>
  </si>
  <si>
    <t>None</t>
  </si>
  <si>
    <t>FAIR</t>
  </si>
  <si>
    <t>Life Insurance Corporation Of India</t>
  </si>
  <si>
    <t>Usha Martin Limited</t>
  </si>
  <si>
    <t>Jindal Stainless Limited</t>
  </si>
  <si>
    <t>Arvind Limited</t>
  </si>
  <si>
    <t>Marksans Pharma Limited</t>
  </si>
  <si>
    <t>HEG Limited</t>
  </si>
  <si>
    <t>Just Dial Limited</t>
  </si>
  <si>
    <t>Century Textiles &amp; Industries Limited</t>
  </si>
  <si>
    <t>The India Cements Limited</t>
  </si>
  <si>
    <t>Anand Rathi Wealth Limited</t>
  </si>
  <si>
    <t>Man Infraconstruction Limited</t>
  </si>
  <si>
    <t>VRL Logistics Limited</t>
  </si>
  <si>
    <t>The Jammu &amp; Kashmir Bank Limited</t>
  </si>
  <si>
    <t>Jash Engineering Limited</t>
  </si>
  <si>
    <t>Ramkrishna Forgings Limited</t>
  </si>
  <si>
    <t>Railtel Corporation Of India Limited</t>
  </si>
  <si>
    <t>Engineers India Limited</t>
  </si>
  <si>
    <t>Apollo Micro Systems Limited</t>
  </si>
  <si>
    <t>Vardhman Textiles Limited</t>
  </si>
  <si>
    <t>Himadri Speciality Chemical Limited</t>
  </si>
  <si>
    <t>HP Adhesives Limited</t>
  </si>
  <si>
    <t>Rossari Biotech Limited</t>
  </si>
  <si>
    <t>Suven Pharmaceuticals Limited</t>
  </si>
  <si>
    <t>Indus Towers Limited</t>
  </si>
  <si>
    <t>Orient Paper &amp; Industries Limited</t>
  </si>
  <si>
    <t>Taj GVK Hotels &amp; Resorts Limited</t>
  </si>
  <si>
    <t>Ksb Limited</t>
  </si>
  <si>
    <t>TV Today Network Limited</t>
  </si>
  <si>
    <t>Confidence Petroleum India Limited</t>
  </si>
  <si>
    <t>Balrampur Chini Mills Limited</t>
  </si>
  <si>
    <t>Gulshan Polyols Limited</t>
  </si>
  <si>
    <t>Hi-Tech Pipes Limited</t>
  </si>
  <si>
    <t>Vimta Labs Limited</t>
  </si>
  <si>
    <t>Bharat Rasayan Limited</t>
  </si>
  <si>
    <t>West Coast Paper Mills Limited</t>
  </si>
  <si>
    <t>NACL Industries Limited</t>
  </si>
  <si>
    <t>AGS Transact Technologies Limited</t>
  </si>
  <si>
    <t>Nahar Spinning Mills Limited</t>
  </si>
  <si>
    <t>Blue Star Limited</t>
  </si>
  <si>
    <t>Zensar Technologies Limited</t>
  </si>
  <si>
    <t>Granules India Limited</t>
  </si>
  <si>
    <t>IDFC Limited</t>
  </si>
  <si>
    <t>Tejas Networks Limited</t>
  </si>
  <si>
    <t>Pricol Limited</t>
  </si>
  <si>
    <t xml:space="preserve">STOCKS </t>
  </si>
  <si>
    <t>NSE DOWNLOAD LINK</t>
  </si>
  <si>
    <t>https://www.nseindia.com/regulations/listing-compliance/nse-market-capitalisation-all-companies</t>
  </si>
  <si>
    <t>BSE DOWNLOAD LINK</t>
  </si>
  <si>
    <t>Company Name</t>
  </si>
  <si>
    <t>RELIANCE</t>
  </si>
  <si>
    <t>TCS</t>
  </si>
  <si>
    <t>Tata Consultancy Services Limited</t>
  </si>
  <si>
    <t>HDFCBANK</t>
  </si>
  <si>
    <t>ICICIBANK</t>
  </si>
  <si>
    <t>ICICI Bank Limited</t>
  </si>
  <si>
    <t>HINDUNILVR</t>
  </si>
  <si>
    <t>Hindustan Unilever Limited</t>
  </si>
  <si>
    <t>INFY</t>
  </si>
  <si>
    <t>HDFC</t>
  </si>
  <si>
    <t>Housing Development Finance Corporation Limited</t>
  </si>
  <si>
    <t>ITC</t>
  </si>
  <si>
    <t>SBIN</t>
  </si>
  <si>
    <t>BHARTIARTL</t>
  </si>
  <si>
    <t>KOTAKBANK</t>
  </si>
  <si>
    <t>Kotak Mahindra Bank Limited</t>
  </si>
  <si>
    <t>BAJFINANCE</t>
  </si>
  <si>
    <t>Bajaj Finance Limited</t>
  </si>
  <si>
    <t>LICI</t>
  </si>
  <si>
    <t>LT</t>
  </si>
  <si>
    <t>HCLTECH</t>
  </si>
  <si>
    <t>HCL Technologies Limited</t>
  </si>
  <si>
    <t>ASIANPAINT</t>
  </si>
  <si>
    <t>Asian Paints Limited</t>
  </si>
  <si>
    <t>AXISBANK</t>
  </si>
  <si>
    <t>Axis Bank Limited</t>
  </si>
  <si>
    <t>MARUTI</t>
  </si>
  <si>
    <t>Maruti Suzuki India Limited</t>
  </si>
  <si>
    <t>SUNPHARMA</t>
  </si>
  <si>
    <t>TITAN</t>
  </si>
  <si>
    <t>Titan Company Limited</t>
  </si>
  <si>
    <t>DMART</t>
  </si>
  <si>
    <t>Avenue Supermarts Limited</t>
  </si>
  <si>
    <t>ULTRACEMCO</t>
  </si>
  <si>
    <t>BAJAJFINSV</t>
  </si>
  <si>
    <t>Bajaj Finserv Limited</t>
  </si>
  <si>
    <t>WIPRO</t>
  </si>
  <si>
    <t>Wipro Limited</t>
  </si>
  <si>
    <t>ADANIENT</t>
  </si>
  <si>
    <t>Adani Enterprises Limited</t>
  </si>
  <si>
    <t>ONGC</t>
  </si>
  <si>
    <t>Oil &amp; Natural Gas Corporation Limited</t>
  </si>
  <si>
    <t>NTPC</t>
  </si>
  <si>
    <t>JSWSTEEL</t>
  </si>
  <si>
    <t>JSW Steel Limited</t>
  </si>
  <si>
    <t>POWERGRID</t>
  </si>
  <si>
    <t>M&amp;M</t>
  </si>
  <si>
    <t>Mahindra &amp; Mahindra Limited</t>
  </si>
  <si>
    <t>LTIM</t>
  </si>
  <si>
    <t>TATAMOTORS</t>
  </si>
  <si>
    <t>Tata Motors Limited</t>
  </si>
  <si>
    <t>ADANIGREEN</t>
  </si>
  <si>
    <t>Adani Green Energy Limited</t>
  </si>
  <si>
    <t>ADANIPORTS</t>
  </si>
  <si>
    <t>Adani Ports and Special Economic Zone Limited</t>
  </si>
  <si>
    <t>COALINDIA</t>
  </si>
  <si>
    <t>Coal India Limited</t>
  </si>
  <si>
    <t>TATASTEEL</t>
  </si>
  <si>
    <t>Tata Steel Limited</t>
  </si>
  <si>
    <t>HINDZINC</t>
  </si>
  <si>
    <t>Hindustan Zinc Limited</t>
  </si>
  <si>
    <t>PIDILITIND</t>
  </si>
  <si>
    <t>Pidilite Industries Limited</t>
  </si>
  <si>
    <t>SIEMENS</t>
  </si>
  <si>
    <t>Siemens Limited</t>
  </si>
  <si>
    <t>ADANITRANS</t>
  </si>
  <si>
    <t>Adani Transmission Limited</t>
  </si>
  <si>
    <t>SBILIFE</t>
  </si>
  <si>
    <t>SBI Life Insurance Company Limited</t>
  </si>
  <si>
    <t>IOC</t>
  </si>
  <si>
    <t>Indian Oil Corporation Limited</t>
  </si>
  <si>
    <t>BAJAJ-AUTO</t>
  </si>
  <si>
    <t>Bajaj Auto Limited</t>
  </si>
  <si>
    <t>GRASIM</t>
  </si>
  <si>
    <t>Grasim Industries Limited</t>
  </si>
  <si>
    <t>TECHM</t>
  </si>
  <si>
    <t>Tech Mahindra Limited</t>
  </si>
  <si>
    <t>HDFCLIFE</t>
  </si>
  <si>
    <t>HDFC Life Insurance Company Limited</t>
  </si>
  <si>
    <t>BRITANNIA</t>
  </si>
  <si>
    <t>Britannia Industries Limited</t>
  </si>
  <si>
    <t>VEDL</t>
  </si>
  <si>
    <t>Vedanta Limited</t>
  </si>
  <si>
    <t>GODREJCP</t>
  </si>
  <si>
    <t>Godrej Consumer Products Limited</t>
  </si>
  <si>
    <t>DABUR</t>
  </si>
  <si>
    <t>Dabur India Limited</t>
  </si>
  <si>
    <t>ATGL</t>
  </si>
  <si>
    <t>Adani Total Gas Limited</t>
  </si>
  <si>
    <t>SHREECEM</t>
  </si>
  <si>
    <t>SHREE CEMENT LIMITED</t>
  </si>
  <si>
    <t>HAL</t>
  </si>
  <si>
    <t>Hindustan Aeronautics Limited</t>
  </si>
  <si>
    <t>HINDALCO</t>
  </si>
  <si>
    <t>VBL</t>
  </si>
  <si>
    <t>Varun Beverages Limited</t>
  </si>
  <si>
    <t>DLF</t>
  </si>
  <si>
    <t>BANKBARODA</t>
  </si>
  <si>
    <t>INDUSINDBK</t>
  </si>
  <si>
    <t>IndusInd Bank Limited</t>
  </si>
  <si>
    <t>EICHERMOT</t>
  </si>
  <si>
    <t>Eicher Motors Limited</t>
  </si>
  <si>
    <t>DRREDDY</t>
  </si>
  <si>
    <t>DIVISLAB</t>
  </si>
  <si>
    <t>Divi's Laboratories Limited</t>
  </si>
  <si>
    <t>BPCL</t>
  </si>
  <si>
    <t>Bharat Petroleum Corporation Limited</t>
  </si>
  <si>
    <t>HAVELLS</t>
  </si>
  <si>
    <t>Havells India Limited</t>
  </si>
  <si>
    <t>ADANIPOWER</t>
  </si>
  <si>
    <t>Adani Power Limited</t>
  </si>
  <si>
    <t>INDIGO</t>
  </si>
  <si>
    <t>InterGlobe Aviation Limited</t>
  </si>
  <si>
    <t>CIPLA</t>
  </si>
  <si>
    <t>Cipla Limited</t>
  </si>
  <si>
    <t>AMBUJACEM</t>
  </si>
  <si>
    <t>Ambuja Cements Limited</t>
  </si>
  <si>
    <t>SRF</t>
  </si>
  <si>
    <t>SRF Limited</t>
  </si>
  <si>
    <t>ABB</t>
  </si>
  <si>
    <t>ABB India Limited</t>
  </si>
  <si>
    <t>BEL</t>
  </si>
  <si>
    <t>Bharat Electronics Limited</t>
  </si>
  <si>
    <t>SBICARD</t>
  </si>
  <si>
    <t>SBI Cards and Payment Services Limited</t>
  </si>
  <si>
    <t>GAIL</t>
  </si>
  <si>
    <t>GAIL (India) Limited</t>
  </si>
  <si>
    <t>BAJAJHLDNG</t>
  </si>
  <si>
    <t>Bajaj Holdings &amp; Investment Limited</t>
  </si>
  <si>
    <t>TATACONSUM</t>
  </si>
  <si>
    <t>TATA CONSUMER PRODUCTS LIMITED</t>
  </si>
  <si>
    <t>ICICIPRULI</t>
  </si>
  <si>
    <t>ICICI Prudential Life Insurance Company Limited</t>
  </si>
  <si>
    <t>CHOLAFIN</t>
  </si>
  <si>
    <t>Cholamandalam Investment and Finance Company Limited</t>
  </si>
  <si>
    <t>MARICO</t>
  </si>
  <si>
    <t>Marico Limited</t>
  </si>
  <si>
    <t>APOLLOHOSP</t>
  </si>
  <si>
    <t>Apollo Hospitals Enterprise Limited</t>
  </si>
  <si>
    <t>TATAPOWER</t>
  </si>
  <si>
    <t>Tata Power Company Limited</t>
  </si>
  <si>
    <t>BOSCHLTD</t>
  </si>
  <si>
    <t>BERGEPAINT</t>
  </si>
  <si>
    <t>Berger Paints (I) Limited</t>
  </si>
  <si>
    <t>JINDALSTEL</t>
  </si>
  <si>
    <t>Jindal Steel &amp; Power Limited</t>
  </si>
  <si>
    <t>MCDOWELL-N</t>
  </si>
  <si>
    <t>United Spirits Limited</t>
  </si>
  <si>
    <t>UPL</t>
  </si>
  <si>
    <t>AWL</t>
  </si>
  <si>
    <t>Adani Wilmar Limited</t>
  </si>
  <si>
    <t>ICICIGI</t>
  </si>
  <si>
    <t>ICICI Lombard General Insurance Company Limited</t>
  </si>
  <si>
    <t>TORNTPHARM</t>
  </si>
  <si>
    <t>Torrent Pharmaceuticals Limited</t>
  </si>
  <si>
    <t>CANBK</t>
  </si>
  <si>
    <t>PNB</t>
  </si>
  <si>
    <t>TVSMOTOR</t>
  </si>
  <si>
    <t>TVS Motor Company Limited</t>
  </si>
  <si>
    <t>ZYDUSLIFE</t>
  </si>
  <si>
    <t>Zydus Lifesciences Limited</t>
  </si>
  <si>
    <t>TIINDIA</t>
  </si>
  <si>
    <t>Tube Investments of India Limited</t>
  </si>
  <si>
    <t>TRENT</t>
  </si>
  <si>
    <t>Trent Limited</t>
  </si>
  <si>
    <t>IDBI</t>
  </si>
  <si>
    <t>IDBI Bank Limited</t>
  </si>
  <si>
    <t>NAUKRI</t>
  </si>
  <si>
    <t>Info Edge (India) Limited</t>
  </si>
  <si>
    <t>SHRIRAMFIN</t>
  </si>
  <si>
    <t>Shriram Finance Limited</t>
  </si>
  <si>
    <t>HEROMOTOCO</t>
  </si>
  <si>
    <t>Hero MotoCorp Limited</t>
  </si>
  <si>
    <t>INDHOTEL</t>
  </si>
  <si>
    <t>The Indian Hotels Company Limited</t>
  </si>
  <si>
    <t>PIIND</t>
  </si>
  <si>
    <t>PI Industries Limited</t>
  </si>
  <si>
    <t>IRCTC</t>
  </si>
  <si>
    <t>Indian Railway Catering And Tourism Corporation Limited</t>
  </si>
  <si>
    <t>CGPOWER</t>
  </si>
  <si>
    <t>CG Power and Industrial Solutions Limited</t>
  </si>
  <si>
    <t>UNIONBANK</t>
  </si>
  <si>
    <t>MOTHERSON</t>
  </si>
  <si>
    <t>Samvardhana Motherson International Limited</t>
  </si>
  <si>
    <t>CUMMINSIND</t>
  </si>
  <si>
    <t>Cummins India Limited</t>
  </si>
  <si>
    <t>SCHAEFFLER</t>
  </si>
  <si>
    <t>Schaeffler India Limited</t>
  </si>
  <si>
    <t>LODHA</t>
  </si>
  <si>
    <t>ZOMATO</t>
  </si>
  <si>
    <t>Zomato Limited</t>
  </si>
  <si>
    <t>PGHH</t>
  </si>
  <si>
    <t>Procter &amp; Gamble Hygiene and Health Care Limited</t>
  </si>
  <si>
    <t>YESBANK</t>
  </si>
  <si>
    <t>Yes Bank Limited</t>
  </si>
  <si>
    <t>POLYCAB</t>
  </si>
  <si>
    <t>Polycab India Limited</t>
  </si>
  <si>
    <t>MAXHEALTH</t>
  </si>
  <si>
    <t>Max Healthcare Institute Limited</t>
  </si>
  <si>
    <t>IOB</t>
  </si>
  <si>
    <t>Indian Overseas Bank</t>
  </si>
  <si>
    <t>PAGEIND</t>
  </si>
  <si>
    <t>Page Industries Limited</t>
  </si>
  <si>
    <t>COLPAL</t>
  </si>
  <si>
    <t>Colgate Palmolive (India) Limited</t>
  </si>
  <si>
    <t>ASHOKLEY</t>
  </si>
  <si>
    <t>Ashok Leyland Limited</t>
  </si>
  <si>
    <t>ALKEM</t>
  </si>
  <si>
    <t>NHPC</t>
  </si>
  <si>
    <t>NHPC Limited</t>
  </si>
  <si>
    <t>PAYTM</t>
  </si>
  <si>
    <t>One 97 Communications Limited</t>
  </si>
  <si>
    <t>PFC</t>
  </si>
  <si>
    <t>Power Finance Corporation Limited</t>
  </si>
  <si>
    <t>JSWENERGY</t>
  </si>
  <si>
    <t>JSW Energy Limited</t>
  </si>
  <si>
    <t>MUTHOOTFIN</t>
  </si>
  <si>
    <t>Muthoot Finance Limited</t>
  </si>
  <si>
    <t>AUBANK</t>
  </si>
  <si>
    <t>AU Small Finance Bank Limited</t>
  </si>
  <si>
    <t>INDUSTOWER</t>
  </si>
  <si>
    <t>BALKRISIND</t>
  </si>
  <si>
    <t>Balkrishna Industries Limited</t>
  </si>
  <si>
    <t>UBL</t>
  </si>
  <si>
    <t>United Breweries Limited</t>
  </si>
  <si>
    <t>ABCAPITAL</t>
  </si>
  <si>
    <t>Aditya Birla Capital Limited</t>
  </si>
  <si>
    <t>TATAELXSI</t>
  </si>
  <si>
    <t>Tata Elxsi Limited</t>
  </si>
  <si>
    <t>DALBHARAT</t>
  </si>
  <si>
    <t>HDFCAMC</t>
  </si>
  <si>
    <t>HDFC Asset Management Company Limited</t>
  </si>
  <si>
    <t>INDIANB</t>
  </si>
  <si>
    <t>Indian Bank</t>
  </si>
  <si>
    <t>ASTRAL</t>
  </si>
  <si>
    <t>Astral Limited</t>
  </si>
  <si>
    <t>BHARATFORG</t>
  </si>
  <si>
    <t>Bharat Forge Limited</t>
  </si>
  <si>
    <t>LTTS</t>
  </si>
  <si>
    <t>L&amp;T Technology Services Limited</t>
  </si>
  <si>
    <t>MRF</t>
  </si>
  <si>
    <t>MRF Limited</t>
  </si>
  <si>
    <t>TATACOMM</t>
  </si>
  <si>
    <t>NYKAA</t>
  </si>
  <si>
    <t>FSN E-Commerce Ventures Limited</t>
  </si>
  <si>
    <t>CONCOR</t>
  </si>
  <si>
    <t>Container Corporation of India Limited</t>
  </si>
  <si>
    <t>PERSISTENT</t>
  </si>
  <si>
    <t>Persistent Systems Limited</t>
  </si>
  <si>
    <t>PATANJALI</t>
  </si>
  <si>
    <t>Patanjali Foods Limited</t>
  </si>
  <si>
    <t>IRFC</t>
  </si>
  <si>
    <t>Indian Railway Finance Corporation Limited</t>
  </si>
  <si>
    <t>LINDEINDIA</t>
  </si>
  <si>
    <t>Linde India Limited</t>
  </si>
  <si>
    <t>IDFCFIRSTB</t>
  </si>
  <si>
    <t>IDFC First Bank Limited</t>
  </si>
  <si>
    <t>PETRONET</t>
  </si>
  <si>
    <t>Petronet LNG Limited</t>
  </si>
  <si>
    <t>SOLARINDS</t>
  </si>
  <si>
    <t>Solar Industries India Limited</t>
  </si>
  <si>
    <t>SAIL</t>
  </si>
  <si>
    <t>Steel Authority of India Limited</t>
  </si>
  <si>
    <t>MPHASIS</t>
  </si>
  <si>
    <t>MphasiS Limited</t>
  </si>
  <si>
    <t>HINDPETRO</t>
  </si>
  <si>
    <t>Hindustan Petroleum Corporation Limited</t>
  </si>
  <si>
    <t>APLAPOLLO</t>
  </si>
  <si>
    <t>APL Apollo Tubes Limited</t>
  </si>
  <si>
    <t>FLUOROCHEM</t>
  </si>
  <si>
    <t>Gujarat Fluorochemicals Limited</t>
  </si>
  <si>
    <t>NMDC</t>
  </si>
  <si>
    <t>NMDC Limited</t>
  </si>
  <si>
    <t>HONAUT</t>
  </si>
  <si>
    <t>Honeywell Automation India Limited</t>
  </si>
  <si>
    <t>SUPREMEIND</t>
  </si>
  <si>
    <t>Supreme Industries Limited</t>
  </si>
  <si>
    <t>GUJGASLTD</t>
  </si>
  <si>
    <t>Gujarat Gas Limited</t>
  </si>
  <si>
    <t>BANDHANBNK</t>
  </si>
  <si>
    <t>Bandhan Bank Limited</t>
  </si>
  <si>
    <t>ACC</t>
  </si>
  <si>
    <t>ACC Limited</t>
  </si>
  <si>
    <t>OBEROIRLTY</t>
  </si>
  <si>
    <t>Oberoi Realty Limited</t>
  </si>
  <si>
    <t>BANKINDIA</t>
  </si>
  <si>
    <t>Bank of India</t>
  </si>
  <si>
    <t>RECLTD</t>
  </si>
  <si>
    <t>REC Limited</t>
  </si>
  <si>
    <t>AUROPHARMA</t>
  </si>
  <si>
    <t>STARHEALTH</t>
  </si>
  <si>
    <t>Star Health and Allied Insurance Company Limited</t>
  </si>
  <si>
    <t>IGL</t>
  </si>
  <si>
    <t>Indraprastha Gas Limited</t>
  </si>
  <si>
    <t>LUPIN</t>
  </si>
  <si>
    <t>Lupin Limited</t>
  </si>
  <si>
    <t>UCOBANK</t>
  </si>
  <si>
    <t>UCO Bank</t>
  </si>
  <si>
    <t>JUBLFOOD</t>
  </si>
  <si>
    <t>Jubilant Foodworks Limited</t>
  </si>
  <si>
    <t>POLICYBZR</t>
  </si>
  <si>
    <t>PB Fintech Limited</t>
  </si>
  <si>
    <t>GODREJPROP</t>
  </si>
  <si>
    <t>Godrej Properties Limited</t>
  </si>
  <si>
    <t>M&amp;MFIN</t>
  </si>
  <si>
    <t>Mahindra &amp; Mahindra Financial Services Limited</t>
  </si>
  <si>
    <t>IDEA</t>
  </si>
  <si>
    <t>Vodafone Idea Limited</t>
  </si>
  <si>
    <t>OFSS</t>
  </si>
  <si>
    <t>Oracle Financial Services Software Limited</t>
  </si>
  <si>
    <t>FEDERALBNK</t>
  </si>
  <si>
    <t>The Federal Bank  Limited</t>
  </si>
  <si>
    <t>MANYAVAR</t>
  </si>
  <si>
    <t>Vedant Fashions Limited</t>
  </si>
  <si>
    <t>UNOMINDA</t>
  </si>
  <si>
    <t>UNO Minda Limited</t>
  </si>
  <si>
    <t>AIAENG</t>
  </si>
  <si>
    <t>AIA Engineering Limited</t>
  </si>
  <si>
    <t>THERMAX</t>
  </si>
  <si>
    <t>Thermax Limited</t>
  </si>
  <si>
    <t>OIL</t>
  </si>
  <si>
    <t>Oil India Limited</t>
  </si>
  <si>
    <t>VOLTAS</t>
  </si>
  <si>
    <t>3MINDIA</t>
  </si>
  <si>
    <t>3M India Limited</t>
  </si>
  <si>
    <t>COROMANDEL</t>
  </si>
  <si>
    <t>Coromandel International Limited</t>
  </si>
  <si>
    <t>SUNDARMFIN</t>
  </si>
  <si>
    <t>Sundaram Finance Limited</t>
  </si>
  <si>
    <t>KPITTECH</t>
  </si>
  <si>
    <t>KPIT Technologies Limited</t>
  </si>
  <si>
    <t>DEEPAKNTR</t>
  </si>
  <si>
    <t>Deepak Nitrite Limited</t>
  </si>
  <si>
    <t>ESCORTS</t>
  </si>
  <si>
    <t>BIOCON</t>
  </si>
  <si>
    <t>Biocon Limited</t>
  </si>
  <si>
    <t>TATACHEM</t>
  </si>
  <si>
    <t>Tata Chemicals Limited</t>
  </si>
  <si>
    <t>TORNTPOWER</t>
  </si>
  <si>
    <t>GMRINFRA</t>
  </si>
  <si>
    <t>GMR Airports Infrastructure Limited</t>
  </si>
  <si>
    <t>BHEL</t>
  </si>
  <si>
    <t>Bharat Heavy Electricals Limited</t>
  </si>
  <si>
    <t>SONACOMS</t>
  </si>
  <si>
    <t>Sona BLW Precision Forgings Limited</t>
  </si>
  <si>
    <t>DELHIVERY</t>
  </si>
  <si>
    <t>Delhivery Limited</t>
  </si>
  <si>
    <t>SYNGENE</t>
  </si>
  <si>
    <t>Syngene International Limited</t>
  </si>
  <si>
    <t>CRISIL</t>
  </si>
  <si>
    <t>GICRE</t>
  </si>
  <si>
    <t>General Insurance Corporation of India</t>
  </si>
  <si>
    <t>COFORGE</t>
  </si>
  <si>
    <t>Coforge Limited</t>
  </si>
  <si>
    <t>PHOENIXLTD</t>
  </si>
  <si>
    <t>The Phoenix Mills Limited</t>
  </si>
  <si>
    <t>JKCEMENT</t>
  </si>
  <si>
    <t>JK Cement Limited</t>
  </si>
  <si>
    <t>POONAWALLA</t>
  </si>
  <si>
    <t>Poonawalla Fincorp Limited</t>
  </si>
  <si>
    <t>GLAXO</t>
  </si>
  <si>
    <t>GlaxoSmithKline Pharmaceuticals Limited</t>
  </si>
  <si>
    <t>MFSL</t>
  </si>
  <si>
    <t>Max Financial Services Limited</t>
  </si>
  <si>
    <t>METROBRAND</t>
  </si>
  <si>
    <t>Metro Brands Limited</t>
  </si>
  <si>
    <t>MSUMI</t>
  </si>
  <si>
    <t>Motherson Sumi Wiring India Limited</t>
  </si>
  <si>
    <t>SUMICHEM</t>
  </si>
  <si>
    <t>Sumitomo Chemical India Limited</t>
  </si>
  <si>
    <t>RELAXO</t>
  </si>
  <si>
    <t>Relaxo Footwears Limited</t>
  </si>
  <si>
    <t>NAVINFLUOR</t>
  </si>
  <si>
    <t>Navin Fluorine International Limited</t>
  </si>
  <si>
    <t>SKFINDIA</t>
  </si>
  <si>
    <t>SKF India Limited</t>
  </si>
  <si>
    <t>CENTRALBK</t>
  </si>
  <si>
    <t>Central Bank of India</t>
  </si>
  <si>
    <t>GLAND</t>
  </si>
  <si>
    <t>Gland Pharma Limited</t>
  </si>
  <si>
    <t>KANSAINER</t>
  </si>
  <si>
    <t>Kansai Nerolac Paints Limited</t>
  </si>
  <si>
    <t>GRINDWELL</t>
  </si>
  <si>
    <t>Grindwell Norton Limited</t>
  </si>
  <si>
    <t>TIMKEN</t>
  </si>
  <si>
    <t>Timken India Limited</t>
  </si>
  <si>
    <t>IPCALAB</t>
  </si>
  <si>
    <t>IPCA Laboratories Limited</t>
  </si>
  <si>
    <t>SUNDRMFAST</t>
  </si>
  <si>
    <t>Sundram Fasteners Limited</t>
  </si>
  <si>
    <t>ATUL</t>
  </si>
  <si>
    <t>Atul Limited</t>
  </si>
  <si>
    <t>ZEEL</t>
  </si>
  <si>
    <t>Zee Entertainment Enterprises Limited</t>
  </si>
  <si>
    <t>L&amp;TFH</t>
  </si>
  <si>
    <t>L&amp;T Finance Holdings Limited</t>
  </si>
  <si>
    <t>ABFRL</t>
  </si>
  <si>
    <t>Aditya Birla Fashion and Retail Limited</t>
  </si>
  <si>
    <t>APOLLOTYRE</t>
  </si>
  <si>
    <t>Apollo Tyres Limited</t>
  </si>
  <si>
    <t>KPRMILL</t>
  </si>
  <si>
    <t>K.P.R. Mill Limited</t>
  </si>
  <si>
    <t>ZFCVINDIA</t>
  </si>
  <si>
    <t>ZF Commercial Vehicle Control Systems India Limited</t>
  </si>
  <si>
    <t>FORTIS</t>
  </si>
  <si>
    <t>Fortis Healthcare Limited</t>
  </si>
  <si>
    <t>AARTIIND</t>
  </si>
  <si>
    <t>Aarti Industries Limited</t>
  </si>
  <si>
    <t>HATSUN</t>
  </si>
  <si>
    <t>Hatsun Agro Product Limited</t>
  </si>
  <si>
    <t>CARBORUNIV</t>
  </si>
  <si>
    <t>Carborundum Universal Limited</t>
  </si>
  <si>
    <t>CROMPTON</t>
  </si>
  <si>
    <t>Crompton Greaves Consumer Electricals Limited</t>
  </si>
  <si>
    <t>VINATIORGA</t>
  </si>
  <si>
    <t>Vinati Organics Limited</t>
  </si>
  <si>
    <t>IIFL</t>
  </si>
  <si>
    <t>IIFL Finance Limited</t>
  </si>
  <si>
    <t>BATAINDIA</t>
  </si>
  <si>
    <t>Bata India Limited</t>
  </si>
  <si>
    <t>BDL</t>
  </si>
  <si>
    <t>Bharat Dynamics Limited</t>
  </si>
  <si>
    <t>LICHSGFIN</t>
  </si>
  <si>
    <t>LIC Housing Finance Limited</t>
  </si>
  <si>
    <t>RAJESHEXPO</t>
  </si>
  <si>
    <t>Rajesh Exports Limited</t>
  </si>
  <si>
    <t>RAMCOCEM</t>
  </si>
  <si>
    <t>The Ramco Cements Limited</t>
  </si>
  <si>
    <t>ENDURANCE</t>
  </si>
  <si>
    <t>Endurance Technologies Limited</t>
  </si>
  <si>
    <t>DEVYANI</t>
  </si>
  <si>
    <t>Devyani International Limited</t>
  </si>
  <si>
    <t>PSB</t>
  </si>
  <si>
    <t>Punjab &amp; Sind Bank</t>
  </si>
  <si>
    <t>DIXON</t>
  </si>
  <si>
    <t>Dixon Technologies (India) Limited</t>
  </si>
  <si>
    <t>KAJARIACER</t>
  </si>
  <si>
    <t>Kajaria Ceramics Limited</t>
  </si>
  <si>
    <t>WHIRLPOOL</t>
  </si>
  <si>
    <t>Whirlpool of India Limited</t>
  </si>
  <si>
    <t>MAHABANK</t>
  </si>
  <si>
    <t>Bank of Maharashtra</t>
  </si>
  <si>
    <t>SUNTV</t>
  </si>
  <si>
    <t>Sun TV Network Limited</t>
  </si>
  <si>
    <t>PEL</t>
  </si>
  <si>
    <t>PRESTIGE</t>
  </si>
  <si>
    <t>Prestige Estates Projects Limited</t>
  </si>
  <si>
    <t>NIACL</t>
  </si>
  <si>
    <t>The New India Assurance Company Limited</t>
  </si>
  <si>
    <t>RADICO</t>
  </si>
  <si>
    <t>Radico Khaitan Limited</t>
  </si>
  <si>
    <t>PFIZER</t>
  </si>
  <si>
    <t>Pfizer Limited</t>
  </si>
  <si>
    <t>NH</t>
  </si>
  <si>
    <t>Narayana Hrudayalaya Ltd.</t>
  </si>
  <si>
    <t>EMAMILTD</t>
  </si>
  <si>
    <t>Emami Limited</t>
  </si>
  <si>
    <t>LAURUSLABS</t>
  </si>
  <si>
    <t>Laurus Labs Limited</t>
  </si>
  <si>
    <t>FIVESTAR</t>
  </si>
  <si>
    <t>Five-Star Business Finance Limited</t>
  </si>
  <si>
    <t>AJANTPHARM</t>
  </si>
  <si>
    <t>Ajanta Pharma Limited</t>
  </si>
  <si>
    <t>INDIAMART</t>
  </si>
  <si>
    <t>Indiamart Intermesh Limited</t>
  </si>
  <si>
    <t>360ONE</t>
  </si>
  <si>
    <t>360 ONE WAM LIMITED</t>
  </si>
  <si>
    <t>KEI</t>
  </si>
  <si>
    <t>KEI Industries Limited</t>
  </si>
  <si>
    <t>JBCHEPHARM</t>
  </si>
  <si>
    <t>JB Chemicals &amp; Pharmaceuticals Limited</t>
  </si>
  <si>
    <t>LALPATHLAB</t>
  </si>
  <si>
    <t>JSL</t>
  </si>
  <si>
    <t>IRB</t>
  </si>
  <si>
    <t>EXIDEIND</t>
  </si>
  <si>
    <t>Exide Industries Limited</t>
  </si>
  <si>
    <t>PVR</t>
  </si>
  <si>
    <t>PVR Limited</t>
  </si>
  <si>
    <t>GSPL</t>
  </si>
  <si>
    <t>Gujarat State Petronet Limited</t>
  </si>
  <si>
    <t>BLUEDART</t>
  </si>
  <si>
    <t>Blue Dart Express Limited</t>
  </si>
  <si>
    <t>NATIONALUM</t>
  </si>
  <si>
    <t>National Aluminium Company Limited</t>
  </si>
  <si>
    <t>RVNL</t>
  </si>
  <si>
    <t>Rail Vikas Nigam Limited</t>
  </si>
  <si>
    <t>CREDITACC</t>
  </si>
  <si>
    <t>CREDITACCESS GRAMEEN LIMITED</t>
  </si>
  <si>
    <t>TRIDENT</t>
  </si>
  <si>
    <t>Trident Limited</t>
  </si>
  <si>
    <t>POWERINDIA</t>
  </si>
  <si>
    <t>Hitachi Energy India Limited</t>
  </si>
  <si>
    <t>MEDANTA</t>
  </si>
  <si>
    <t>Global Health Limited</t>
  </si>
  <si>
    <t>GILLETTE</t>
  </si>
  <si>
    <t>Gillette India Limited</t>
  </si>
  <si>
    <t>RATNAMANI</t>
  </si>
  <si>
    <t>Ratnamani Metals &amp; Tubes Limited</t>
  </si>
  <si>
    <t>ELGIEQUIP</t>
  </si>
  <si>
    <t>Elgi Equipments Limited</t>
  </si>
  <si>
    <t>ISEC</t>
  </si>
  <si>
    <t>ICICI Securities Limited</t>
  </si>
  <si>
    <t>CGCL</t>
  </si>
  <si>
    <t>GODREJIND</t>
  </si>
  <si>
    <t>Godrej Industries Limited</t>
  </si>
  <si>
    <t>CLEAN</t>
  </si>
  <si>
    <t>Clean Science and Technology Limited</t>
  </si>
  <si>
    <t>MAZDOCK</t>
  </si>
  <si>
    <t>Mazagon Dock Shipbuilders Limited</t>
  </si>
  <si>
    <t>MAHINDCIE</t>
  </si>
  <si>
    <t>AEGISCHEM</t>
  </si>
  <si>
    <t>FACT</t>
  </si>
  <si>
    <t>Fertilizers and Chemicals Travancore Limited</t>
  </si>
  <si>
    <t>BLUESTARCO</t>
  </si>
  <si>
    <t>SANOFI</t>
  </si>
  <si>
    <t>Sanofi India Limited</t>
  </si>
  <si>
    <t>FINEORG</t>
  </si>
  <si>
    <t>Fine Organic Industries Limited</t>
  </si>
  <si>
    <t>AFFLE</t>
  </si>
  <si>
    <t>Affle (India) Limited</t>
  </si>
  <si>
    <t>GLENMARK</t>
  </si>
  <si>
    <t>Glenmark Pharmaceuticals Limited</t>
  </si>
  <si>
    <t>NAM-INDIA</t>
  </si>
  <si>
    <t>Nippon Life India Asset Management Limited</t>
  </si>
  <si>
    <t>SJVN</t>
  </si>
  <si>
    <t>SJVN Limited</t>
  </si>
  <si>
    <t>REDINGTON</t>
  </si>
  <si>
    <t>Redington Limited</t>
  </si>
  <si>
    <t>AAVAS</t>
  </si>
  <si>
    <t>IDFC</t>
  </si>
  <si>
    <t>FINCABLES</t>
  </si>
  <si>
    <t>Finolex Cables Limited</t>
  </si>
  <si>
    <t>NUVOCO</t>
  </si>
  <si>
    <t>Nuvoco Vistas Corporation Limited</t>
  </si>
  <si>
    <t>BAJAJELEC</t>
  </si>
  <si>
    <t>Bajaj Electricals Limited</t>
  </si>
  <si>
    <t>APTUS</t>
  </si>
  <si>
    <t>Aptus Value Housing Finance India Limited</t>
  </si>
  <si>
    <t>SUVENPHAR</t>
  </si>
  <si>
    <t>ASTERDM</t>
  </si>
  <si>
    <t>Aster DM Healthcare Limited</t>
  </si>
  <si>
    <t>RHIM</t>
  </si>
  <si>
    <t>RHI MAGNESITA INDIA LIMITED</t>
  </si>
  <si>
    <t>KEC</t>
  </si>
  <si>
    <t>KEC International Limited</t>
  </si>
  <si>
    <t>SONATSOFTW</t>
  </si>
  <si>
    <t>Sonata Software Limited</t>
  </si>
  <si>
    <t>AETHER</t>
  </si>
  <si>
    <t>Aether Industries Limited</t>
  </si>
  <si>
    <t>DCMSHRIRAM</t>
  </si>
  <si>
    <t>DCM Shriram Limited</t>
  </si>
  <si>
    <t>IEX</t>
  </si>
  <si>
    <t>Indian Energy Exchange Limited</t>
  </si>
  <si>
    <t>HAPPSTMNDS</t>
  </si>
  <si>
    <t>Happiest Minds Technologies Limited</t>
  </si>
  <si>
    <t>KIMS</t>
  </si>
  <si>
    <t>Krishna Institute of Medical Sciences Limited</t>
  </si>
  <si>
    <t>ALKYLAMINE</t>
  </si>
  <si>
    <t>Alkyl Amines Chemicals Limited</t>
  </si>
  <si>
    <t>CYIENT</t>
  </si>
  <si>
    <t>Cyient Limited</t>
  </si>
  <si>
    <t>CHAMBLFERT</t>
  </si>
  <si>
    <t>Chambal Fertilizers &amp; Chemicals Limited</t>
  </si>
  <si>
    <t>ASAHIINDIA</t>
  </si>
  <si>
    <t>Asahi India Glass Limited</t>
  </si>
  <si>
    <t>CASTROLIND</t>
  </si>
  <si>
    <t>Castrol India Limited</t>
  </si>
  <si>
    <t>BRIGADE</t>
  </si>
  <si>
    <t>Brigade Enterprises Limited</t>
  </si>
  <si>
    <t>KALYANKJIL</t>
  </si>
  <si>
    <t>Kalyan Jewellers India Limited</t>
  </si>
  <si>
    <t>TTML</t>
  </si>
  <si>
    <t>Tata Teleservices (Maharashtra) Limited</t>
  </si>
  <si>
    <t>VGUARD</t>
  </si>
  <si>
    <t>V-Guard Industries Limited</t>
  </si>
  <si>
    <t>NLCINDIA</t>
  </si>
  <si>
    <t>NLC India Limited</t>
  </si>
  <si>
    <t>LAXMIMACH</t>
  </si>
  <si>
    <t>Lakshmi Machine Works Limited</t>
  </si>
  <si>
    <t>TRITURBINE</t>
  </si>
  <si>
    <t>Triveni Turbine Limited</t>
  </si>
  <si>
    <t>FINPIPE</t>
  </si>
  <si>
    <t>Finolex Industries Limited</t>
  </si>
  <si>
    <t>AKZOINDIA</t>
  </si>
  <si>
    <t>Akzo Nobel India Limited</t>
  </si>
  <si>
    <t>MANAPPURAM</t>
  </si>
  <si>
    <t>Manappuram Finance Limited</t>
  </si>
  <si>
    <t>EIHOTEL</t>
  </si>
  <si>
    <t>EIH Limited</t>
  </si>
  <si>
    <t>CENTURYPLY</t>
  </si>
  <si>
    <t>Century Plyboards (India) Limited</t>
  </si>
  <si>
    <t>NATCOPHARM</t>
  </si>
  <si>
    <t>Natco Pharma Limited</t>
  </si>
  <si>
    <t>KIOCL</t>
  </si>
  <si>
    <t>KIOCL Limited</t>
  </si>
  <si>
    <t>CHOLAHLDNG</t>
  </si>
  <si>
    <t>Cholamandalam Financial Holdings Limited</t>
  </si>
  <si>
    <t>CAMPUS</t>
  </si>
  <si>
    <t>Campus Activewear Limited</t>
  </si>
  <si>
    <t>CAMS</t>
  </si>
  <si>
    <t>Computer Age Management Services Limited</t>
  </si>
  <si>
    <t>AMARAJABAT</t>
  </si>
  <si>
    <t>Amara Raja Batteries Limited</t>
  </si>
  <si>
    <t>ZYDUSWELL</t>
  </si>
  <si>
    <t>Zydus Wellness Limited</t>
  </si>
  <si>
    <t>BASF</t>
  </si>
  <si>
    <t>BASF India Limited</t>
  </si>
  <si>
    <t>TEJASNET</t>
  </si>
  <si>
    <t>APLLTD</t>
  </si>
  <si>
    <t>Alembic Pharmaceuticals Limited</t>
  </si>
  <si>
    <t>MGL</t>
  </si>
  <si>
    <t>Mahanagar Gas Limited</t>
  </si>
  <si>
    <t>GRINFRA</t>
  </si>
  <si>
    <t>G R Infraprojects Limited</t>
  </si>
  <si>
    <t>ANGELONE</t>
  </si>
  <si>
    <t>Angel One Limited</t>
  </si>
  <si>
    <t>SFL</t>
  </si>
  <si>
    <t>Sheela Foam Limited</t>
  </si>
  <si>
    <t>TTKPRESTIG</t>
  </si>
  <si>
    <t>TTK Prestige Limited</t>
  </si>
  <si>
    <t>APARINDS</t>
  </si>
  <si>
    <t>Apar Industries Limited</t>
  </si>
  <si>
    <t>HINDCOPPER</t>
  </si>
  <si>
    <t>CDSL</t>
  </si>
  <si>
    <t>Central Depository Services (India) Limited</t>
  </si>
  <si>
    <t>GODFRYPHLP</t>
  </si>
  <si>
    <t>Godfrey Phillips India Limited</t>
  </si>
  <si>
    <t>RENUKA</t>
  </si>
  <si>
    <t>Shree Renuka Sugars Limited</t>
  </si>
  <si>
    <t>CUB</t>
  </si>
  <si>
    <t>City Union Bank Limited</t>
  </si>
  <si>
    <t>JKLAKSHMI</t>
  </si>
  <si>
    <t>JK Lakshmi Cement Limited</t>
  </si>
  <si>
    <t>ANURAS</t>
  </si>
  <si>
    <t>MRPL</t>
  </si>
  <si>
    <t>Mangalore Refinery and Petrochemicals Limited</t>
  </si>
  <si>
    <t>GESHIP</t>
  </si>
  <si>
    <t>The Great Eastern Shipping Company Limited</t>
  </si>
  <si>
    <t>POLYMED</t>
  </si>
  <si>
    <t>Poly Medicure Limited</t>
  </si>
  <si>
    <t>NSLNISP</t>
  </si>
  <si>
    <t>NMDC Steel Limited</t>
  </si>
  <si>
    <t>BIKAJI</t>
  </si>
  <si>
    <t>MOTILALOFS</t>
  </si>
  <si>
    <t>Motilal Oswal Financial Services Limited</t>
  </si>
  <si>
    <t>ABSLAMC</t>
  </si>
  <si>
    <t>Aditya Birla Sun Life AMC Limited</t>
  </si>
  <si>
    <t>CESC</t>
  </si>
  <si>
    <t>CESC Limited</t>
  </si>
  <si>
    <t>TATAINVEST</t>
  </si>
  <si>
    <t>Tata Investment Corporation Limited</t>
  </si>
  <si>
    <t>ALLCARGO</t>
  </si>
  <si>
    <t>Allcargo Logistics Limited</t>
  </si>
  <si>
    <t>KALPATPOWR</t>
  </si>
  <si>
    <t>Kalpataru Power Transmission Limited</t>
  </si>
  <si>
    <t>PNBHOUSING</t>
  </si>
  <si>
    <t>PNB Housing Finance Limited</t>
  </si>
  <si>
    <t>HUDCO</t>
  </si>
  <si>
    <t>Housing &amp; Urban Development Corporation Limited</t>
  </si>
  <si>
    <t>ITI</t>
  </si>
  <si>
    <t>ITI Limited</t>
  </si>
  <si>
    <t>ROUTE</t>
  </si>
  <si>
    <t>ROUTE MOBILE LIMITED</t>
  </si>
  <si>
    <t>RITES</t>
  </si>
  <si>
    <t>RITES Limited</t>
  </si>
  <si>
    <t>VTL</t>
  </si>
  <si>
    <t>RBLBANK</t>
  </si>
  <si>
    <t>HFCL</t>
  </si>
  <si>
    <t>KARURVYSYA</t>
  </si>
  <si>
    <t>Karur Vysya Bank Limited</t>
  </si>
  <si>
    <t>CERA</t>
  </si>
  <si>
    <t>Cera Sanitaryware Limited</t>
  </si>
  <si>
    <t>EIDPARRY</t>
  </si>
  <si>
    <t>EID Parry India Limited</t>
  </si>
  <si>
    <t>INGERRAND</t>
  </si>
  <si>
    <t>Ingersoll Rand (India) Limited</t>
  </si>
  <si>
    <t>GALAXYSURF</t>
  </si>
  <si>
    <t>Galaxy Surfactants Limited</t>
  </si>
  <si>
    <t>PPLPHARMA</t>
  </si>
  <si>
    <t>UTIAMC</t>
  </si>
  <si>
    <t>UTI Asset Management Company Limited</t>
  </si>
  <si>
    <t>KRBL</t>
  </si>
  <si>
    <t>KRBL Limited</t>
  </si>
  <si>
    <t>RAYMOND</t>
  </si>
  <si>
    <t>Raymond Limited</t>
  </si>
  <si>
    <t>ASTRAZEN</t>
  </si>
  <si>
    <t>AstraZeneca Pharma India Limited</t>
  </si>
  <si>
    <t>VIPIND</t>
  </si>
  <si>
    <t>VIP Industries Limited</t>
  </si>
  <si>
    <t>ACI</t>
  </si>
  <si>
    <t>BALRAMCHIN</t>
  </si>
  <si>
    <t>SUZLON</t>
  </si>
  <si>
    <t>Suzlon Energy Limited</t>
  </si>
  <si>
    <t>GODREJAGRO</t>
  </si>
  <si>
    <t>Godrej Agrovet Limited</t>
  </si>
  <si>
    <t>GNFC</t>
  </si>
  <si>
    <t>Gujarat Narmada Valley Fertilizers and Chemicals Limited</t>
  </si>
  <si>
    <t>ERIS</t>
  </si>
  <si>
    <t>Eris Lifesciences Limited</t>
  </si>
  <si>
    <t>PGHL</t>
  </si>
  <si>
    <t>Procter &amp; Gamble Health Limited</t>
  </si>
  <si>
    <t>MEDPLUS</t>
  </si>
  <si>
    <t>Medplus Health Services Limited</t>
  </si>
  <si>
    <t>SAPPHIRE</t>
  </si>
  <si>
    <t>Sapphire Foods India Limited</t>
  </si>
  <si>
    <t>DATAPATTNS</t>
  </si>
  <si>
    <t>Data Patterns (India) Limited</t>
  </si>
  <si>
    <t>SUNCLAYLTD</t>
  </si>
  <si>
    <t>Sundaram Clayton Limited</t>
  </si>
  <si>
    <t>JBMA</t>
  </si>
  <si>
    <t>JBM Auto Limited</t>
  </si>
  <si>
    <t>EASEMYTRIP</t>
  </si>
  <si>
    <t>CCL</t>
  </si>
  <si>
    <t>CCL Products (India) Limited</t>
  </si>
  <si>
    <t>EQUITASBNK</t>
  </si>
  <si>
    <t>Equitas Small Finance Bank Limited</t>
  </si>
  <si>
    <t>CHALET</t>
  </si>
  <si>
    <t>Chalet Hotels Limited</t>
  </si>
  <si>
    <t>RAINBOW</t>
  </si>
  <si>
    <t>Rainbow Childrens Medicare Limited</t>
  </si>
  <si>
    <t>PNCINFRA</t>
  </si>
  <si>
    <t>PNC Infratech Limited</t>
  </si>
  <si>
    <t>FSL</t>
  </si>
  <si>
    <t>Firstsource Solutions Limited</t>
  </si>
  <si>
    <t>KSB</t>
  </si>
  <si>
    <t>BSOFT</t>
  </si>
  <si>
    <t>BIRLASOFT LIMITED</t>
  </si>
  <si>
    <t>KNRCON</t>
  </si>
  <si>
    <t>KNR Constructions Limited</t>
  </si>
  <si>
    <t>SHOPERSTOP</t>
  </si>
  <si>
    <t>Shoppers Stop Limited</t>
  </si>
  <si>
    <t>SYMPHONY</t>
  </si>
  <si>
    <t>Symphony Limited</t>
  </si>
  <si>
    <t>CENTURYTEX</t>
  </si>
  <si>
    <t>CANFINHOME</t>
  </si>
  <si>
    <t>Can Fin Homes Limited</t>
  </si>
  <si>
    <t>GRANULES</t>
  </si>
  <si>
    <t>TANLA</t>
  </si>
  <si>
    <t>Tanla Platforms Limited</t>
  </si>
  <si>
    <t>JYOTHYLAB</t>
  </si>
  <si>
    <t>Jyothy Labs Limited</t>
  </si>
  <si>
    <t>SPLPETRO</t>
  </si>
  <si>
    <t>Supreme Petrochem Limited</t>
  </si>
  <si>
    <t>DEEPAKFERT</t>
  </si>
  <si>
    <t>Deepak Fertilizers and Petrochemicals Corporation Limited</t>
  </si>
  <si>
    <t>CRAFTSMAN</t>
  </si>
  <si>
    <t>Craftsman Automation Limited</t>
  </si>
  <si>
    <t>BIRLACORPN</t>
  </si>
  <si>
    <t>Birla Corporation Limited</t>
  </si>
  <si>
    <t>BLS</t>
  </si>
  <si>
    <t>BLS International Services Limited</t>
  </si>
  <si>
    <t>SHYAMMETL</t>
  </si>
  <si>
    <t>Shyam Metalics and Energy Limited</t>
  </si>
  <si>
    <t>NCC</t>
  </si>
  <si>
    <t>NCC Limited</t>
  </si>
  <si>
    <t>GMMPFAUDLR</t>
  </si>
  <si>
    <t>GMM Pfaudler Limited</t>
  </si>
  <si>
    <t>LATENTVIEW</t>
  </si>
  <si>
    <t>Latent View Analytics Limited</t>
  </si>
  <si>
    <t>USHAMART</t>
  </si>
  <si>
    <t>HOMEFIRST</t>
  </si>
  <si>
    <t>Home First Finance Company India Limited</t>
  </si>
  <si>
    <t>JKPAPER</t>
  </si>
  <si>
    <t>JK Paper Limited</t>
  </si>
  <si>
    <t>TMB</t>
  </si>
  <si>
    <t>Tamilnad Mercantile Bank Limited</t>
  </si>
  <si>
    <t>JINDWORLD</t>
  </si>
  <si>
    <t>Jindal Worldwide Limited</t>
  </si>
  <si>
    <t>METROPOLIS</t>
  </si>
  <si>
    <t>Metropolis Healthcare Limited</t>
  </si>
  <si>
    <t>SAREGAMA</t>
  </si>
  <si>
    <t>Saregama India Limited</t>
  </si>
  <si>
    <t>NBCC</t>
  </si>
  <si>
    <t>NBCC (India) Limited</t>
  </si>
  <si>
    <t>ECLERX</t>
  </si>
  <si>
    <t>eClerx Services Limited</t>
  </si>
  <si>
    <t>BALAMINES</t>
  </si>
  <si>
    <t>Balaji Amines Limited</t>
  </si>
  <si>
    <t>WELSPUNIND</t>
  </si>
  <si>
    <t>Welspun India Limited</t>
  </si>
  <si>
    <t>PRAJIND</t>
  </si>
  <si>
    <t>Praj Industries Limited</t>
  </si>
  <si>
    <t>COCHINSHIP</t>
  </si>
  <si>
    <t>Cochin Shipyard Limited</t>
  </si>
  <si>
    <t>ZENSARTECH</t>
  </si>
  <si>
    <t>AMBER</t>
  </si>
  <si>
    <t>Amber Enterprises India Limited</t>
  </si>
  <si>
    <t>LEMONTREE</t>
  </si>
  <si>
    <t>Lemon Tree Hotels Limited</t>
  </si>
  <si>
    <t>PRINCEPIPE</t>
  </si>
  <si>
    <t>Prince Pipes And Fittings Limited</t>
  </si>
  <si>
    <t>TRIVENI</t>
  </si>
  <si>
    <t>Triveni Engineering &amp; Industries Limited</t>
  </si>
  <si>
    <t>GARFIBRES</t>
  </si>
  <si>
    <t>Garware Technical Fibres Limited</t>
  </si>
  <si>
    <t>LXCHEM</t>
  </si>
  <si>
    <t>Laxmi Organic Industries Limited</t>
  </si>
  <si>
    <t>STLTECH</t>
  </si>
  <si>
    <t>Sterlite Technologies Limited</t>
  </si>
  <si>
    <t>CEATLTD</t>
  </si>
  <si>
    <t>CEAT Limited</t>
  </si>
  <si>
    <t>BSE</t>
  </si>
  <si>
    <t>BSE Limited</t>
  </si>
  <si>
    <t>SPARC</t>
  </si>
  <si>
    <t>Sun Pharma Advanced Research Company Limited</t>
  </si>
  <si>
    <t>ALOKINDS</t>
  </si>
  <si>
    <t>Alok Industries Limited</t>
  </si>
  <si>
    <t>ORIENTELEC</t>
  </si>
  <si>
    <t>Orient Electric Limited</t>
  </si>
  <si>
    <t>INDIACEM</t>
  </si>
  <si>
    <t>JUBLINGREA</t>
  </si>
  <si>
    <t>Jubilant Ingrevia Limited</t>
  </si>
  <si>
    <t>KIRLOSENG</t>
  </si>
  <si>
    <t>Kirloskar Oil Engines Limited</t>
  </si>
  <si>
    <t>TCIEXP</t>
  </si>
  <si>
    <t>TCI Express Limited</t>
  </si>
  <si>
    <t>JMFINANCIL</t>
  </si>
  <si>
    <t>JM Financial Limited</t>
  </si>
  <si>
    <t>NETWORK18</t>
  </si>
  <si>
    <t>BBTC</t>
  </si>
  <si>
    <t>Bombay Burmah Trading Corporation Limited</t>
  </si>
  <si>
    <t>SWANENERGY</t>
  </si>
  <si>
    <t>Swan Energy Limited</t>
  </si>
  <si>
    <t>GPPL</t>
  </si>
  <si>
    <t>Gujarat Pipavav Port Limited</t>
  </si>
  <si>
    <t>KAYNES</t>
  </si>
  <si>
    <t>Kaynes Technology India Limited</t>
  </si>
  <si>
    <t>VRLLOG</t>
  </si>
  <si>
    <t>INTELLECT</t>
  </si>
  <si>
    <t>Intellect Design Arena Limited</t>
  </si>
  <si>
    <t>SWSOLAR</t>
  </si>
  <si>
    <t>Sterling and Wilson Renewable Energy Limited</t>
  </si>
  <si>
    <t>CHEMPLASTS</t>
  </si>
  <si>
    <t>Chemplast Sanmar Limited</t>
  </si>
  <si>
    <t>QUESS</t>
  </si>
  <si>
    <t>Quess Corp Limited</t>
  </si>
  <si>
    <t>ROLEXRINGS</t>
  </si>
  <si>
    <t>Rolex Rings Limited</t>
  </si>
  <si>
    <t>MAHLIFE</t>
  </si>
  <si>
    <t>Mahindra Lifespace Developers Limited</t>
  </si>
  <si>
    <t>ESABINDIA</t>
  </si>
  <si>
    <t>Esab India Limited</t>
  </si>
  <si>
    <t>MHRIL</t>
  </si>
  <si>
    <t>Mahindra Holidays &amp; Resorts India Limited</t>
  </si>
  <si>
    <t>GOCOLORS</t>
  </si>
  <si>
    <t>Go Fashion (India) Limited</t>
  </si>
  <si>
    <t>HGS</t>
  </si>
  <si>
    <t>Hinduja Global Solutions Limited</t>
  </si>
  <si>
    <t>BORORENEW</t>
  </si>
  <si>
    <t>BOROSIL RENEWABLES LIMITED</t>
  </si>
  <si>
    <t>GAEL</t>
  </si>
  <si>
    <t>Gujarat Ambuja Exports Limited</t>
  </si>
  <si>
    <t>MAPMYINDIA</t>
  </si>
  <si>
    <t>C.E. Info Systems Limited</t>
  </si>
  <si>
    <t>PRSMJOHNSN</t>
  </si>
  <si>
    <t>Prism Johnson Limited</t>
  </si>
  <si>
    <t>RUSTOMJEE</t>
  </si>
  <si>
    <t>Keystone Realtors Limited</t>
  </si>
  <si>
    <t>IRCON</t>
  </si>
  <si>
    <t>Ircon International Limited</t>
  </si>
  <si>
    <t>RCF</t>
  </si>
  <si>
    <t>Rashtriya Chemicals and Fertilizers Limited</t>
  </si>
  <si>
    <t>WELCORP</t>
  </si>
  <si>
    <t>Welspun Corp Limited</t>
  </si>
  <si>
    <t>BEML</t>
  </si>
  <si>
    <t>BEML Limited</t>
  </si>
  <si>
    <t>GRSE</t>
  </si>
  <si>
    <t>Garden Reach Shipbuilders &amp; Engineers Limited</t>
  </si>
  <si>
    <t>EPL</t>
  </si>
  <si>
    <t>EPL Limited</t>
  </si>
  <si>
    <t>MINDACORP</t>
  </si>
  <si>
    <t>Minda Corporation Limited</t>
  </si>
  <si>
    <t>GRAPHITE</t>
  </si>
  <si>
    <t>HGINFRA</t>
  </si>
  <si>
    <t>H.G. Infra Engineering Limited</t>
  </si>
  <si>
    <t>OLECTRA</t>
  </si>
  <si>
    <t>Olectra Greentech Limited</t>
  </si>
  <si>
    <t>RELINFRA</t>
  </si>
  <si>
    <t>Reliance Infrastructure Limited</t>
  </si>
  <si>
    <t>JUSTDIAL</t>
  </si>
  <si>
    <t>RAIN</t>
  </si>
  <si>
    <t>Rain Industries Limited</t>
  </si>
  <si>
    <t>IONEXCHANG</t>
  </si>
  <si>
    <t>ION Exchange (India) Limited</t>
  </si>
  <si>
    <t>EDELWEISS</t>
  </si>
  <si>
    <t>Edelweiss Financial Services Limited</t>
  </si>
  <si>
    <t>UJJIVANSFB</t>
  </si>
  <si>
    <t>Ujjivan Small Finance Bank Limited</t>
  </si>
  <si>
    <t>TV18BRDCST</t>
  </si>
  <si>
    <t>TV18 Broadcast Limited</t>
  </si>
  <si>
    <t>GPIL</t>
  </si>
  <si>
    <t>Godawari Power And Ispat limited</t>
  </si>
  <si>
    <t>MTARTECH</t>
  </si>
  <si>
    <t>Mtar Technologies Limited</t>
  </si>
  <si>
    <t>TCI</t>
  </si>
  <si>
    <t>Transport Corporation of India Limited</t>
  </si>
  <si>
    <t>RTNINDIA</t>
  </si>
  <si>
    <t>RattanIndia Enterprises Limited</t>
  </si>
  <si>
    <t>VSTIND</t>
  </si>
  <si>
    <t>VST Industries Limited</t>
  </si>
  <si>
    <t>SAFARI</t>
  </si>
  <si>
    <t>Safari Industries (India) Limited</t>
  </si>
  <si>
    <t>ACE</t>
  </si>
  <si>
    <t>Action Construction Equipment Limited</t>
  </si>
  <si>
    <t>MAHSCOOTER</t>
  </si>
  <si>
    <t>Maharashtra Scooters Limited</t>
  </si>
  <si>
    <t>DELTACORP</t>
  </si>
  <si>
    <t>Delta Corp Limited</t>
  </si>
  <si>
    <t>GLS</t>
  </si>
  <si>
    <t>Glenmark Life Sciences Limited</t>
  </si>
  <si>
    <t>GHCL</t>
  </si>
  <si>
    <t>GHCL Limited</t>
  </si>
  <si>
    <t>INDIGOPNTS</t>
  </si>
  <si>
    <t>Indigo Paints Limited</t>
  </si>
  <si>
    <t>MAHSEAMLES</t>
  </si>
  <si>
    <t>Maharashtra Seamless Limited</t>
  </si>
  <si>
    <t>SUPRAJIT</t>
  </si>
  <si>
    <t>Suprajit Engineering Limited</t>
  </si>
  <si>
    <t>KFINTECH</t>
  </si>
  <si>
    <t>Kfin Technologies Limited</t>
  </si>
  <si>
    <t>GSFC</t>
  </si>
  <si>
    <t>Gujarat State Fertilizers &amp; Chemicals Limited</t>
  </si>
  <si>
    <t>J&amp;KBANK</t>
  </si>
  <si>
    <t>RELIGARE</t>
  </si>
  <si>
    <t>Religare Enterprises Limited</t>
  </si>
  <si>
    <t>MASTEK</t>
  </si>
  <si>
    <t>Mastek Limited</t>
  </si>
  <si>
    <t>SIS</t>
  </si>
  <si>
    <t>SIS LIMITED</t>
  </si>
  <si>
    <t>JINDALSAW</t>
  </si>
  <si>
    <t>Jindal Saw Limited</t>
  </si>
  <si>
    <t>TEGA</t>
  </si>
  <si>
    <t>Tega Industries Limited</t>
  </si>
  <si>
    <t>SYRMA</t>
  </si>
  <si>
    <t>Syrma SGS Technology Limited</t>
  </si>
  <si>
    <t>AVANTIFEED</t>
  </si>
  <si>
    <t>Avanti Feeds Limited</t>
  </si>
  <si>
    <t>STARCEMENT</t>
  </si>
  <si>
    <t>Star Cement Limited</t>
  </si>
  <si>
    <t>IBULHSGFIN</t>
  </si>
  <si>
    <t>Indiabulls Housing Finance Limited</t>
  </si>
  <si>
    <t>RKFORGE</t>
  </si>
  <si>
    <t>CAPLIPOINT</t>
  </si>
  <si>
    <t>Caplin Point Laboratories Limited</t>
  </si>
  <si>
    <t>VAIBHAVGBL</t>
  </si>
  <si>
    <t>Vaibhav Global Limited</t>
  </si>
  <si>
    <t>RBA</t>
  </si>
  <si>
    <t>Restaurant Brands Asia Limited</t>
  </si>
  <si>
    <t>JUBLPHARMA</t>
  </si>
  <si>
    <t>Jubilant Pharmova Limited</t>
  </si>
  <si>
    <t>SHARDACROP</t>
  </si>
  <si>
    <t>Sharda Cropchem Limited</t>
  </si>
  <si>
    <t>NIITLTD</t>
  </si>
  <si>
    <t>NIIT Limited</t>
  </si>
  <si>
    <t>PCBL</t>
  </si>
  <si>
    <t>PCBL LIMITED</t>
  </si>
  <si>
    <t>MASFIN</t>
  </si>
  <si>
    <t>MAS Financial Services Limited</t>
  </si>
  <si>
    <t>SCI</t>
  </si>
  <si>
    <t>Shipping Corporation Of India Limited</t>
  </si>
  <si>
    <t>PDSL</t>
  </si>
  <si>
    <t>PDS Limited</t>
  </si>
  <si>
    <t>GUJALKALI</t>
  </si>
  <si>
    <t>Gujarat Alkalies and Chemicals Limited</t>
  </si>
  <si>
    <t>ELECON</t>
  </si>
  <si>
    <t>Elecon Engineering Company Limited</t>
  </si>
  <si>
    <t>CMSINFO</t>
  </si>
  <si>
    <t>CMS Info Systems Limited</t>
  </si>
  <si>
    <t>VMART</t>
  </si>
  <si>
    <t>V-Mart Retail Limited</t>
  </si>
  <si>
    <t>ICRA</t>
  </si>
  <si>
    <t>ICRA Limited</t>
  </si>
  <si>
    <t>JSWHL</t>
  </si>
  <si>
    <t>JSW Holdings Limited</t>
  </si>
  <si>
    <t>FDC</t>
  </si>
  <si>
    <t>FDC Limited</t>
  </si>
  <si>
    <t>CSBBANK</t>
  </si>
  <si>
    <t>CSB Bank Limited</t>
  </si>
  <si>
    <t>KTKBANK</t>
  </si>
  <si>
    <t>The Karnataka Bank Limited</t>
  </si>
  <si>
    <t>MMTC</t>
  </si>
  <si>
    <t>MMTC Limited</t>
  </si>
  <si>
    <t>ENGINERSIN</t>
  </si>
  <si>
    <t>SUNTECK</t>
  </si>
  <si>
    <t>Sunteck Realty Limited</t>
  </si>
  <si>
    <t>PRIVISCL</t>
  </si>
  <si>
    <t>Privi Speciality Chemicals Limited</t>
  </si>
  <si>
    <t>PARADEEP</t>
  </si>
  <si>
    <t>Paradeep Phosphates Limited</t>
  </si>
  <si>
    <t>SOBHA</t>
  </si>
  <si>
    <t>Sobha Limited</t>
  </si>
  <si>
    <t>FUSION</t>
  </si>
  <si>
    <t>Fusion Micro Finance Limited</t>
  </si>
  <si>
    <t>GMDCLTD</t>
  </si>
  <si>
    <t>Gujarat Mineral Development Corporation Limited</t>
  </si>
  <si>
    <t>VIJAYA</t>
  </si>
  <si>
    <t>Vijaya Diagnostic Centre Limited</t>
  </si>
  <si>
    <t>JAMNAAUTO</t>
  </si>
  <si>
    <t>Jamna Auto Industries Limited</t>
  </si>
  <si>
    <t>ANANTRAJ</t>
  </si>
  <si>
    <t>Anant Raj Limited</t>
  </si>
  <si>
    <t>SANSERA</t>
  </si>
  <si>
    <t>Sansera Engineering Limited</t>
  </si>
  <si>
    <t>MFL</t>
  </si>
  <si>
    <t>Meghmani Finechem Limited</t>
  </si>
  <si>
    <t>AHLUCONT</t>
  </si>
  <si>
    <t>Ahluwalia Contracts (India) Limited</t>
  </si>
  <si>
    <t>BSHSL</t>
  </si>
  <si>
    <t>Bombay Super Hybrid Seeds Limited</t>
  </si>
  <si>
    <t>TATACOFFEE</t>
  </si>
  <si>
    <t>Tata Coffee Limited</t>
  </si>
  <si>
    <t>TEAMLEASE</t>
  </si>
  <si>
    <t>Teamlease Services Limited</t>
  </si>
  <si>
    <t>JKTYRE</t>
  </si>
  <si>
    <t>JK Tyre &amp; Industries Limited</t>
  </si>
  <si>
    <t>VARROC</t>
  </si>
  <si>
    <t>Varroc Engineering Limited</t>
  </si>
  <si>
    <t>GREENLAM</t>
  </si>
  <si>
    <t>Greenlam Industries Limited</t>
  </si>
  <si>
    <t>JPPOWER</t>
  </si>
  <si>
    <t>Jaiprakash Power Ventures Limited</t>
  </si>
  <si>
    <t>INFIBEAM</t>
  </si>
  <si>
    <t>Infibeam Avenues Limited</t>
  </si>
  <si>
    <t>SPANDANA</t>
  </si>
  <si>
    <t>Spandana Sphoorty Financial Limited</t>
  </si>
  <si>
    <t>HSCL</t>
  </si>
  <si>
    <t>BHARATRAS</t>
  </si>
  <si>
    <t>RAJRATAN</t>
  </si>
  <si>
    <t>Rajratan Global Wire Limited</t>
  </si>
  <si>
    <t>LAOPALA</t>
  </si>
  <si>
    <t>La Opala RG Limited</t>
  </si>
  <si>
    <t>SARDAEN</t>
  </si>
  <si>
    <t>Sarda Energy &amp; Minerals Limited</t>
  </si>
  <si>
    <t>RALLIS</t>
  </si>
  <si>
    <t>Rallis India Limited</t>
  </si>
  <si>
    <t>BOROLTD</t>
  </si>
  <si>
    <t>Borosil Limited</t>
  </si>
  <si>
    <t>RATEGAIN</t>
  </si>
  <si>
    <t>Rategain Travel Technologies Limited</t>
  </si>
  <si>
    <t>SCHNEIDER</t>
  </si>
  <si>
    <t>Schneider Electric Infrastructure Limited</t>
  </si>
  <si>
    <t>RPOWER</t>
  </si>
  <si>
    <t>Reliance Power Limited</t>
  </si>
  <si>
    <t>ARVINDFASN</t>
  </si>
  <si>
    <t>Arvind Fashions Limited</t>
  </si>
  <si>
    <t>TATVA</t>
  </si>
  <si>
    <t>Tatva Chintan Pharma Chem Limited</t>
  </si>
  <si>
    <t>POWERMECH</t>
  </si>
  <si>
    <t>Power Mech Projects Limited</t>
  </si>
  <si>
    <t>HCG</t>
  </si>
  <si>
    <t>Healthcare Global Enterprises Limited</t>
  </si>
  <si>
    <t>NESCO</t>
  </si>
  <si>
    <t>Nesco Limited</t>
  </si>
  <si>
    <t>HEIDELBERG</t>
  </si>
  <si>
    <t>HeidelbergCement India Limited</t>
  </si>
  <si>
    <t>TECHNOE</t>
  </si>
  <si>
    <t>Techno Electric &amp; Engineering Company Limited</t>
  </si>
  <si>
    <t>POLYPLEX</t>
  </si>
  <si>
    <t>Polyplex Corporation Limited</t>
  </si>
  <si>
    <t>SURYAROSNI</t>
  </si>
  <si>
    <t>Surya Roshni Limited</t>
  </si>
  <si>
    <t>AUTOAXLES</t>
  </si>
  <si>
    <t>Automotive Axles Limited</t>
  </si>
  <si>
    <t>JWL</t>
  </si>
  <si>
    <t>Jupiter Wagons Limited</t>
  </si>
  <si>
    <t>NFL</t>
  </si>
  <si>
    <t>National Fertilizers Limited</t>
  </si>
  <si>
    <t>HEG</t>
  </si>
  <si>
    <t>RAJRILTD</t>
  </si>
  <si>
    <t>Raj Rayon Industries Limited</t>
  </si>
  <si>
    <t>CHENNPETRO</t>
  </si>
  <si>
    <t>Chennai Petroleum Corporation Limited</t>
  </si>
  <si>
    <t>WSTCSTPAPR</t>
  </si>
  <si>
    <t>LUXIND</t>
  </si>
  <si>
    <t>Lux Industries Limited</t>
  </si>
  <si>
    <t>HIKAL</t>
  </si>
  <si>
    <t>Hikal Limited</t>
  </si>
  <si>
    <t>MIDHANI</t>
  </si>
  <si>
    <t>Mishra Dhatu Nigam Limited</t>
  </si>
  <si>
    <t>HLEGLAS</t>
  </si>
  <si>
    <t>HLE Glascoat Limited</t>
  </si>
  <si>
    <t>SHAREINDIA</t>
  </si>
  <si>
    <t>Share India Securities Limited</t>
  </si>
  <si>
    <t>NOCIL</t>
  </si>
  <si>
    <t>NOCIL Limited</t>
  </si>
  <si>
    <t>NAZARA</t>
  </si>
  <si>
    <t>Nazara Technologies Limited</t>
  </si>
  <si>
    <t>BANARISUG</t>
  </si>
  <si>
    <t>Bannari Amman Sugars Limited</t>
  </si>
  <si>
    <t>ANANDRATHI</t>
  </si>
  <si>
    <t>PRUDENT</t>
  </si>
  <si>
    <t>Prudent Corporate Advisory Services Limited</t>
  </si>
  <si>
    <t>GRAVITA</t>
  </si>
  <si>
    <t>Gravita India Limited</t>
  </si>
  <si>
    <t>GREENPANEL</t>
  </si>
  <si>
    <t>Greenpanel Industries Limited</t>
  </si>
  <si>
    <t>VESUVIUS</t>
  </si>
  <si>
    <t>Vesuvius India Limited</t>
  </si>
  <si>
    <t>DCBBANK</t>
  </si>
  <si>
    <t>DCB Bank Limited</t>
  </si>
  <si>
    <t>ROSSARI</t>
  </si>
  <si>
    <t>RESPONIND</t>
  </si>
  <si>
    <t>Responsive Industries Limited</t>
  </si>
  <si>
    <t>TINPLATE</t>
  </si>
  <si>
    <t>The Tinplate Company of India Limited</t>
  </si>
  <si>
    <t>KIRLOSBROS</t>
  </si>
  <si>
    <t>Kirloskar Brothers Limited</t>
  </si>
  <si>
    <t>RAILTEL</t>
  </si>
  <si>
    <t>AMIORG</t>
  </si>
  <si>
    <t>Ami Organics Limited</t>
  </si>
  <si>
    <t>ISGEC</t>
  </si>
  <si>
    <t>Isgec Heavy Engineering Limited</t>
  </si>
  <si>
    <t>NEOGEN</t>
  </si>
  <si>
    <t>Neogen Chemicals Limited</t>
  </si>
  <si>
    <t>MARKSANS</t>
  </si>
  <si>
    <t>NAVA</t>
  </si>
  <si>
    <t>NAVA LIMITED</t>
  </si>
  <si>
    <t>NEWGEN</t>
  </si>
  <si>
    <t>Newgen Software Technologies Limited</t>
  </si>
  <si>
    <t>BECTORFOOD</t>
  </si>
  <si>
    <t>Mrs. Bectors Food Specialities Limited</t>
  </si>
  <si>
    <t>TWL</t>
  </si>
  <si>
    <t>Titagarh Wagons Limited</t>
  </si>
  <si>
    <t>AARTIDRUGS</t>
  </si>
  <si>
    <t>Aarti Drugs Limited</t>
  </si>
  <si>
    <t>UJJIVAN</t>
  </si>
  <si>
    <t>Ujjivan Financial Services Limited</t>
  </si>
  <si>
    <t>GATEWAY</t>
  </si>
  <si>
    <t>Gateway Distriparks Limited</t>
  </si>
  <si>
    <t>SULA</t>
  </si>
  <si>
    <t>DAAWAT</t>
  </si>
  <si>
    <t>LT Foods Limited</t>
  </si>
  <si>
    <t>SOUTHBANK</t>
  </si>
  <si>
    <t>The South Indian Bank Limited</t>
  </si>
  <si>
    <t>GET&amp;D</t>
  </si>
  <si>
    <t>GE T&amp;D India Limited</t>
  </si>
  <si>
    <t>HARSHA</t>
  </si>
  <si>
    <t>Harsha Engineers International Limited</t>
  </si>
  <si>
    <t>PGEL</t>
  </si>
  <si>
    <t>PG Electroplast Limited</t>
  </si>
  <si>
    <t>RSYSTEMS</t>
  </si>
  <si>
    <t>R Systems International Limited</t>
  </si>
  <si>
    <t>INDOCO</t>
  </si>
  <si>
    <t>Indoco Remedies Limited</t>
  </si>
  <si>
    <t>MOLDTKPAC</t>
  </si>
  <si>
    <t>Mold-Tek Packaging Limited</t>
  </si>
  <si>
    <t>IFBIND</t>
  </si>
  <si>
    <t>IFB Industries Limited</t>
  </si>
  <si>
    <t>SBCL</t>
  </si>
  <si>
    <t>Shivalik Bimetal Controls Limited</t>
  </si>
  <si>
    <t>BCG</t>
  </si>
  <si>
    <t>Brightcom Group Limited</t>
  </si>
  <si>
    <t>GREAVESCOT</t>
  </si>
  <si>
    <t>Greaves Cotton Limited</t>
  </si>
  <si>
    <t>MOIL</t>
  </si>
  <si>
    <t>MOIL Limited</t>
  </si>
  <si>
    <t>TATASTLLP</t>
  </si>
  <si>
    <t>Tata Steel Long Products Limited</t>
  </si>
  <si>
    <t>TARSONS</t>
  </si>
  <si>
    <t>Tarsons Products Limited</t>
  </si>
  <si>
    <t>SHANTIGEAR</t>
  </si>
  <si>
    <t>Shanthi Gears Limited</t>
  </si>
  <si>
    <t>CHOICEIN</t>
  </si>
  <si>
    <t>Choice International Limited</t>
  </si>
  <si>
    <t>TIIL</t>
  </si>
  <si>
    <t>Technocraft Industries (India) Limited</t>
  </si>
  <si>
    <t>DHANUKA</t>
  </si>
  <si>
    <t>Dhanuka Agritech Limited</t>
  </si>
  <si>
    <t>JCHAC</t>
  </si>
  <si>
    <t>Johnson Controls - Hitachi Air Conditioning India Limited</t>
  </si>
  <si>
    <t>DODLA</t>
  </si>
  <si>
    <t>Dodla Dairy Limited</t>
  </si>
  <si>
    <t>DALMIASUG</t>
  </si>
  <si>
    <t>Dalmia Bharat Sugar and Industries Limited</t>
  </si>
  <si>
    <t>VOLTAMP</t>
  </si>
  <si>
    <t>Voltamp Transformers Limited</t>
  </si>
  <si>
    <t>ASTEC</t>
  </si>
  <si>
    <t>Astec LifeSciences Limited</t>
  </si>
  <si>
    <t>SUDARSCHEM</t>
  </si>
  <si>
    <t>Sudarshan Chemical Industries Limited</t>
  </si>
  <si>
    <t>KSCL</t>
  </si>
  <si>
    <t>Kaveri Seed Company Limited</t>
  </si>
  <si>
    <t>SUNFLAG</t>
  </si>
  <si>
    <t>Sunflag Iron And Steel Company Limited</t>
  </si>
  <si>
    <t>IBREALEST</t>
  </si>
  <si>
    <t>Indiabulls Real Estate Limited</t>
  </si>
  <si>
    <t>THOMASCOOK</t>
  </si>
  <si>
    <t>Thomas Cook  (India)  Limited</t>
  </si>
  <si>
    <t>HBLPOWER</t>
  </si>
  <si>
    <t>HBL Power Systems Limited</t>
  </si>
  <si>
    <t>INOXWIND</t>
  </si>
  <si>
    <t>Inox Wind Limited</t>
  </si>
  <si>
    <t>NILKAMAL</t>
  </si>
  <si>
    <t>Nilkamal Limited</t>
  </si>
  <si>
    <t>ZENTEC</t>
  </si>
  <si>
    <t>Zen Technologies Limited</t>
  </si>
  <si>
    <t>TCNSBRANDS</t>
  </si>
  <si>
    <t>TCNS Clothing Co. Limited</t>
  </si>
  <si>
    <t>ADVENZYMES</t>
  </si>
  <si>
    <t>Advanced Enzyme Technologies Limited</t>
  </si>
  <si>
    <t>STAR</t>
  </si>
  <si>
    <t>Strides Pharma Science Limited</t>
  </si>
  <si>
    <t>FCL</t>
  </si>
  <si>
    <t>Fineotex Chemical Limited</t>
  </si>
  <si>
    <t>KKCL</t>
  </si>
  <si>
    <t>Kewal Kiran Clothing Limited</t>
  </si>
  <si>
    <t>HINDWAREAP</t>
  </si>
  <si>
    <t>Hindware Home Innovation Limited</t>
  </si>
  <si>
    <t>MAHLOG</t>
  </si>
  <si>
    <t>Mahindra Logistics Limited</t>
  </si>
  <si>
    <t>EMIL</t>
  </si>
  <si>
    <t>Electronics Mart India Limited</t>
  </si>
  <si>
    <t>JTEKTINDIA</t>
  </si>
  <si>
    <t>Jtekt India Limited</t>
  </si>
  <si>
    <t>MANINFRA</t>
  </si>
  <si>
    <t>ITDC</t>
  </si>
  <si>
    <t>India Tourism Development Corporation Limited</t>
  </si>
  <si>
    <t>APCOTEXIND</t>
  </si>
  <si>
    <t>Apcotex Industries Limited</t>
  </si>
  <si>
    <t>PRICOLLTD</t>
  </si>
  <si>
    <t>PTC</t>
  </si>
  <si>
    <t>PTC India Limited</t>
  </si>
  <si>
    <t>AARTIPHARM</t>
  </si>
  <si>
    <t>Aarti Pharmalabs Limited</t>
  </si>
  <si>
    <t>MBAPL</t>
  </si>
  <si>
    <t>Madhya Bharat Agro Products Limited</t>
  </si>
  <si>
    <t>SAGCEM</t>
  </si>
  <si>
    <t>Sagar Cements Limited</t>
  </si>
  <si>
    <t>TDPOWERSYS</t>
  </si>
  <si>
    <t>TD Power Systems Limited</t>
  </si>
  <si>
    <t>JAICORPLTD</t>
  </si>
  <si>
    <t>Jai Corp Limited</t>
  </si>
  <si>
    <t>DBL</t>
  </si>
  <si>
    <t>Dilip Buildcon Limited</t>
  </si>
  <si>
    <t>BARBEQUE</t>
  </si>
  <si>
    <t>Barbeque Nation Hospitality Limited</t>
  </si>
  <si>
    <t>UNIPARTS</t>
  </si>
  <si>
    <t>Uniparts India Limited</t>
  </si>
  <si>
    <t>UFLEX</t>
  </si>
  <si>
    <t>UFLEX Limited</t>
  </si>
  <si>
    <t>WONDERLA</t>
  </si>
  <si>
    <t>Wonderla Holidays Limited</t>
  </si>
  <si>
    <t>PSPPROJECT</t>
  </si>
  <si>
    <t>PSP Projects Limited</t>
  </si>
  <si>
    <t>KIRLOSIND</t>
  </si>
  <si>
    <t>Kirloskar Industries Limited</t>
  </si>
  <si>
    <t>IPL</t>
  </si>
  <si>
    <t>DISHTV</t>
  </si>
  <si>
    <t>Dish TV India Limited</t>
  </si>
  <si>
    <t>TATAMETALI</t>
  </si>
  <si>
    <t>Tata Metaliks Limited</t>
  </si>
  <si>
    <t>PAISALO</t>
  </si>
  <si>
    <t>Paisalo Digital Limited</t>
  </si>
  <si>
    <t>PFOCUS</t>
  </si>
  <si>
    <t>Prime Focus Limited</t>
  </si>
  <si>
    <t>HEMIPROP</t>
  </si>
  <si>
    <t>Hemisphere Properties India Limited</t>
  </si>
  <si>
    <t>LGBBROSLTD</t>
  </si>
  <si>
    <t>LG Balakrishnan &amp; Bros Limited</t>
  </si>
  <si>
    <t>MAITHANALL</t>
  </si>
  <si>
    <t>Maithan Alloys Limited</t>
  </si>
  <si>
    <t>SSWL</t>
  </si>
  <si>
    <t>Steel Strips Wheels Limited</t>
  </si>
  <si>
    <t>NEULANDLAB</t>
  </si>
  <si>
    <t>Neuland Laboratories Limited</t>
  </si>
  <si>
    <t>HATHWAY</t>
  </si>
  <si>
    <t>Hathway Cable &amp; Datacom Limited</t>
  </si>
  <si>
    <t>THYROCARE</t>
  </si>
  <si>
    <t>Thyrocare Technologies Limited</t>
  </si>
  <si>
    <t>ORIENTCEM</t>
  </si>
  <si>
    <t>Orient Cement Limited</t>
  </si>
  <si>
    <t>DREAMFOLKS</t>
  </si>
  <si>
    <t>Dreamfolks Services Limited</t>
  </si>
  <si>
    <t>ETHOSLTD</t>
  </si>
  <si>
    <t>Ethos Limited</t>
  </si>
  <si>
    <t>GLOBUSSPR</t>
  </si>
  <si>
    <t>Globus Spirits Limited</t>
  </si>
  <si>
    <t>GANESHHOUC</t>
  </si>
  <si>
    <t>Ganesh Housing Corporation Limited</t>
  </si>
  <si>
    <t>ARVIND</t>
  </si>
  <si>
    <t>ICIL</t>
  </si>
  <si>
    <t>Indo Count Industries Limited</t>
  </si>
  <si>
    <t>SHRIPISTON</t>
  </si>
  <si>
    <t>Shriram Pistons &amp; Rings Limited</t>
  </si>
  <si>
    <t>WOCKPHARMA</t>
  </si>
  <si>
    <t>Wockhardt Limited</t>
  </si>
  <si>
    <t>DBREALTY</t>
  </si>
  <si>
    <t>D B Realty Limited</t>
  </si>
  <si>
    <t>ISMTLTD</t>
  </si>
  <si>
    <t>ISMT Limited</t>
  </si>
  <si>
    <t>JINDALPOLY</t>
  </si>
  <si>
    <t>Jindal Poly Films Limited</t>
  </si>
  <si>
    <t>WABAG</t>
  </si>
  <si>
    <t>VA Tech Wabag Limited</t>
  </si>
  <si>
    <t>BAJAJCON</t>
  </si>
  <si>
    <t>Bajaj Consumer Care Limited</t>
  </si>
  <si>
    <t>GENUSPOWER</t>
  </si>
  <si>
    <t>Genus Power Infrastructures Limited</t>
  </si>
  <si>
    <t>BUTTERFLY</t>
  </si>
  <si>
    <t>Butterfly Gandhimathi Appliances Limited</t>
  </si>
  <si>
    <t>NAVNETEDUL</t>
  </si>
  <si>
    <t>Navneet Education Limited</t>
  </si>
  <si>
    <t>GOKEX</t>
  </si>
  <si>
    <t>Gokaldas Exports Limited</t>
  </si>
  <si>
    <t>APOLLOPIPE</t>
  </si>
  <si>
    <t>Apollo Pipes Limited</t>
  </si>
  <si>
    <t>LANDMARK</t>
  </si>
  <si>
    <t>Landmark Cars Limited</t>
  </si>
  <si>
    <t>IFCI</t>
  </si>
  <si>
    <t>IFCI Limited</t>
  </si>
  <si>
    <t>ATFL</t>
  </si>
  <si>
    <t>Agro Tech Foods Limited</t>
  </si>
  <si>
    <t>EVEREADY</t>
  </si>
  <si>
    <t>Eveready Industries India Limited</t>
  </si>
  <si>
    <t>AGI</t>
  </si>
  <si>
    <t>AGI Greenpac Limited</t>
  </si>
  <si>
    <t>TI</t>
  </si>
  <si>
    <t>Tilaknagar Industries Limited</t>
  </si>
  <si>
    <t>ASHOKA</t>
  </si>
  <si>
    <t>Ashoka Buildcon Limited</t>
  </si>
  <si>
    <t>SOMANYCERA</t>
  </si>
  <si>
    <t>Somany Ceramics Limited</t>
  </si>
  <si>
    <t>HCC</t>
  </si>
  <si>
    <t>Hindustan Construction Company Limited</t>
  </si>
  <si>
    <t>JISLJALEQS</t>
  </si>
  <si>
    <t>Jain Irrigation Systems Limited</t>
  </si>
  <si>
    <t>VINDHYATEL</t>
  </si>
  <si>
    <t>Vindhya Telelinks Limited</t>
  </si>
  <si>
    <t>FIEMIND</t>
  </si>
  <si>
    <t>Fiem Industries Limited</t>
  </si>
  <si>
    <t>TASTYBITE</t>
  </si>
  <si>
    <t>Tasty Bite Eatables Limited</t>
  </si>
  <si>
    <t>JAYNECOIND</t>
  </si>
  <si>
    <t>Jayaswal Neco Industries Limited</t>
  </si>
  <si>
    <t>HONDAPOWER</t>
  </si>
  <si>
    <t>UNICHEMLAB</t>
  </si>
  <si>
    <t>Unichem Laboratories Limited</t>
  </si>
  <si>
    <t>MUKANDLTD</t>
  </si>
  <si>
    <t>Mukand Limited</t>
  </si>
  <si>
    <t>CIGNITITEC</t>
  </si>
  <si>
    <t>Cigniti Technologies Limited</t>
  </si>
  <si>
    <t>MMFL</t>
  </si>
  <si>
    <t>MM Forgings Limited</t>
  </si>
  <si>
    <t>VENKEYS</t>
  </si>
  <si>
    <t>Venky's (India) Limited</t>
  </si>
  <si>
    <t>RAMKY</t>
  </si>
  <si>
    <t>Ramky Infrastructure Limited</t>
  </si>
  <si>
    <t>DIVGIITTS</t>
  </si>
  <si>
    <t>Divgi Torqtransfer Systems Limited</t>
  </si>
  <si>
    <t>CAMLINFINE</t>
  </si>
  <si>
    <t>Camlin Fine Sciences Limited</t>
  </si>
  <si>
    <t>SHILPAMED</t>
  </si>
  <si>
    <t>Shilpa Medicare Limited</t>
  </si>
  <si>
    <t>GULFOILLUB</t>
  </si>
  <si>
    <t>Gulf Oil Lubricants India Limited</t>
  </si>
  <si>
    <t>MOL</t>
  </si>
  <si>
    <t>Meghmani Organics Limited</t>
  </si>
  <si>
    <t>DOLLAR</t>
  </si>
  <si>
    <t>Dollar Industries Limited</t>
  </si>
  <si>
    <t>VSTTILLERS</t>
  </si>
  <si>
    <t>V.S.T Tillers Tractors Limited</t>
  </si>
  <si>
    <t>SUBROS</t>
  </si>
  <si>
    <t>Subros Limited</t>
  </si>
  <si>
    <t>DCAL</t>
  </si>
  <si>
    <t>Dishman Carbogen Amcis Limited</t>
  </si>
  <si>
    <t>GABRIEL</t>
  </si>
  <si>
    <t>Gabriel India Limited</t>
  </si>
  <si>
    <t>MAXVIL</t>
  </si>
  <si>
    <t>Max Ventures and Industries Limited</t>
  </si>
  <si>
    <t>SIYSIL</t>
  </si>
  <si>
    <t>Siyaram Silk Mills Limited</t>
  </si>
  <si>
    <t>TVSSRICHAK</t>
  </si>
  <si>
    <t>TVS Srichakra Limited</t>
  </si>
  <si>
    <t>ASTRAMICRO</t>
  </si>
  <si>
    <t>Astra Microwave Products Limited</t>
  </si>
  <si>
    <t>JKIL</t>
  </si>
  <si>
    <t>J.Kumar Infraprojects Limited</t>
  </si>
  <si>
    <t>JAGRAN</t>
  </si>
  <si>
    <t>Jagran Prakashan Limited</t>
  </si>
  <si>
    <t>ELECTCAST</t>
  </si>
  <si>
    <t>Electrosteel Castings Limited</t>
  </si>
  <si>
    <t>CARERATING</t>
  </si>
  <si>
    <t>CARE Ratings Limited</t>
  </si>
  <si>
    <t>INDIAGLYCO</t>
  </si>
  <si>
    <t>India Glycols Limited</t>
  </si>
  <si>
    <t>BALMLAWRIE</t>
  </si>
  <si>
    <t>Balmer Lawrie &amp; Company Limited</t>
  </si>
  <si>
    <t>KOLTEPATIL</t>
  </si>
  <si>
    <t>Kolte - Patil Developers Limited</t>
  </si>
  <si>
    <t>IMAGICAA</t>
  </si>
  <si>
    <t>Imagicaaworld Entertainment Limited</t>
  </si>
  <si>
    <t>WELENT</t>
  </si>
  <si>
    <t>Welspun Enterprises Limited</t>
  </si>
  <si>
    <t>TIPSINDLTD</t>
  </si>
  <si>
    <t>TIPS Industries Limited</t>
  </si>
  <si>
    <t>SWARAJENG</t>
  </si>
  <si>
    <t>Swaraj Engines Limited</t>
  </si>
  <si>
    <t>MAYURUNIQ</t>
  </si>
  <si>
    <t>Mayur Uniquoters Ltd</t>
  </si>
  <si>
    <t>GANECOS</t>
  </si>
  <si>
    <t>Ganesha Ecosphere Limited</t>
  </si>
  <si>
    <t>PARAS</t>
  </si>
  <si>
    <t>Paras Defence and Space Technologies Limited</t>
  </si>
  <si>
    <t>LUMAXTECH</t>
  </si>
  <si>
    <t>Lumax Auto Technologies Limited</t>
  </si>
  <si>
    <t>ACCELYA</t>
  </si>
  <si>
    <t>Accelya Solutions India Limited</t>
  </si>
  <si>
    <t>KESORAMIND</t>
  </si>
  <si>
    <t>Kesoram Industries Limited</t>
  </si>
  <si>
    <t>CARTRADE</t>
  </si>
  <si>
    <t>Cartrade Tech Limited</t>
  </si>
  <si>
    <t>MPSLTD</t>
  </si>
  <si>
    <t>MPS Limited</t>
  </si>
  <si>
    <t>SEQUENT</t>
  </si>
  <si>
    <t>Sequent Scientific Limited</t>
  </si>
  <si>
    <t>HIL</t>
  </si>
  <si>
    <t>HIL Limited</t>
  </si>
  <si>
    <t>GUFICBIO</t>
  </si>
  <si>
    <t>Gufic Biosciences Limited</t>
  </si>
  <si>
    <t>ITDCEM</t>
  </si>
  <si>
    <t>ITD Cementation India Limited</t>
  </si>
  <si>
    <t>PILANIINVS</t>
  </si>
  <si>
    <t>Pilani Investment and Industries Corporation Limited</t>
  </si>
  <si>
    <t>MSTCLTD</t>
  </si>
  <si>
    <t>Mstc Limited</t>
  </si>
  <si>
    <t>LSIL</t>
  </si>
  <si>
    <t>Lloyds Steels Industries Limited</t>
  </si>
  <si>
    <t>PANAMAPET</t>
  </si>
  <si>
    <t>Panama Petrochem Limited</t>
  </si>
  <si>
    <t>OPTIEMUS</t>
  </si>
  <si>
    <t>Optiemus Infracom Limited</t>
  </si>
  <si>
    <t>SIRCA</t>
  </si>
  <si>
    <t>Sirca Paints India Limited</t>
  </si>
  <si>
    <t>TIRUMALCHM</t>
  </si>
  <si>
    <t>Thirumalai Chemicals Limited</t>
  </si>
  <si>
    <t>DYNAMATECH</t>
  </si>
  <si>
    <t>Dynamatic Technologies Limited</t>
  </si>
  <si>
    <t>SUNDARMHLD</t>
  </si>
  <si>
    <t>Sundaram Finance Holdings Limited</t>
  </si>
  <si>
    <t>TIMETECHNO</t>
  </si>
  <si>
    <t>Time Technoplast Limited</t>
  </si>
  <si>
    <t>DBCORP</t>
  </si>
  <si>
    <t>D.B.Corp Limited</t>
  </si>
  <si>
    <t>ASHIANA</t>
  </si>
  <si>
    <t>Ashiana Housing Limited</t>
  </si>
  <si>
    <t>CONFIPET</t>
  </si>
  <si>
    <t>DIAMONDYD</t>
  </si>
  <si>
    <t>Prataap Snacks Limited</t>
  </si>
  <si>
    <t>NUCLEUS</t>
  </si>
  <si>
    <t>Nucleus Software Exports Limited</t>
  </si>
  <si>
    <t>GREENPLY</t>
  </si>
  <si>
    <t>Greenply Industries Limited</t>
  </si>
  <si>
    <t>JPASSOCIAT</t>
  </si>
  <si>
    <t>Jaiprakash Associates Limited</t>
  </si>
  <si>
    <t>WENDT</t>
  </si>
  <si>
    <t>Wendt (India) Limited</t>
  </si>
  <si>
    <t>FINOPB</t>
  </si>
  <si>
    <t>Fino Payments Bank Limited</t>
  </si>
  <si>
    <t>FMGOETZE</t>
  </si>
  <si>
    <t>Federal-Mogul Goetze (India) Limited.</t>
  </si>
  <si>
    <t>SANGHIIND</t>
  </si>
  <si>
    <t>Sanghi Industries Limited</t>
  </si>
  <si>
    <t>VAKRANGEE</t>
  </si>
  <si>
    <t>Vakrangee Limited</t>
  </si>
  <si>
    <t>GNA</t>
  </si>
  <si>
    <t>GNA Axles Limited</t>
  </si>
  <si>
    <t>AMRUTANJAN</t>
  </si>
  <si>
    <t>Amrutanjan Health Care Limited</t>
  </si>
  <si>
    <t>EMUDHRA</t>
  </si>
  <si>
    <t>eMudhra Limited</t>
  </si>
  <si>
    <t>DATAMATICS</t>
  </si>
  <si>
    <t>Datamatics Global Services Limited</t>
  </si>
  <si>
    <t>SHARDAMOTR</t>
  </si>
  <si>
    <t>Sharda Motor Industries Limited</t>
  </si>
  <si>
    <t>IOLCP</t>
  </si>
  <si>
    <t>IOL Chemicals and Pharmaceuticals Limited</t>
  </si>
  <si>
    <t>LUMAXIND</t>
  </si>
  <si>
    <t>Lumax Industries Limited</t>
  </si>
  <si>
    <t>BAJAJHIND</t>
  </si>
  <si>
    <t>Bajaj Hindusthan Sugar Limited</t>
  </si>
  <si>
    <t>STYLAMIND</t>
  </si>
  <si>
    <t>ANDHRAPAP</t>
  </si>
  <si>
    <t>ANDHRA PAPER LIMITED</t>
  </si>
  <si>
    <t>SOTL</t>
  </si>
  <si>
    <t>Savita Oil Technologies Limited</t>
  </si>
  <si>
    <t>ADFFOODS</t>
  </si>
  <si>
    <t>ADF Foods Limited</t>
  </si>
  <si>
    <t>VIDHIING</t>
  </si>
  <si>
    <t>Vidhi Specialty Food Ingredients Limited</t>
  </si>
  <si>
    <t>KABRAEXTRU</t>
  </si>
  <si>
    <t>Kabra Extrusion Technik Limited</t>
  </si>
  <si>
    <t>BEPL</t>
  </si>
  <si>
    <t>Bhansali Engineering Polymers Limited</t>
  </si>
  <si>
    <t>RUPA</t>
  </si>
  <si>
    <t>Rupa &amp; Company Limited</t>
  </si>
  <si>
    <t>NACLIND</t>
  </si>
  <si>
    <t>VSSL</t>
  </si>
  <si>
    <t>Vardhman Special Steels Limited</t>
  </si>
  <si>
    <t>VISHNU</t>
  </si>
  <si>
    <t>Vishnu Chemicals Limited</t>
  </si>
  <si>
    <t>DWARKESH</t>
  </si>
  <si>
    <t>Dwarikesh Sugar Industries Limited</t>
  </si>
  <si>
    <t>DHANI</t>
  </si>
  <si>
    <t>Dhani Services Limited</t>
  </si>
  <si>
    <t>BANCOINDIA</t>
  </si>
  <si>
    <t>Banco Products (I) Limited</t>
  </si>
  <si>
    <t>KINGFA</t>
  </si>
  <si>
    <t>Kingfa Science &amp; Technology (India) Limited</t>
  </si>
  <si>
    <t>SUBEXLTD</t>
  </si>
  <si>
    <t>Subex Limited</t>
  </si>
  <si>
    <t>HINDOILEXP</t>
  </si>
  <si>
    <t>Hindustan Oil Exploration Company Limited</t>
  </si>
  <si>
    <t>RTNPOWER</t>
  </si>
  <si>
    <t>RattanIndia Power Limited</t>
  </si>
  <si>
    <t>VADILALIND</t>
  </si>
  <si>
    <t>Vadilal Industries Limited</t>
  </si>
  <si>
    <t>BBOX</t>
  </si>
  <si>
    <t>Black Box Limited</t>
  </si>
  <si>
    <t>ORCHPHARMA</t>
  </si>
  <si>
    <t>PURVA</t>
  </si>
  <si>
    <t>Puravankara Limited</t>
  </si>
  <si>
    <t>COSMOFIRST</t>
  </si>
  <si>
    <t>COSMO FIRST LIMITED</t>
  </si>
  <si>
    <t>IMFA</t>
  </si>
  <si>
    <t>Indian Metals &amp; Ferro Alloys Limited</t>
  </si>
  <si>
    <t>SUPRIYA</t>
  </si>
  <si>
    <t>Supriya Lifescience Limited</t>
  </si>
  <si>
    <t>SAKSOFT</t>
  </si>
  <si>
    <t>Saksoft Limited</t>
  </si>
  <si>
    <t>IIFLSEC</t>
  </si>
  <si>
    <t>IIFL Securities Limited</t>
  </si>
  <si>
    <t>SANGHVIMOV</t>
  </si>
  <si>
    <t>Sanghvi Movers Limited</t>
  </si>
  <si>
    <t>GOKULAGRO</t>
  </si>
  <si>
    <t>Gokul Agro Resources Limited</t>
  </si>
  <si>
    <t>ALEMBICLTD</t>
  </si>
  <si>
    <t>Alembic Limited</t>
  </si>
  <si>
    <t>VENUSPIPES</t>
  </si>
  <si>
    <t>Venus Pipes &amp; Tubes Limited</t>
  </si>
  <si>
    <t>SEAMECLTD</t>
  </si>
  <si>
    <t>Seamec Limited</t>
  </si>
  <si>
    <t>TNPL</t>
  </si>
  <si>
    <t>Tamil Nadu Newsprint &amp; Papers Limited</t>
  </si>
  <si>
    <t>KPIGREEN</t>
  </si>
  <si>
    <t>KPI Green Energy Limited</t>
  </si>
  <si>
    <t>BFINVEST</t>
  </si>
  <si>
    <t>BF Investment Limited</t>
  </si>
  <si>
    <t>SESHAPAPER</t>
  </si>
  <si>
    <t>Seshasayee Paper and Boards Limited</t>
  </si>
  <si>
    <t>DHAMPURSUG</t>
  </si>
  <si>
    <t>Dhampur Sugar Mills Limited</t>
  </si>
  <si>
    <t>ANDHRSUGAR</t>
  </si>
  <si>
    <t>The Andhra Sugars Limited</t>
  </si>
  <si>
    <t>KIRIINDUS</t>
  </si>
  <si>
    <t>Kiri Industries Limited</t>
  </si>
  <si>
    <t>TTKHLTCARE</t>
  </si>
  <si>
    <t>TTK Healthcare Limited</t>
  </si>
  <si>
    <t>CARYSIL</t>
  </si>
  <si>
    <t>CARYSIL LIMITED</t>
  </si>
  <si>
    <t>GOCLCORP</t>
  </si>
  <si>
    <t>GOCL Corporation Limited</t>
  </si>
  <si>
    <t>JSWISPL</t>
  </si>
  <si>
    <t>JSW Ispat Special Products Limited</t>
  </si>
  <si>
    <t>STERTOOLS</t>
  </si>
  <si>
    <t>Sterling Tools Limited</t>
  </si>
  <si>
    <t>SHALBY</t>
  </si>
  <si>
    <t>Shalby Limited</t>
  </si>
  <si>
    <t>TIDEWATER</t>
  </si>
  <si>
    <t>Tide Water Oil Company (India) Limited</t>
  </si>
  <si>
    <t>KRSNAA</t>
  </si>
  <si>
    <t>Krsnaa Diagnostics Limited</t>
  </si>
  <si>
    <t>KRISHANA</t>
  </si>
  <si>
    <t>Krishana Phoschem Limited</t>
  </si>
  <si>
    <t>HUHTAMAKI</t>
  </si>
  <si>
    <t>Huhtamaki India Limited</t>
  </si>
  <si>
    <t>BBL</t>
  </si>
  <si>
    <t>Bharat Bijlee Limited</t>
  </si>
  <si>
    <t>SEPC</t>
  </si>
  <si>
    <t>SEPC Limited</t>
  </si>
  <si>
    <t>ORISSAMINE</t>
  </si>
  <si>
    <t>The Orissa Minerals Development Company Limited</t>
  </si>
  <si>
    <t>FILATEX</t>
  </si>
  <si>
    <t>Filatex India Limited</t>
  </si>
  <si>
    <t>THEJO</t>
  </si>
  <si>
    <t>Thejo Engineering Limited</t>
  </si>
  <si>
    <t>APTECHT</t>
  </si>
  <si>
    <t>Aptech Limited</t>
  </si>
  <si>
    <t>ORIENTHOT</t>
  </si>
  <si>
    <t>Oriental Hotels Limited</t>
  </si>
  <si>
    <t>DCXINDIA</t>
  </si>
  <si>
    <t>DCX Systems Limited</t>
  </si>
  <si>
    <t>FOSECOIND</t>
  </si>
  <si>
    <t>Foseco India Limited</t>
  </si>
  <si>
    <t>GOLDIAM</t>
  </si>
  <si>
    <t>Goldiam International Limited</t>
  </si>
  <si>
    <t>SHANKARA</t>
  </si>
  <si>
    <t>Shankara Building Products Limited</t>
  </si>
  <si>
    <t>INSECTICID</t>
  </si>
  <si>
    <t>Insecticides (India) Limited</t>
  </si>
  <si>
    <t>THANGAMAYL</t>
  </si>
  <si>
    <t>Thangamayil Jewellery Limited</t>
  </si>
  <si>
    <t>SHK</t>
  </si>
  <si>
    <t>S H Kelkar and Company Limited</t>
  </si>
  <si>
    <t>TEXRAIL</t>
  </si>
  <si>
    <t>Texmaco Rail &amp; Engineering Limited</t>
  </si>
  <si>
    <t>CANTABIL</t>
  </si>
  <si>
    <t>Cantabil Retail India Limited</t>
  </si>
  <si>
    <t>GALLANTT</t>
  </si>
  <si>
    <t>Gallantt Ispat Limited</t>
  </si>
  <si>
    <t>HERITGFOOD</t>
  </si>
  <si>
    <t>Heritage Foods Limited</t>
  </si>
  <si>
    <t>KCP</t>
  </si>
  <si>
    <t>KCP Limited</t>
  </si>
  <si>
    <t>MOREPENLAB</t>
  </si>
  <si>
    <t>Morepen Laboratories Limited</t>
  </si>
  <si>
    <t>GATI</t>
  </si>
  <si>
    <t>GATI Limited</t>
  </si>
  <si>
    <t>RAMASTEEL</t>
  </si>
  <si>
    <t>Rama Steel Tubes Limited</t>
  </si>
  <si>
    <t>HESTERBIO</t>
  </si>
  <si>
    <t>Hester Biosciences Limited</t>
  </si>
  <si>
    <t>NRBBEARING</t>
  </si>
  <si>
    <t>NRB Bearing Limited</t>
  </si>
  <si>
    <t>INDOSTAR</t>
  </si>
  <si>
    <t>IndoStar Capital Finance Limited</t>
  </si>
  <si>
    <t>MONTECARLO</t>
  </si>
  <si>
    <t>Monte Carlo Fashions Limited</t>
  </si>
  <si>
    <t>KSL</t>
  </si>
  <si>
    <t>Kalyani Steels Limited</t>
  </si>
  <si>
    <t>KDDL</t>
  </si>
  <si>
    <t>KDDL Limited</t>
  </si>
  <si>
    <t>TCPLPACK</t>
  </si>
  <si>
    <t>TCPL Packaging Limited</t>
  </si>
  <si>
    <t>MARATHON</t>
  </si>
  <si>
    <t>Marathon Nextgen Realty Limited</t>
  </si>
  <si>
    <t>ARVSMART</t>
  </si>
  <si>
    <t>DCW</t>
  </si>
  <si>
    <t>DCW Limited</t>
  </si>
  <si>
    <t>DEN</t>
  </si>
  <si>
    <t>Den Networks Limited</t>
  </si>
  <si>
    <t>STEELXIND</t>
  </si>
  <si>
    <t>STEEL EXCHANGE INDIA LIMITED</t>
  </si>
  <si>
    <t>EIHAHOTELS</t>
  </si>
  <si>
    <t>EIH Associated Hotels Limited</t>
  </si>
  <si>
    <t>IGPL</t>
  </si>
  <si>
    <t>IG Petrochemicals Limited</t>
  </si>
  <si>
    <t>NITINSPIN</t>
  </si>
  <si>
    <t>EXPLEOSOL</t>
  </si>
  <si>
    <t>Expleo Solutions Limited</t>
  </si>
  <si>
    <t>VERANDA</t>
  </si>
  <si>
    <t>Veranda Learning Solutions Limited</t>
  </si>
  <si>
    <t>SALASAR</t>
  </si>
  <si>
    <t>Salasar Techno Engineering Limited</t>
  </si>
  <si>
    <t>STYRENIX</t>
  </si>
  <si>
    <t>Styrenix Performance Materials Limited</t>
  </si>
  <si>
    <t>ADORWELD</t>
  </si>
  <si>
    <t>Ador Welding Limited</t>
  </si>
  <si>
    <t>BHAGCHEM</t>
  </si>
  <si>
    <t>Bhagiradha Chemicals &amp; Industries Limited</t>
  </si>
  <si>
    <t>PCJEWELLER</t>
  </si>
  <si>
    <t>PC Jeweller Limited</t>
  </si>
  <si>
    <t>GENESYS</t>
  </si>
  <si>
    <t>Genesys International Corporation Limited</t>
  </si>
  <si>
    <t>STOVEKRAFT</t>
  </si>
  <si>
    <t>Stove Kraft Limited</t>
  </si>
  <si>
    <t>RANEHOLDIN</t>
  </si>
  <si>
    <t>Rane Holdings Limited</t>
  </si>
  <si>
    <t>NDTV</t>
  </si>
  <si>
    <t>New Delhi Television Limited</t>
  </si>
  <si>
    <t>XPROINDIA</t>
  </si>
  <si>
    <t>Xpro India Limited</t>
  </si>
  <si>
    <t>MANORAMA</t>
  </si>
  <si>
    <t>Manorama Industries Limited</t>
  </si>
  <si>
    <t>GRWRHITECH</t>
  </si>
  <si>
    <t>Garware Hi-Tech Films Limited</t>
  </si>
  <si>
    <t>HARIOMPIPE</t>
  </si>
  <si>
    <t>Hariom Pipe Industries Limited</t>
  </si>
  <si>
    <t>SANDHAR</t>
  </si>
  <si>
    <t>Sandhar Technologies Limited</t>
  </si>
  <si>
    <t>AVTNPL</t>
  </si>
  <si>
    <t>AVT Natural Products Limited</t>
  </si>
  <si>
    <t>IWEL</t>
  </si>
  <si>
    <t>Inox Wind Energy Limited</t>
  </si>
  <si>
    <t>SJS</t>
  </si>
  <si>
    <t>S.J.S. Enterprises Limited</t>
  </si>
  <si>
    <t>EVERESTIND</t>
  </si>
  <si>
    <t>Everest Industries Limited</t>
  </si>
  <si>
    <t>FAIRCHEMOR</t>
  </si>
  <si>
    <t>Fairchem Organics Limited</t>
  </si>
  <si>
    <t>SASKEN</t>
  </si>
  <si>
    <t>Sasken Technologies Limited</t>
  </si>
  <si>
    <t>OAL</t>
  </si>
  <si>
    <t>Oriental Aromatics Limited</t>
  </si>
  <si>
    <t>NELCO</t>
  </si>
  <si>
    <t>NELCO Limited</t>
  </si>
  <si>
    <t>RIIL</t>
  </si>
  <si>
    <t>Reliance Industrial Infrastructure Limited</t>
  </si>
  <si>
    <t>SOLARA</t>
  </si>
  <si>
    <t>Solara Active Pharma Sciences Limited</t>
  </si>
  <si>
    <t>TAJGVK</t>
  </si>
  <si>
    <t>BOMDYEING</t>
  </si>
  <si>
    <t>Bombay Dyeing &amp; Mfg Company Limited</t>
  </si>
  <si>
    <t>MANGCHEFER</t>
  </si>
  <si>
    <t>Mangalore Chemicals &amp; Fertilizers Limited</t>
  </si>
  <si>
    <t>GOODLUCK</t>
  </si>
  <si>
    <t>Goodluck India Limited</t>
  </si>
  <si>
    <t>RPGLIFE</t>
  </si>
  <si>
    <t>RPG Life Sciences Limited</t>
  </si>
  <si>
    <t>PATELENG</t>
  </si>
  <si>
    <t>Patel Engineering Limited</t>
  </si>
  <si>
    <t>SPIC</t>
  </si>
  <si>
    <t>Southern Petrochemicals Industries Corporation  Limited</t>
  </si>
  <si>
    <t>INOXGREEN</t>
  </si>
  <si>
    <t>Inox Green Energy Services Limited</t>
  </si>
  <si>
    <t>GIPCL</t>
  </si>
  <si>
    <t>Gujarat Industries Power Company Limited</t>
  </si>
  <si>
    <t>UNIVCABLES</t>
  </si>
  <si>
    <t>Universal Cables Limited</t>
  </si>
  <si>
    <t>NSIL</t>
  </si>
  <si>
    <t>Nalwa Sons Investments Limited</t>
  </si>
  <si>
    <t>HMT</t>
  </si>
  <si>
    <t>HMT Limited</t>
  </si>
  <si>
    <t>MATRIMONY</t>
  </si>
  <si>
    <t>Matrimony.Com Limited</t>
  </si>
  <si>
    <t>MTNL</t>
  </si>
  <si>
    <t>Mahanagar Telephone Nigam Limited</t>
  </si>
  <si>
    <t>SDBL</t>
  </si>
  <si>
    <t>Som Distilleries &amp; Breweries Limited</t>
  </si>
  <si>
    <t>VALIANTORG</t>
  </si>
  <si>
    <t>Valiant Organics Limited</t>
  </si>
  <si>
    <t>ARMANFIN</t>
  </si>
  <si>
    <t>Arman Financial Services Limited</t>
  </si>
  <si>
    <t>REPCOHOME</t>
  </si>
  <si>
    <t>Repco Home Finance Limited</t>
  </si>
  <si>
    <t>HERANBA</t>
  </si>
  <si>
    <t>Heranba Industries Limited</t>
  </si>
  <si>
    <t>BFUTILITIE</t>
  </si>
  <si>
    <t>BF Utilities Limited</t>
  </si>
  <si>
    <t>PRECWIRE</t>
  </si>
  <si>
    <t>Precision Wires India Limited</t>
  </si>
  <si>
    <t>AXITA</t>
  </si>
  <si>
    <t>Axita Cotton Limited</t>
  </si>
  <si>
    <t>GRMOVER</t>
  </si>
  <si>
    <t>GRM Overseas Limited</t>
  </si>
  <si>
    <t>GTPL</t>
  </si>
  <si>
    <t>GTPL Hathway Limited</t>
  </si>
  <si>
    <t>IGARASHI</t>
  </si>
  <si>
    <t>Igarashi Motors India Limited</t>
  </si>
  <si>
    <t>INFOBEAN</t>
  </si>
  <si>
    <t>InfoBeans Technologies Limited</t>
  </si>
  <si>
    <t>ALICON</t>
  </si>
  <si>
    <t>Alicon Castalloy Limited</t>
  </si>
  <si>
    <t>THEMISMED</t>
  </si>
  <si>
    <t>Themis Medicare Limited</t>
  </si>
  <si>
    <t>TVTODAY</t>
  </si>
  <si>
    <t>WHEELS</t>
  </si>
  <si>
    <t>Wheels India Limited</t>
  </si>
  <si>
    <t>RPSGVENT</t>
  </si>
  <si>
    <t>RPSG VENTURES LIMITED</t>
  </si>
  <si>
    <t>RAMCOIND</t>
  </si>
  <si>
    <t>Ramco Industries Limited</t>
  </si>
  <si>
    <t>SMLISUZU</t>
  </si>
  <si>
    <t>SML Isuzu Limited</t>
  </si>
  <si>
    <t>AHL</t>
  </si>
  <si>
    <t>Abans Holdings Limited</t>
  </si>
  <si>
    <t>UNIENTER</t>
  </si>
  <si>
    <t>Uniphos Enterprises Limited</t>
  </si>
  <si>
    <t>SATIN</t>
  </si>
  <si>
    <t>Satin Creditcare Network Limited</t>
  </si>
  <si>
    <t>KUANTUM</t>
  </si>
  <si>
    <t>Kuantum Papers Limited</t>
  </si>
  <si>
    <t>GANESHBE</t>
  </si>
  <si>
    <t>Ganesh Benzoplast Limited</t>
  </si>
  <si>
    <t>SUVEN</t>
  </si>
  <si>
    <t>Suven Life Sciences Limited</t>
  </si>
  <si>
    <t>SATIA</t>
  </si>
  <si>
    <t>Satia Industries Limited</t>
  </si>
  <si>
    <t>GULPOLY</t>
  </si>
  <si>
    <t>UGARSUGAR</t>
  </si>
  <si>
    <t>The Ugar Sugar Works Limited</t>
  </si>
  <si>
    <t>MANALIPETC</t>
  </si>
  <si>
    <t>Manali Petrochemicals Limited</t>
  </si>
  <si>
    <t>PIXTRANS</t>
  </si>
  <si>
    <t>Pix Transmissions Limited</t>
  </si>
  <si>
    <t>SHRIRAMPPS</t>
  </si>
  <si>
    <t>Shriram Properties Limited</t>
  </si>
  <si>
    <t>RADIANTCMS</t>
  </si>
  <si>
    <t>Radiant Cash Management Services Limited</t>
  </si>
  <si>
    <t>PNBGILTS</t>
  </si>
  <si>
    <t>PNB Gilts Limited</t>
  </si>
  <si>
    <t>INDORAMA</t>
  </si>
  <si>
    <t>Indo Rama Synthetics (India) Limited</t>
  </si>
  <si>
    <t>ASHAPURMIN</t>
  </si>
  <si>
    <t>Ashapura Minechem Limited</t>
  </si>
  <si>
    <t>UGROCAP</t>
  </si>
  <si>
    <t>Ugro Capital Limited</t>
  </si>
  <si>
    <t>AXISCADES</t>
  </si>
  <si>
    <t>AXISCADES Technologies Limited</t>
  </si>
  <si>
    <t>HITECH</t>
  </si>
  <si>
    <t>PUNJABCHEM</t>
  </si>
  <si>
    <t>Punjab Chemicals &amp; Crop Protection Limited</t>
  </si>
  <si>
    <t>SURYODAY</t>
  </si>
  <si>
    <t>Suryoday Small Finance Bank Limited</t>
  </si>
  <si>
    <t>EKC</t>
  </si>
  <si>
    <t>Everest Kanto Cylinder Limited</t>
  </si>
  <si>
    <t>JASH</t>
  </si>
  <si>
    <t>DPSCLTD</t>
  </si>
  <si>
    <t>DPSC Limited</t>
  </si>
  <si>
    <t>TARC</t>
  </si>
  <si>
    <t>TARC Limited</t>
  </si>
  <si>
    <t>BHARATWIRE</t>
  </si>
  <si>
    <t>Bharat Wire Ropes Limited</t>
  </si>
  <si>
    <t>EXCELINDUS</t>
  </si>
  <si>
    <t>Excel Industries Limited</t>
  </si>
  <si>
    <t>SPECIALITY</t>
  </si>
  <si>
    <t>Speciality Restaurants Limited</t>
  </si>
  <si>
    <t>ANUP</t>
  </si>
  <si>
    <t>The Anup Engineering Limited</t>
  </si>
  <si>
    <t>SKIPPER</t>
  </si>
  <si>
    <t>Skipper Limited</t>
  </si>
  <si>
    <t>AJMERA</t>
  </si>
  <si>
    <t>Ajmera Realty &amp; Infra India Limited</t>
  </si>
  <si>
    <t>SHALPAINTS</t>
  </si>
  <si>
    <t>Shalimar Paints Limited</t>
  </si>
  <si>
    <t>GMBREW</t>
  </si>
  <si>
    <t>GM Breweries Limited</t>
  </si>
  <si>
    <t>SANGAMIND</t>
  </si>
  <si>
    <t>Sangam (India) Limited</t>
  </si>
  <si>
    <t>SHIVALIK</t>
  </si>
  <si>
    <t>Shivalik Rasayan Limited</t>
  </si>
  <si>
    <t>GMRP&amp;UI</t>
  </si>
  <si>
    <t>GMR Power and Urban Infra Limited</t>
  </si>
  <si>
    <t>PENIND</t>
  </si>
  <si>
    <t>Pennar Industries Limited</t>
  </si>
  <si>
    <t>GEOJITFSL</t>
  </si>
  <si>
    <t>Geojit Financial Services Limited</t>
  </si>
  <si>
    <t>BCLIND</t>
  </si>
  <si>
    <t>Bcl Industries Limited</t>
  </si>
  <si>
    <t>DBOL</t>
  </si>
  <si>
    <t>Dhampur Bio Organics Limited</t>
  </si>
  <si>
    <t>SHAILY</t>
  </si>
  <si>
    <t>Shaily Engineering Plastics Limited</t>
  </si>
  <si>
    <t>LIKHITHA</t>
  </si>
  <si>
    <t>Likhitha Infrastructure Limited</t>
  </si>
  <si>
    <t>MADRASFERT</t>
  </si>
  <si>
    <t>Madras Fertilizers Limited</t>
  </si>
  <si>
    <t>STEELCAS</t>
  </si>
  <si>
    <t>Steelcast Limited</t>
  </si>
  <si>
    <t>MKPL</t>
  </si>
  <si>
    <t>M K Proteins Limited</t>
  </si>
  <si>
    <t>ROSSELLIND</t>
  </si>
  <si>
    <t>KITEX</t>
  </si>
  <si>
    <t>Kitex Garments Limited</t>
  </si>
  <si>
    <t>PRAKASH</t>
  </si>
  <si>
    <t>Prakash Industries Limited</t>
  </si>
  <si>
    <t>ARTEMISMED</t>
  </si>
  <si>
    <t>Artemis Medicare Services Limited</t>
  </si>
  <si>
    <t>RICOAUTO</t>
  </si>
  <si>
    <t>Rico Auto Industries Limited</t>
  </si>
  <si>
    <t>OMAXE</t>
  </si>
  <si>
    <t>Omaxe Limited</t>
  </si>
  <si>
    <t>CENTUM</t>
  </si>
  <si>
    <t>Centum Electronics Limited</t>
  </si>
  <si>
    <t>ROTO</t>
  </si>
  <si>
    <t>Roto Pumps Limited</t>
  </si>
  <si>
    <t>PRECAM</t>
  </si>
  <si>
    <t>Precision Camshafts Limited</t>
  </si>
  <si>
    <t>BIGBLOC</t>
  </si>
  <si>
    <t>Bigbloc Construction Limited</t>
  </si>
  <si>
    <t>SHREDIGCEM</t>
  </si>
  <si>
    <t>Shree Digvijay Cement Co.Ltd</t>
  </si>
  <si>
    <t>CLSEL</t>
  </si>
  <si>
    <t>Chaman Lal Setia Exports Limited</t>
  </si>
  <si>
    <t>GTLINFRA</t>
  </si>
  <si>
    <t>GTL Infrastructure Limited</t>
  </si>
  <si>
    <t>PGIL</t>
  </si>
  <si>
    <t>Pearl Global Industries Limited</t>
  </si>
  <si>
    <t>UTTAMSUGAR</t>
  </si>
  <si>
    <t>Uttam Sugar Mills Limited</t>
  </si>
  <si>
    <t>AVADHSUGAR</t>
  </si>
  <si>
    <t>Avadh Sugar &amp; Energy Limited</t>
  </si>
  <si>
    <t>PITTIENG</t>
  </si>
  <si>
    <t>Pitti Engineering Limited</t>
  </si>
  <si>
    <t>5PAISA</t>
  </si>
  <si>
    <t>5Paisa Capital Limited</t>
  </si>
  <si>
    <t>NAHARSPING</t>
  </si>
  <si>
    <t>SPCENET</t>
  </si>
  <si>
    <t>Spacenet Enterprises India Limited</t>
  </si>
  <si>
    <t>SPORTKING</t>
  </si>
  <si>
    <t>Sportking India Limited</t>
  </si>
  <si>
    <t>DEEPINDS</t>
  </si>
  <si>
    <t>Deep Industries Limited</t>
  </si>
  <si>
    <t>PARAGMILK</t>
  </si>
  <si>
    <t>Parag Milk Foods Limited</t>
  </si>
  <si>
    <t>AGARIND</t>
  </si>
  <si>
    <t>Agarwal Industrial Corporation Limited</t>
  </si>
  <si>
    <t>CONTROLPR</t>
  </si>
  <si>
    <t>Control Print Limited</t>
  </si>
  <si>
    <t>BAJAJHCARE</t>
  </si>
  <si>
    <t>Bajaj Healthcare Limited</t>
  </si>
  <si>
    <t>KAMDHENU</t>
  </si>
  <si>
    <t>Kamdhenu Limited</t>
  </si>
  <si>
    <t>CHEMCON</t>
  </si>
  <si>
    <t>Chemcon Speciality Chemicals Limited</t>
  </si>
  <si>
    <t>GICHSGFIN</t>
  </si>
  <si>
    <t>GIC Housing Finance Limited</t>
  </si>
  <si>
    <t>MEDICAMEQ</t>
  </si>
  <si>
    <t>Medicamen Biotech Limited</t>
  </si>
  <si>
    <t>DLINKINDIA</t>
  </si>
  <si>
    <t>D-Link (India) Limited</t>
  </si>
  <si>
    <t>ARIHANTSUP</t>
  </si>
  <si>
    <t>Arihant Superstructures Limited</t>
  </si>
  <si>
    <t>VHL</t>
  </si>
  <si>
    <t>Vardhman Holdings Limited</t>
  </si>
  <si>
    <t>PFS</t>
  </si>
  <si>
    <t>PTC India Financial Services Limited</t>
  </si>
  <si>
    <t>HEXATRADEX</t>
  </si>
  <si>
    <t>Hexa Tradex Limited</t>
  </si>
  <si>
    <t>RILINFRA</t>
  </si>
  <si>
    <t>Rachana Infrastructure Limited</t>
  </si>
  <si>
    <t>CAPACITE</t>
  </si>
  <si>
    <t>Capacit'e Infraprojects Limited</t>
  </si>
  <si>
    <t>SPAL</t>
  </si>
  <si>
    <t>S. P. Apparels Limited</t>
  </si>
  <si>
    <t>NCLIND</t>
  </si>
  <si>
    <t>NCL Industries Limited</t>
  </si>
  <si>
    <t>63MOONS</t>
  </si>
  <si>
    <t>63 moons technologies limited</t>
  </si>
  <si>
    <t>NAVKARCORP</t>
  </si>
  <si>
    <t>Navkar Corporation Limited</t>
  </si>
  <si>
    <t>ORIENTPPR</t>
  </si>
  <si>
    <t>DREDGECORP</t>
  </si>
  <si>
    <t>Dredging Corporation of India Limited</t>
  </si>
  <si>
    <t>AMBIKCO</t>
  </si>
  <si>
    <t>Ambika Cotton Mills Limited</t>
  </si>
  <si>
    <t>CENTRUM</t>
  </si>
  <si>
    <t>Centrum Capital Limited</t>
  </si>
  <si>
    <t>LINC</t>
  </si>
  <si>
    <t>Linc Limited</t>
  </si>
  <si>
    <t>RGL</t>
  </si>
  <si>
    <t>Renaissance Global Limited</t>
  </si>
  <si>
    <t>SCHAND</t>
  </si>
  <si>
    <t>S Chand And Company Limited</t>
  </si>
  <si>
    <t>NELCAST</t>
  </si>
  <si>
    <t>Nelcast Limited</t>
  </si>
  <si>
    <t>FAZE3Q</t>
  </si>
  <si>
    <t>Faze Three Limited</t>
  </si>
  <si>
    <t>KICL</t>
  </si>
  <si>
    <t>Kalyani Investment Company Limited</t>
  </si>
  <si>
    <t>DVL</t>
  </si>
  <si>
    <t>Dhunseri Ventures Limited</t>
  </si>
  <si>
    <t>JAGSNPHARM</t>
  </si>
  <si>
    <t>Jagsonpal Pharmaceuticals Limited</t>
  </si>
  <si>
    <t>POKARNA</t>
  </si>
  <si>
    <t>Pokarna Limited</t>
  </si>
  <si>
    <t>IFGLEXPOR</t>
  </si>
  <si>
    <t>IFGL Refractories Limited</t>
  </si>
  <si>
    <t>TRIL</t>
  </si>
  <si>
    <t>Transformers And Rectifiers (India) Limited</t>
  </si>
  <si>
    <t>CENTENKA</t>
  </si>
  <si>
    <t>SMCGLOBAL</t>
  </si>
  <si>
    <t>SMC Global Securities Limited</t>
  </si>
  <si>
    <t>ROHLTD</t>
  </si>
  <si>
    <t>Royal Orchid Hotels Limited</t>
  </si>
  <si>
    <t>INDNIPPON</t>
  </si>
  <si>
    <t>India Nippon Electricals Limited</t>
  </si>
  <si>
    <t>SHAKTIPUMP</t>
  </si>
  <si>
    <t>Shakti Pumps (India) Limited</t>
  </si>
  <si>
    <t>NGLFINE</t>
  </si>
  <si>
    <t>NGL Fine-Chem Limited</t>
  </si>
  <si>
    <t>IMPAL</t>
  </si>
  <si>
    <t>India Motor Parts and Accessories Limited</t>
  </si>
  <si>
    <t>BLISSGVS</t>
  </si>
  <si>
    <t>Bliss GVS Pharma Limited</t>
  </si>
  <si>
    <t>ALLSEC</t>
  </si>
  <si>
    <t>Allsec Technologies Limited</t>
  </si>
  <si>
    <t>ORIENTBELL</t>
  </si>
  <si>
    <t>Orient Bell Limited</t>
  </si>
  <si>
    <t>MANGLMCEM</t>
  </si>
  <si>
    <t>Mangalam Cement Limited</t>
  </si>
  <si>
    <t>SANDESH</t>
  </si>
  <si>
    <t>The Sandesh Limited</t>
  </si>
  <si>
    <t>BODALCHEM</t>
  </si>
  <si>
    <t>Bodal Chemicals Limited</t>
  </si>
  <si>
    <t>ESTER</t>
  </si>
  <si>
    <t>Ester Industries Limited</t>
  </si>
  <si>
    <t>ZOTA</t>
  </si>
  <si>
    <t>Zota Health Care LImited</t>
  </si>
  <si>
    <t>RSWM</t>
  </si>
  <si>
    <t>RSWM Limited</t>
  </si>
  <si>
    <t>INDRAMEDCO</t>
  </si>
  <si>
    <t>Indraprastha Medical Corporation Limited</t>
  </si>
  <si>
    <t>QUICKHEAL</t>
  </si>
  <si>
    <t>Quick Heal Technologies Limited</t>
  </si>
  <si>
    <t>SRHHYPOLTD</t>
  </si>
  <si>
    <t>Sree Rayalaseema Hi-Strength Hypo Limited</t>
  </si>
  <si>
    <t>AURIONPRO</t>
  </si>
  <si>
    <t>Aurionpro Solutions Limited</t>
  </si>
  <si>
    <t>GSLSU</t>
  </si>
  <si>
    <t>Global Surfaces Limited</t>
  </si>
  <si>
    <t>SASTASUNDR</t>
  </si>
  <si>
    <t>Sastasundar Ventures Limited</t>
  </si>
  <si>
    <t>MANAKSIA</t>
  </si>
  <si>
    <t>Manaksia Limited</t>
  </si>
  <si>
    <t>AWHCL</t>
  </si>
  <si>
    <t>Antony Waste Handling Cell Limited</t>
  </si>
  <si>
    <t>BLKASHYAP</t>
  </si>
  <si>
    <t>B. L. Kashyap and Sons Limited</t>
  </si>
  <si>
    <t>RAMRAT</t>
  </si>
  <si>
    <t>Ram Ratna Wires Limited</t>
  </si>
  <si>
    <t>JINDRILL</t>
  </si>
  <si>
    <t>Jindal Drilling And Industries Limited</t>
  </si>
  <si>
    <t>VIMTALABS</t>
  </si>
  <si>
    <t>CLOUD</t>
  </si>
  <si>
    <t>Varanium Cloud Limited</t>
  </si>
  <si>
    <t>DPABHUSHAN</t>
  </si>
  <si>
    <t>D. P. Abhushan Limited</t>
  </si>
  <si>
    <t>MOLDTECH</t>
  </si>
  <si>
    <t>Mold-Tek Technologies Limited</t>
  </si>
  <si>
    <t>ATULAUTO</t>
  </si>
  <si>
    <t>Atul Auto Limited</t>
  </si>
  <si>
    <t>KOKUYOCMLN</t>
  </si>
  <si>
    <t>Kokuyo Camlin Limited</t>
  </si>
  <si>
    <t>SIGACHI</t>
  </si>
  <si>
    <t>Sigachi Industries Limited</t>
  </si>
  <si>
    <t>HIMATSEIDE</t>
  </si>
  <si>
    <t>Himatsingka Seide Limited</t>
  </si>
  <si>
    <t>LINCOLN</t>
  </si>
  <si>
    <t>Lincoln Pharmaceuticals Limited</t>
  </si>
  <si>
    <t>GREENPOWER</t>
  </si>
  <si>
    <t>Orient Green Power Company Limited</t>
  </si>
  <si>
    <t>EMAMIPAP</t>
  </si>
  <si>
    <t>Emami Paper Mills Limited</t>
  </si>
  <si>
    <t>SATINDLTD</t>
  </si>
  <si>
    <t>Sat Industries Limited</t>
  </si>
  <si>
    <t>RAMCOSYS</t>
  </si>
  <si>
    <t>Ramco Systems Limited</t>
  </si>
  <si>
    <t>HPAL</t>
  </si>
  <si>
    <t>OCCL</t>
  </si>
  <si>
    <t>Oriental Carbon &amp; Chemicals Limited</t>
  </si>
  <si>
    <t>FOCUS</t>
  </si>
  <si>
    <t>Focus Lighting and Fixtures Limited</t>
  </si>
  <si>
    <t>GEPIL</t>
  </si>
  <si>
    <t>GE Power India Limited</t>
  </si>
  <si>
    <t>SUTLEJTEX</t>
  </si>
  <si>
    <t>Sutlej Textiles and Industries Limited</t>
  </si>
  <si>
    <t>PANACEABIO</t>
  </si>
  <si>
    <t>Panacea Biotec Limited</t>
  </si>
  <si>
    <t>JAIBALAJI</t>
  </si>
  <si>
    <t>Jai Balaji Industries Limited</t>
  </si>
  <si>
    <t>RML</t>
  </si>
  <si>
    <t>Rane (Madras) Limited</t>
  </si>
  <si>
    <t>JETAIRWAYS</t>
  </si>
  <si>
    <t>Jet Airways (India) Limited</t>
  </si>
  <si>
    <t>TRACXN</t>
  </si>
  <si>
    <t>Tracxn Technologies Limited</t>
  </si>
  <si>
    <t>KHAICHEM</t>
  </si>
  <si>
    <t>Khaitan Chemicals &amp; Fertilizers Limited</t>
  </si>
  <si>
    <t>TNPETRO</t>
  </si>
  <si>
    <t>Tamilnadu PetroProducts Limited</t>
  </si>
  <si>
    <t>ONWARDTEC</t>
  </si>
  <si>
    <t>Onward Technologies Limited</t>
  </si>
  <si>
    <t>TFCILTD</t>
  </si>
  <si>
    <t>Tourism Finance Corporation of India Limited</t>
  </si>
  <si>
    <t>ONMOBILE</t>
  </si>
  <si>
    <t>OnMobile Global Limited</t>
  </si>
  <si>
    <t>INNOVANA</t>
  </si>
  <si>
    <t>Innovana Thinklabs Limited</t>
  </si>
  <si>
    <t>GANDHITUBE</t>
  </si>
  <si>
    <t>Gandhi Special Tubes Limited</t>
  </si>
  <si>
    <t>TEXINFRA</t>
  </si>
  <si>
    <t>Texmaco Infrastructure &amp; Holdings Limited</t>
  </si>
  <si>
    <t>MEDICO</t>
  </si>
  <si>
    <t>Medico Remedies Limited</t>
  </si>
  <si>
    <t>TVSELECT</t>
  </si>
  <si>
    <t>TVS Electronics Limited</t>
  </si>
  <si>
    <t>HEUBACHIND</t>
  </si>
  <si>
    <t>Heubach Colorants India Limited</t>
  </si>
  <si>
    <t>VINYLINDIA</t>
  </si>
  <si>
    <t>Vinyl Chemicals (India) Limited</t>
  </si>
  <si>
    <t>PARACABLES</t>
  </si>
  <si>
    <t>Paramount Communications Limited</t>
  </si>
  <si>
    <t>FOODSIN</t>
  </si>
  <si>
    <t>Foods &amp; Inns Limited</t>
  </si>
  <si>
    <t>HLVLTD</t>
  </si>
  <si>
    <t>HLV LIMITED</t>
  </si>
  <si>
    <t>COFFEEDAY</t>
  </si>
  <si>
    <t>Coffee Day Enterprises Limited</t>
  </si>
  <si>
    <t>BETA</t>
  </si>
  <si>
    <t>Beta Drugs Limited</t>
  </si>
  <si>
    <t>APEX</t>
  </si>
  <si>
    <t>Apex Frozen Foods Limited</t>
  </si>
  <si>
    <t>YUKEN</t>
  </si>
  <si>
    <t>Yuken India Limited</t>
  </si>
  <si>
    <t>ELIN</t>
  </si>
  <si>
    <t>Elin Electronics Limited</t>
  </si>
  <si>
    <t>MONARCH</t>
  </si>
  <si>
    <t>Monarch Networth Capital Limited</t>
  </si>
  <si>
    <t>DMCC</t>
  </si>
  <si>
    <t>DMCC SPECIALITY CHEMICALS LIMITED</t>
  </si>
  <si>
    <t>CHEVIOT</t>
  </si>
  <si>
    <t>Cheviot Company Limited</t>
  </si>
  <si>
    <t>XCHANGING</t>
  </si>
  <si>
    <t>Xchanging Solutions Limited</t>
  </si>
  <si>
    <t>VISAKAIND</t>
  </si>
  <si>
    <t>Visaka Industries Limited</t>
  </si>
  <si>
    <t>SUMMITSEC</t>
  </si>
  <si>
    <t>Summit Securities Limited</t>
  </si>
  <si>
    <t>SUKHJITS</t>
  </si>
  <si>
    <t>Sukhjit Starch &amp; Chemicals Limited</t>
  </si>
  <si>
    <t>INDIANHUME</t>
  </si>
  <si>
    <t>Indian Hume Pipe Company Limited</t>
  </si>
  <si>
    <t>JUBLINDS</t>
  </si>
  <si>
    <t>Jubilant Industries Limited</t>
  </si>
  <si>
    <t>ASALCBR</t>
  </si>
  <si>
    <t>Associated Alcohols &amp; Breweries Ltd.</t>
  </si>
  <si>
    <t>DECCANCE</t>
  </si>
  <si>
    <t>Deccan Cements Limited</t>
  </si>
  <si>
    <t>JAYBARMARU</t>
  </si>
  <si>
    <t>Jay Bharat Maruti Limited</t>
  </si>
  <si>
    <t>COOLCAPS</t>
  </si>
  <si>
    <t>Cool Caps Industries Limited</t>
  </si>
  <si>
    <t>APOLLO</t>
  </si>
  <si>
    <t>ELDEHSG</t>
  </si>
  <si>
    <t>Eldeco Housing And Industries Limited</t>
  </si>
  <si>
    <t>HERCULES</t>
  </si>
  <si>
    <t>Hercules Hoists Limited</t>
  </si>
  <si>
    <t>4THDIM</t>
  </si>
  <si>
    <t>Fourth Dimension Solutions Limited</t>
  </si>
  <si>
    <t>KRITI</t>
  </si>
  <si>
    <t>Kriti Industries (India) Limited</t>
  </si>
  <si>
    <t>AGSTRA</t>
  </si>
  <si>
    <t>NAHARPOLY</t>
  </si>
  <si>
    <t>Nahar Poly Films Limited</t>
  </si>
  <si>
    <t>MANINDS</t>
  </si>
  <si>
    <t>Man Industries (India) Limited</t>
  </si>
  <si>
    <t>ENIL</t>
  </si>
  <si>
    <t>Entertainment Network (India) Limited</t>
  </si>
  <si>
    <t>SYNCOMF</t>
  </si>
  <si>
    <t>Syncom Formulations (India) Limited</t>
  </si>
  <si>
    <t>KAMOPAINTS</t>
  </si>
  <si>
    <t>Kamdhenu Ventures Limited</t>
  </si>
  <si>
    <t>NAGAFERT</t>
  </si>
  <si>
    <t>Nagarjuna Fertilizers and Chemicals Limited</t>
  </si>
  <si>
    <t>SCPL</t>
  </si>
  <si>
    <t>Sheetal Cool Products Limited</t>
  </si>
  <si>
    <t>HPL</t>
  </si>
  <si>
    <t>HPL Electric &amp; Power Limited</t>
  </si>
  <si>
    <t>INDOAMIN</t>
  </si>
  <si>
    <t>Indo Amines Limited</t>
  </si>
  <si>
    <t>DCMSRIND</t>
  </si>
  <si>
    <t>DCM Shriram Industries Limited</t>
  </si>
  <si>
    <t>MENONBE</t>
  </si>
  <si>
    <t>Menon Bearings Limited</t>
  </si>
  <si>
    <t>VASCONEQ</t>
  </si>
  <si>
    <t>Vascon Engineers Limited</t>
  </si>
  <si>
    <t>VLSFINANCE</t>
  </si>
  <si>
    <t>VLS Finance Limited</t>
  </si>
  <si>
    <t>BALAXI</t>
  </si>
  <si>
    <t>BALAXI PHARMACEUTICALS LIMITED</t>
  </si>
  <si>
    <t>ZEEMEDIA</t>
  </si>
  <si>
    <t>Zee Media Corporation Limited</t>
  </si>
  <si>
    <t>CREATIVE</t>
  </si>
  <si>
    <t>Creative Newtech Limited</t>
  </si>
  <si>
    <t>KRISHIVAL</t>
  </si>
  <si>
    <t>Empyrean Cashews Limited</t>
  </si>
  <si>
    <t>SNOWMAN</t>
  </si>
  <si>
    <t>Snowman Logistics Limited</t>
  </si>
  <si>
    <t>KOPRAN</t>
  </si>
  <si>
    <t>Kopran Limited</t>
  </si>
  <si>
    <t>SHREYAS</t>
  </si>
  <si>
    <t>Shreyas Shipping &amp; Logistics Limited</t>
  </si>
  <si>
    <t>REFEX</t>
  </si>
  <si>
    <t>Refex Industries Limited</t>
  </si>
  <si>
    <t>KSOLVES</t>
  </si>
  <si>
    <t>Ksolves India Limited</t>
  </si>
  <si>
    <t>GFLLIMITED</t>
  </si>
  <si>
    <t>GFL Limited</t>
  </si>
  <si>
    <t>SPECTRUM</t>
  </si>
  <si>
    <t>Spectrum Electrical Industries Limited</t>
  </si>
  <si>
    <t>RUSHIL</t>
  </si>
  <si>
    <t>Rushil Decor Limited</t>
  </si>
  <si>
    <t>IRISDOREME</t>
  </si>
  <si>
    <t>Iris Clothings Limited</t>
  </si>
  <si>
    <t>BINDALAGRO</t>
  </si>
  <si>
    <t>Oswal Chemicals &amp; Fertilizers Limited</t>
  </si>
  <si>
    <t>SELMC</t>
  </si>
  <si>
    <t>SEL Manufacturing Company Limited</t>
  </si>
  <si>
    <t>BHAGERIA</t>
  </si>
  <si>
    <t>Bhageria Industries Limited</t>
  </si>
  <si>
    <t>ZUARI</t>
  </si>
  <si>
    <t>Zuari Agro Chemicals Limited</t>
  </si>
  <si>
    <t>TALBROAUTO</t>
  </si>
  <si>
    <t>Talbros Automotive Components Limited</t>
  </si>
  <si>
    <t>RUBYMILLS</t>
  </si>
  <si>
    <t>The Ruby Mills Limited</t>
  </si>
  <si>
    <t>OSWALSEEDS</t>
  </si>
  <si>
    <t>ShreeOswal Seeds And Chemicals Limited</t>
  </si>
  <si>
    <t>DPWIRES</t>
  </si>
  <si>
    <t>D P Wires Limited</t>
  </si>
  <si>
    <t>SMSPHARMA</t>
  </si>
  <si>
    <t>SMS Pharmaceuticals Limited</t>
  </si>
  <si>
    <t>DHARMAJ</t>
  </si>
  <si>
    <t>Dharmaj Crop Guard Limited</t>
  </si>
  <si>
    <t>RBL</t>
  </si>
  <si>
    <t>Rane Brake Lining Limited</t>
  </si>
  <si>
    <t>GOYALALUM</t>
  </si>
  <si>
    <t>Goyal Aluminiums Limited</t>
  </si>
  <si>
    <t>NRL</t>
  </si>
  <si>
    <t>Nupur Recyclers Limited</t>
  </si>
  <si>
    <t>MIRZAINT</t>
  </si>
  <si>
    <t>Mirza International Limited</t>
  </si>
  <si>
    <t>VIKASLIFE</t>
  </si>
  <si>
    <t>Vikas Lifecare Limited</t>
  </si>
  <si>
    <t>WINDLAS</t>
  </si>
  <si>
    <t>Windlas Biotech Limited</t>
  </si>
  <si>
    <t>HITECHGEAR</t>
  </si>
  <si>
    <t>The Hi-Tech Gears Limited</t>
  </si>
  <si>
    <t>SHREEPUSHK</t>
  </si>
  <si>
    <t>Shree Pushkar Chemicals &amp; Fertilisers Limited</t>
  </si>
  <si>
    <t>SPENCERS</t>
  </si>
  <si>
    <t>Spencer's Retail Limited</t>
  </si>
  <si>
    <t>KANORICHEM</t>
  </si>
  <si>
    <t>Kanoria Chemicals &amp; Industries Limited</t>
  </si>
  <si>
    <t>JPOLYINVST</t>
  </si>
  <si>
    <t>Jindal Poly Investment and Finance Company Limited</t>
  </si>
  <si>
    <t>ASAL</t>
  </si>
  <si>
    <t>Automotive Stampings and Assemblies Limited</t>
  </si>
  <si>
    <t>SILVERTUC</t>
  </si>
  <si>
    <t>Silver Touch Technologies Limited</t>
  </si>
  <si>
    <t>3IINFOLTD</t>
  </si>
  <si>
    <t>3i Infotech Limited</t>
  </si>
  <si>
    <t>MALLCOM</t>
  </si>
  <si>
    <t>Mallcom (India) Limited</t>
  </si>
  <si>
    <t>CREST</t>
  </si>
  <si>
    <t>Crest Ventures Limited</t>
  </si>
  <si>
    <t>REPRO</t>
  </si>
  <si>
    <t>Repro India Limited</t>
  </si>
  <si>
    <t>MARINE</t>
  </si>
  <si>
    <t>Marine Electricals (India) Limited</t>
  </si>
  <si>
    <t>KECL</t>
  </si>
  <si>
    <t>Kirloskar Electric Company Limited</t>
  </si>
  <si>
    <t>DENORA</t>
  </si>
  <si>
    <t>De Nora India Limited</t>
  </si>
  <si>
    <t>EXXARO</t>
  </si>
  <si>
    <t>Exxaro Tiles Limited</t>
  </si>
  <si>
    <t>MAGADSUGAR</t>
  </si>
  <si>
    <t>Magadh Sugar &amp; Energy Limited</t>
  </si>
  <si>
    <t>ASIANTILES</t>
  </si>
  <si>
    <t>Asian Granito India Limited</t>
  </si>
  <si>
    <t>JAYAGROGN</t>
  </si>
  <si>
    <t>Jayant Agro Organics Limited</t>
  </si>
  <si>
    <t>DIGISPICE</t>
  </si>
  <si>
    <t>DiGiSPICE Technologies Limited</t>
  </si>
  <si>
    <t>BBTCL</t>
  </si>
  <si>
    <t>B&amp;B Triplewall Containers Limited</t>
  </si>
  <si>
    <t>PREMEXPLN</t>
  </si>
  <si>
    <t>Premier Explosives Limited</t>
  </si>
  <si>
    <t>SWELECTES</t>
  </si>
  <si>
    <t>Swelect Energy Systems Limited</t>
  </si>
  <si>
    <t>KELLTONTEC</t>
  </si>
  <si>
    <t>Kellton Tech Solutions Limited</t>
  </si>
  <si>
    <t>MUTHOOTCAP</t>
  </si>
  <si>
    <t>Muthoot Capital Services Limited</t>
  </si>
  <si>
    <t>APCL</t>
  </si>
  <si>
    <t>Anjani Portland Cement Limited</t>
  </si>
  <si>
    <t>ASIANENE</t>
  </si>
  <si>
    <t>Asian Energy Services Limited</t>
  </si>
  <si>
    <t>DONEAR</t>
  </si>
  <si>
    <t>Donear Industries Limited</t>
  </si>
  <si>
    <t>ADSL</t>
  </si>
  <si>
    <t>Allied Digital Services Limited</t>
  </si>
  <si>
    <t>BANSWRAS</t>
  </si>
  <si>
    <t>Banswara Syntex Limited</t>
  </si>
  <si>
    <t>NAHARCAP</t>
  </si>
  <si>
    <t>Nahar Capital and Financial Services Limited</t>
  </si>
  <si>
    <t>ICEMAKE</t>
  </si>
  <si>
    <t>Ice Make Refrigeration Limited</t>
  </si>
  <si>
    <t>BAIDFIN</t>
  </si>
  <si>
    <t>Baid Finserv Limited</t>
  </si>
  <si>
    <t>STCINDIA</t>
  </si>
  <si>
    <t>The State Trading Corporation of India Limited</t>
  </si>
  <si>
    <t>TBZ</t>
  </si>
  <si>
    <t>Tribhovandas Bhimji Zaveri Limited</t>
  </si>
  <si>
    <t>SALZERELEC</t>
  </si>
  <si>
    <t>Salzer Electronics Limited</t>
  </si>
  <si>
    <t>IFBAGRO</t>
  </si>
  <si>
    <t>IFB Agro Industries Limited</t>
  </si>
  <si>
    <t>PTL</t>
  </si>
  <si>
    <t>PTL Enterprises Limited</t>
  </si>
  <si>
    <t>ARIHANTCAP</t>
  </si>
  <si>
    <t>Arihant Capital Markets Limited</t>
  </si>
  <si>
    <t>CSLFINANCE</t>
  </si>
  <si>
    <t>CSL Finance Limited</t>
  </si>
  <si>
    <t>JSLL</t>
  </si>
  <si>
    <t>Jeena Sikho Lifecare Limited</t>
  </si>
  <si>
    <t>UNIVPHOTO</t>
  </si>
  <si>
    <t>Universus Photo Imagings Limited</t>
  </si>
  <si>
    <t>HARDWYN</t>
  </si>
  <si>
    <t>Hardwyn India Limited</t>
  </si>
  <si>
    <t>DSSL</t>
  </si>
  <si>
    <t>Dynacons Systems &amp; Solutions Limited</t>
  </si>
  <si>
    <t>REVATHI</t>
  </si>
  <si>
    <t>Revathi Equipment Limited</t>
  </si>
  <si>
    <t>HCL-INSYS</t>
  </si>
  <si>
    <t>HCL Infosystems Limited</t>
  </si>
  <si>
    <t>PLASTIBLEN</t>
  </si>
  <si>
    <t>Plastiblends India Limited</t>
  </si>
  <si>
    <t>UNIDT</t>
  </si>
  <si>
    <t>United Drilling Tools Limited</t>
  </si>
  <si>
    <t>CAREERP</t>
  </si>
  <si>
    <t>Career Point Limited</t>
  </si>
  <si>
    <t>ARROWGREEN</t>
  </si>
  <si>
    <t>Arrow Greentech Limited</t>
  </si>
  <si>
    <t>SREEL</t>
  </si>
  <si>
    <t>Sreeleathers Limited</t>
  </si>
  <si>
    <t>SBC</t>
  </si>
  <si>
    <t>SBC Exports Limited</t>
  </si>
  <si>
    <t>RADIOCITY</t>
  </si>
  <si>
    <t>Music Broadcast Limited</t>
  </si>
  <si>
    <t>SERVOTECH</t>
  </si>
  <si>
    <t>Servotech Power Systems Limited</t>
  </si>
  <si>
    <t>SAKAR</t>
  </si>
  <si>
    <t>Sakar Healthcare Limited</t>
  </si>
  <si>
    <t>BALAJITELE</t>
  </si>
  <si>
    <t>Balaji Telefilms Limited</t>
  </si>
  <si>
    <t>NXTDIGITAL</t>
  </si>
  <si>
    <t>NXTDIGITAL LIMITED</t>
  </si>
  <si>
    <t>GOACARBON</t>
  </si>
  <si>
    <t>Goa Carbon Limited</t>
  </si>
  <si>
    <t>BIRLACABLE</t>
  </si>
  <si>
    <t>Birla Cable Limited</t>
  </si>
  <si>
    <t>RITCO</t>
  </si>
  <si>
    <t>Ritco Logistics Limited</t>
  </si>
  <si>
    <t>SELAN</t>
  </si>
  <si>
    <t>Selan Exploration Technology Limited</t>
  </si>
  <si>
    <t>ASCOM</t>
  </si>
  <si>
    <t>Ascom Leasing &amp; Investments Limited</t>
  </si>
  <si>
    <t>OSIAHYPER</t>
  </si>
  <si>
    <t>Osia Hyper Retail Limited</t>
  </si>
  <si>
    <t>HINDCOMPOS</t>
  </si>
  <si>
    <t>Hindustan Composites Limited</t>
  </si>
  <si>
    <t>DHANBANK</t>
  </si>
  <si>
    <t>Dhanlaxmi Bank Limited</t>
  </si>
  <si>
    <t>DYCL</t>
  </si>
  <si>
    <t>Dynamic Cables Limited</t>
  </si>
  <si>
    <t>DHUNINV</t>
  </si>
  <si>
    <t>Dhunseri Investments Limited</t>
  </si>
  <si>
    <t>EIFFL</t>
  </si>
  <si>
    <t>Euro India Fresh Foods Limited</t>
  </si>
  <si>
    <t>MUNJALAU</t>
  </si>
  <si>
    <t>Munjal Auto Industries Limited</t>
  </si>
  <si>
    <t>NAHARINDUS</t>
  </si>
  <si>
    <t>Nahar Industrial Enterprises Limited</t>
  </si>
  <si>
    <t>DELPHIFX</t>
  </si>
  <si>
    <t>DELPHI WORLD MONEY LIMITED</t>
  </si>
  <si>
    <t>URJA</t>
  </si>
  <si>
    <t>Urja Global Limited</t>
  </si>
  <si>
    <t>PRIMESECU</t>
  </si>
  <si>
    <t>Prime Securities Limited</t>
  </si>
  <si>
    <t>NECLIFE</t>
  </si>
  <si>
    <t>Nectar Lifesciences Limited</t>
  </si>
  <si>
    <t>NBIFIN</t>
  </si>
  <si>
    <t>N. B. I. Industrial Finance Company Limited</t>
  </si>
  <si>
    <t>GRPLTD</t>
  </si>
  <si>
    <t>GRP Limited</t>
  </si>
  <si>
    <t>MAWANASUG</t>
  </si>
  <si>
    <t>Mawana Sugars Limited</t>
  </si>
  <si>
    <t>ZIMLAB</t>
  </si>
  <si>
    <t>Zim Laboratories Limited</t>
  </si>
  <si>
    <t>PDMJEPAPER</t>
  </si>
  <si>
    <t>Pudumjee Paper Products Limited</t>
  </si>
  <si>
    <t>ONEPOINT</t>
  </si>
  <si>
    <t>One Point One Solutions Limited</t>
  </si>
  <si>
    <t>MAXIND</t>
  </si>
  <si>
    <t>Max India Limited</t>
  </si>
  <si>
    <t>SHYAMCENT</t>
  </si>
  <si>
    <t>Shyam Century Ferrous Limited</t>
  </si>
  <si>
    <t>VARDHACRLC</t>
  </si>
  <si>
    <t>Vardhman Acrylics Limited</t>
  </si>
  <si>
    <t>RADHIKAJWE</t>
  </si>
  <si>
    <t>Radhika Jeweltech Limited</t>
  </si>
  <si>
    <t>NPST</t>
  </si>
  <si>
    <t>Network People Services Technologies Limited</t>
  </si>
  <si>
    <t>THEINVEST</t>
  </si>
  <si>
    <t>The Investment Trust Of India Limited</t>
  </si>
  <si>
    <t>HTMEDIA</t>
  </si>
  <si>
    <t>HT Media Limited</t>
  </si>
  <si>
    <t>NRAIL</t>
  </si>
  <si>
    <t>N R Agarwal Industries Limited</t>
  </si>
  <si>
    <t>RCOM</t>
  </si>
  <si>
    <t>Reliance Communications Limited</t>
  </si>
  <si>
    <t>DICIND</t>
  </si>
  <si>
    <t>DIC India Limited</t>
  </si>
  <si>
    <t>OSWALAGRO</t>
  </si>
  <si>
    <t>Oswal Agro Mills Limited</t>
  </si>
  <si>
    <t>POCL</t>
  </si>
  <si>
    <t>Pondy Oxides &amp; Chemicals Limited</t>
  </si>
  <si>
    <t>AARTISURF</t>
  </si>
  <si>
    <t>Aarti Surfactants Limited</t>
  </si>
  <si>
    <t>SKMEGGPROD</t>
  </si>
  <si>
    <t>SKM Egg Products Export (India) Limited</t>
  </si>
  <si>
    <t>SOLEX</t>
  </si>
  <si>
    <t>Solex Energy Limited</t>
  </si>
  <si>
    <t>DEEPENR</t>
  </si>
  <si>
    <t>DEEP ENERGY RESOURCES LIMITED</t>
  </si>
  <si>
    <t>FCSSOFT</t>
  </si>
  <si>
    <t>FCS Software Solutions Limited</t>
  </si>
  <si>
    <t>MUNJALSHOW</t>
  </si>
  <si>
    <t>Munjal Showa Limited</t>
  </si>
  <si>
    <t>KOTHARIPRO</t>
  </si>
  <si>
    <t>Kothari Products Limited</t>
  </si>
  <si>
    <t>PONNIERODE</t>
  </si>
  <si>
    <t>Ponni Sugars (Erode) Limited</t>
  </si>
  <si>
    <t>CHEMBOND</t>
  </si>
  <si>
    <t>Chembond Chemicals Ltd</t>
  </si>
  <si>
    <t>USASEEDS</t>
  </si>
  <si>
    <t>Upsurge Seeds Of Agriculture Limited</t>
  </si>
  <si>
    <t>KERNEX</t>
  </si>
  <si>
    <t>Kernex Microsystems (India) Limited</t>
  </si>
  <si>
    <t>RANASUG</t>
  </si>
  <si>
    <t>Rana Sugars Limited</t>
  </si>
  <si>
    <t>CUPID</t>
  </si>
  <si>
    <t>Cupid Limited</t>
  </si>
  <si>
    <t>BGRENERGY</t>
  </si>
  <si>
    <t>BGR Energy Systems Limited</t>
  </si>
  <si>
    <t>GENUSPAPER</t>
  </si>
  <si>
    <t>Genus Paper &amp; Boards Limited</t>
  </si>
  <si>
    <t>GSS</t>
  </si>
  <si>
    <t>GSS Infotech Limited</t>
  </si>
  <si>
    <t>PENINLAND</t>
  </si>
  <si>
    <t>Peninsula Land Limited</t>
  </si>
  <si>
    <t>JYOTISTRUC</t>
  </si>
  <si>
    <t>Jyoti Structures Limited</t>
  </si>
  <si>
    <t>ADVANIHOTR</t>
  </si>
  <si>
    <t>Advani Hotels &amp; Resorts (India) Limited</t>
  </si>
  <si>
    <t>KAYA</t>
  </si>
  <si>
    <t>Kaya Limited</t>
  </si>
  <si>
    <t>KOTHARIPET</t>
  </si>
  <si>
    <t>Kothari Petrochemicals Limited</t>
  </si>
  <si>
    <t>LIBERTSHOE</t>
  </si>
  <si>
    <t>Liberty Shoes Limited</t>
  </si>
  <si>
    <t>KHADIM</t>
  </si>
  <si>
    <t>Khadim India Limited</t>
  </si>
  <si>
    <t>PPL</t>
  </si>
  <si>
    <t>Prakash Pipes Limited</t>
  </si>
  <si>
    <t>VIPCLOTHNG</t>
  </si>
  <si>
    <t>VIP Clothing Limited</t>
  </si>
  <si>
    <t>NDRAUTO</t>
  </si>
  <si>
    <t>Ndr Auto Components Limited</t>
  </si>
  <si>
    <t>PROZONINTU</t>
  </si>
  <si>
    <t>Prozone Intu Properties Limited</t>
  </si>
  <si>
    <t>INDOBORAX</t>
  </si>
  <si>
    <t>Indo Borax &amp; Chemicals Limited</t>
  </si>
  <si>
    <t>CONSOFINVT</t>
  </si>
  <si>
    <t>Consolidated Finvest &amp; Holdings Limited</t>
  </si>
  <si>
    <t>INDSWFTLAB</t>
  </si>
  <si>
    <t>Ind-Swift Laboratories Limited</t>
  </si>
  <si>
    <t>ZUARIIND</t>
  </si>
  <si>
    <t>ZUARI INDUSTRIES LIMITED</t>
  </si>
  <si>
    <t>GVKPIL</t>
  </si>
  <si>
    <t>GVK Power &amp; Infrastructure Limited</t>
  </si>
  <si>
    <t>SBGLP</t>
  </si>
  <si>
    <t>Suratwwala Business Group Limited</t>
  </si>
  <si>
    <t>HIRECT</t>
  </si>
  <si>
    <t>Hind Rectifiers Limited</t>
  </si>
  <si>
    <t>CHEMFAB</t>
  </si>
  <si>
    <t>Chemfab Alkalis Limited</t>
  </si>
  <si>
    <t>GLOBAL</t>
  </si>
  <si>
    <t>Global Education Limited</t>
  </si>
  <si>
    <t>ANNAPURNA</t>
  </si>
  <si>
    <t>Annapurna Swadisht Limited</t>
  </si>
  <si>
    <t>INTLCONV</t>
  </si>
  <si>
    <t>International Conveyors Limited</t>
  </si>
  <si>
    <t>EMKAYTOOLS</t>
  </si>
  <si>
    <t>Emkay Taps and Cutting Tools Limited</t>
  </si>
  <si>
    <t>ORBTEXP</t>
  </si>
  <si>
    <t>Orbit Exports Limited</t>
  </si>
  <si>
    <t>SOUTHWEST</t>
  </si>
  <si>
    <t>South West Pinnacle Exploration Limited</t>
  </si>
  <si>
    <t>KAMATHOTEL</t>
  </si>
  <si>
    <t>Kamat Hotels (I) Limited</t>
  </si>
  <si>
    <t>RAJMET</t>
  </si>
  <si>
    <t>Rajnandini Metal Limited</t>
  </si>
  <si>
    <t>RAMAPHO</t>
  </si>
  <si>
    <t>Rama Phosphates Limited</t>
  </si>
  <si>
    <t>OMINFRAL</t>
  </si>
  <si>
    <t>OM INFRA LIMITED</t>
  </si>
  <si>
    <t>HMVL</t>
  </si>
  <si>
    <t>Hindustan Media Ventures Limited</t>
  </si>
  <si>
    <t>AYMSYNTEX</t>
  </si>
  <si>
    <t>AYM Syntex Limited</t>
  </si>
  <si>
    <t>MSPL</t>
  </si>
  <si>
    <t>MSP Steel &amp; Power Limited</t>
  </si>
  <si>
    <t>WEALTH</t>
  </si>
  <si>
    <t>Wealth First Portfolio Managers Limited</t>
  </si>
  <si>
    <t>UNITECH</t>
  </si>
  <si>
    <t>Unitech Limited</t>
  </si>
  <si>
    <t>WEBELSOLAR</t>
  </si>
  <si>
    <t>Websol Energy System Limited</t>
  </si>
  <si>
    <t>NURECA</t>
  </si>
  <si>
    <t>Nureca Limited</t>
  </si>
  <si>
    <t>LYKALABS</t>
  </si>
  <si>
    <t>GKWLIMITED</t>
  </si>
  <si>
    <t>GKW Limited</t>
  </si>
  <si>
    <t>MHLXMIRU</t>
  </si>
  <si>
    <t>Mahalaxmi Rubtech Limited</t>
  </si>
  <si>
    <t>AURUM</t>
  </si>
  <si>
    <t>Aurum PropTech Limited</t>
  </si>
  <si>
    <t>SKYGOLD</t>
  </si>
  <si>
    <t>Sky Gold Limited</t>
  </si>
  <si>
    <t>ALBERTDAVD</t>
  </si>
  <si>
    <t>Albert David Limited</t>
  </si>
  <si>
    <t>SHIVAUM</t>
  </si>
  <si>
    <t>Shiv Aum Steels Limited</t>
  </si>
  <si>
    <t>PAVNAIND</t>
  </si>
  <si>
    <t>Pavna Industries Limited</t>
  </si>
  <si>
    <t>CINELINE</t>
  </si>
  <si>
    <t>Cineline India Limited</t>
  </si>
  <si>
    <t>KOTARISUG</t>
  </si>
  <si>
    <t>Kothari Sugars And Chemicals Limited</t>
  </si>
  <si>
    <t>SHEMAROO</t>
  </si>
  <si>
    <t>Shemaroo Entertainment Limited</t>
  </si>
  <si>
    <t>SILINV</t>
  </si>
  <si>
    <t>SIL Investments Limited</t>
  </si>
  <si>
    <t>SKP</t>
  </si>
  <si>
    <t>SKP Bearing Industries Limited</t>
  </si>
  <si>
    <t>MMP</t>
  </si>
  <si>
    <t>MMP Industries Limited</t>
  </si>
  <si>
    <t>EQUIPPP</t>
  </si>
  <si>
    <t>Equippp Social Impact Technologies Limited</t>
  </si>
  <si>
    <t>MANORG</t>
  </si>
  <si>
    <t>Mangalam Organics Limited</t>
  </si>
  <si>
    <t>CYBERTECH</t>
  </si>
  <si>
    <t>Cybertech Systems And Software Limited</t>
  </si>
  <si>
    <t>TRIGYN</t>
  </si>
  <si>
    <t>Trigyn Technologies Limited</t>
  </si>
  <si>
    <t>SINTERCOM</t>
  </si>
  <si>
    <t>Sintercom India Limited</t>
  </si>
  <si>
    <t>JINDALPHOT</t>
  </si>
  <si>
    <t>Jindal Photo Limited</t>
  </si>
  <si>
    <t>SARLAPOLY</t>
  </si>
  <si>
    <t>Sarla Performance Fibers Limited</t>
  </si>
  <si>
    <t>RUCHIRA</t>
  </si>
  <si>
    <t>Ruchira Papers Limited</t>
  </si>
  <si>
    <t>ESSENTIA</t>
  </si>
  <si>
    <t>Integra Essentia Limited</t>
  </si>
  <si>
    <t>MACPOWER</t>
  </si>
  <si>
    <t>Macpower CNC Machines Limited</t>
  </si>
  <si>
    <t>AUTOIND</t>
  </si>
  <si>
    <t>Autoline Industries Limited</t>
  </si>
  <si>
    <t>ORIENTABRA</t>
  </si>
  <si>
    <t>Orient Abrasives Limited</t>
  </si>
  <si>
    <t>APOLSINHOT</t>
  </si>
  <si>
    <t>Apollo Sindoori Hotels Limited</t>
  </si>
  <si>
    <t>DYNPRO</t>
  </si>
  <si>
    <t>Dynemic Products Limited</t>
  </si>
  <si>
    <t>CLEDUCATE</t>
  </si>
  <si>
    <t>CL Educate Limited</t>
  </si>
  <si>
    <t>PARSVNATH</t>
  </si>
  <si>
    <t>Parsvnath Developers Limited</t>
  </si>
  <si>
    <t>GSCLCEMENT</t>
  </si>
  <si>
    <t>Gujarat Sidhee Cement Limited</t>
  </si>
  <si>
    <t>MIRCELECTR</t>
  </si>
  <si>
    <t>MIRC Electronics Limited</t>
  </si>
  <si>
    <t>VISHWARAJ</t>
  </si>
  <si>
    <t>Vishwaraj Sugar Industries Limited</t>
  </si>
  <si>
    <t>HINDMOTORS</t>
  </si>
  <si>
    <t>Hindustan Motors Limited</t>
  </si>
  <si>
    <t>NINSYS</t>
  </si>
  <si>
    <t>NINtec Systems Limited</t>
  </si>
  <si>
    <t>NATHBIOGEN</t>
  </si>
  <si>
    <t>Nath Bio-Genes (India) Limited</t>
  </si>
  <si>
    <t>KNAGRI</t>
  </si>
  <si>
    <t>KN Agri Resources Limited</t>
  </si>
  <si>
    <t>GEECEE</t>
  </si>
  <si>
    <t>GeeCee Ventures Limited</t>
  </si>
  <si>
    <t>KCPSUGIND</t>
  </si>
  <si>
    <t>KCP Sugar and Industries Corporation Limited</t>
  </si>
  <si>
    <t>STEL</t>
  </si>
  <si>
    <t>Stel Holdings Limited</t>
  </si>
  <si>
    <t>PODDARMENT</t>
  </si>
  <si>
    <t>Poddar Pigments Limited</t>
  </si>
  <si>
    <t>KOTYARK</t>
  </si>
  <si>
    <t>Kotyark Industries Limited</t>
  </si>
  <si>
    <t>HITECHCORP</t>
  </si>
  <si>
    <t>Hitech Corporation Limited</t>
  </si>
  <si>
    <t>EUROBOND</t>
  </si>
  <si>
    <t>Euro Panel Products Limited</t>
  </si>
  <si>
    <t>MICEL</t>
  </si>
  <si>
    <t>MIC Electronics Limited</t>
  </si>
  <si>
    <t>ORICONENT</t>
  </si>
  <si>
    <t>Oricon Enterprises Limited</t>
  </si>
  <si>
    <t>20MICRONS</t>
  </si>
  <si>
    <t>20 Microns Limited</t>
  </si>
  <si>
    <t>MWL</t>
  </si>
  <si>
    <t>Mangalam Worldwide Limited</t>
  </si>
  <si>
    <t>MINDTECK</t>
  </si>
  <si>
    <t>Mindteck (India) Limited</t>
  </si>
  <si>
    <t>BMETRICS</t>
  </si>
  <si>
    <t>Bombay Metrics Supply Chain Limited</t>
  </si>
  <si>
    <t>GOKUL</t>
  </si>
  <si>
    <t>Gokul Refoils and Solvent Limited</t>
  </si>
  <si>
    <t>SECL</t>
  </si>
  <si>
    <t>Salasar Exteriors and Contour Limited</t>
  </si>
  <si>
    <t>DUGLOBAL</t>
  </si>
  <si>
    <t>DUDIGITAL GLOBAL LIMITED</t>
  </si>
  <si>
    <t>WEL</t>
  </si>
  <si>
    <t>Wonder Electricals Limited</t>
  </si>
  <si>
    <t>SUPERHOUSE</t>
  </si>
  <si>
    <t>Superhouse Limited</t>
  </si>
  <si>
    <t>LOYALTEX</t>
  </si>
  <si>
    <t>Loyal Textile Mills Limited</t>
  </si>
  <si>
    <t>BPL</t>
  </si>
  <si>
    <t>BPL Limited</t>
  </si>
  <si>
    <t>BIRLAMONEY</t>
  </si>
  <si>
    <t>Aditya Birla Money Limited</t>
  </si>
  <si>
    <t>GPTINFRA</t>
  </si>
  <si>
    <t>GPT Infraprojects Limited</t>
  </si>
  <si>
    <t>E2E</t>
  </si>
  <si>
    <t>E2E Networks Limited</t>
  </si>
  <si>
    <t>SHIVAMAUTO</t>
  </si>
  <si>
    <t>Shivam Autotech Limited</t>
  </si>
  <si>
    <t>DCMNVL</t>
  </si>
  <si>
    <t>DCM Nouvelle Limited</t>
  </si>
  <si>
    <t>MAZDA</t>
  </si>
  <si>
    <t>Mazda Limited</t>
  </si>
  <si>
    <t>MADHAVBAUG</t>
  </si>
  <si>
    <t>Vaidya Sane Ayurved Laboratories Limited</t>
  </si>
  <si>
    <t>WINDMACHIN</t>
  </si>
  <si>
    <t>Windsor Machines Limited</t>
  </si>
  <si>
    <t>BASML</t>
  </si>
  <si>
    <t>Bannari Amman Spinning Mills Limited</t>
  </si>
  <si>
    <t>WALCHANNAG</t>
  </si>
  <si>
    <t>Walchandnagar Industries Limited</t>
  </si>
  <si>
    <t>SEJALLTD</t>
  </si>
  <si>
    <t>Sejal Glass Limited</t>
  </si>
  <si>
    <t>UCALFUEL</t>
  </si>
  <si>
    <t>Ucal Fuel Systems Limited</t>
  </si>
  <si>
    <t>MAHEPC</t>
  </si>
  <si>
    <t>Mahindra EPC Irrigation Limited</t>
  </si>
  <si>
    <t>V2RETAIL</t>
  </si>
  <si>
    <t>V2 Retail Limited</t>
  </si>
  <si>
    <t>SAKUMA</t>
  </si>
  <si>
    <t>Sakuma Exports Limited</t>
  </si>
  <si>
    <t>VERTOZ</t>
  </si>
  <si>
    <t>Vertoz Advertising Limited</t>
  </si>
  <si>
    <t>KMSUGAR</t>
  </si>
  <si>
    <t>K.M.Sugar Mills Limited</t>
  </si>
  <si>
    <t>ASHIMASYN</t>
  </si>
  <si>
    <t>Ashima Limited</t>
  </si>
  <si>
    <t>UFO</t>
  </si>
  <si>
    <t>UFO Moviez India Limited</t>
  </si>
  <si>
    <t>VIKASECO</t>
  </si>
  <si>
    <t>Vikas EcoTech Limited</t>
  </si>
  <si>
    <t>SAKHTISUG</t>
  </si>
  <si>
    <t>Sakthi Sugars Limited</t>
  </si>
  <si>
    <t>MAHESHWARI</t>
  </si>
  <si>
    <t>Maheshwari Logistics Limited</t>
  </si>
  <si>
    <t>MAANALU</t>
  </si>
  <si>
    <t>Maan Aluminium Limited</t>
  </si>
  <si>
    <t>HUBTOWN</t>
  </si>
  <si>
    <t>Hubtown Limited</t>
  </si>
  <si>
    <t>REPL</t>
  </si>
  <si>
    <t>Rudrabhishek Enterprises Limited</t>
  </si>
  <si>
    <t>QMSMEDI</t>
  </si>
  <si>
    <t>QMS Medical Allied Services Limited</t>
  </si>
  <si>
    <t>MANAKSTEEL</t>
  </si>
  <si>
    <t>Manaksia Steels Limited</t>
  </si>
  <si>
    <t>EMAMIREAL</t>
  </si>
  <si>
    <t>Emami Realty Limited</t>
  </si>
  <si>
    <t>GENCON</t>
  </si>
  <si>
    <t>Generic Engineering Construction and Projects Limited</t>
  </si>
  <si>
    <t>STARPAPER</t>
  </si>
  <si>
    <t>Star Paper Mills Limited</t>
  </si>
  <si>
    <t>GUJAPOLLO</t>
  </si>
  <si>
    <t>Gujarat Apollo Industries Limited</t>
  </si>
  <si>
    <t>JAYSREETEA</t>
  </si>
  <si>
    <t>Jayshree Tea &amp; Industries Limited</t>
  </si>
  <si>
    <t>NDL</t>
  </si>
  <si>
    <t>Nandan Denim Limited</t>
  </si>
  <si>
    <t>BCONCEPTS</t>
  </si>
  <si>
    <t>Brand Concepts Limited</t>
  </si>
  <si>
    <t>GIRRESORTS</t>
  </si>
  <si>
    <t>GIR Natureview Resorts Limited</t>
  </si>
  <si>
    <t>SMLT</t>
  </si>
  <si>
    <t>Sarthak Metals Limited</t>
  </si>
  <si>
    <t>TPLPLASTEH</t>
  </si>
  <si>
    <t>TPL Plastech Limited</t>
  </si>
  <si>
    <t>TEMBO</t>
  </si>
  <si>
    <t>Tembo Global Industries Limited</t>
  </si>
  <si>
    <t>DANGEE</t>
  </si>
  <si>
    <t>Dangee Dums Limited</t>
  </si>
  <si>
    <t>NIPPOBATRY</t>
  </si>
  <si>
    <t>Indo-National Limited</t>
  </si>
  <si>
    <t>ASIANHOTNR</t>
  </si>
  <si>
    <t>Asian Hotels (North) Limited</t>
  </si>
  <si>
    <t>BRNL</t>
  </si>
  <si>
    <t>Bharat Road Network Limited</t>
  </si>
  <si>
    <t>PPAP</t>
  </si>
  <si>
    <t>PPAP Automotive Limited</t>
  </si>
  <si>
    <t>PASUPTAC</t>
  </si>
  <si>
    <t>Pasupati Acrylon Limited</t>
  </si>
  <si>
    <t>FROG</t>
  </si>
  <si>
    <t>Frog Cellsat Limited</t>
  </si>
  <si>
    <t>ASAHISONG</t>
  </si>
  <si>
    <t>Asahi Songwon Colors Limited</t>
  </si>
  <si>
    <t>PRECOT</t>
  </si>
  <si>
    <t>Precot Limited</t>
  </si>
  <si>
    <t>MEP</t>
  </si>
  <si>
    <t>MEP Infrastructure Developers Limited</t>
  </si>
  <si>
    <t>VENUSREM</t>
  </si>
  <si>
    <t>Venus Remedies Limited</t>
  </si>
  <si>
    <t>KILITCH</t>
  </si>
  <si>
    <t>Kilitch Drugs (India) Limited</t>
  </si>
  <si>
    <t>BTML</t>
  </si>
  <si>
    <t>Bodhi Tree Multimedia Limited</t>
  </si>
  <si>
    <t>MEGASTAR</t>
  </si>
  <si>
    <t>Megastar Foods Limited</t>
  </si>
  <si>
    <t>DRCSYSTEMS</t>
  </si>
  <si>
    <t>DRC Systems India Limited</t>
  </si>
  <si>
    <t>ZODIACLOTH</t>
  </si>
  <si>
    <t>Zodiac Clothing Company Limited</t>
  </si>
  <si>
    <t>HILTON</t>
  </si>
  <si>
    <t>Hilton Metal Forging Limited</t>
  </si>
  <si>
    <t>INDOTHAI</t>
  </si>
  <si>
    <t>Indo Thai Securities Limited</t>
  </si>
  <si>
    <t>JITFINFRA</t>
  </si>
  <si>
    <t>JITF Infralogistics Limited</t>
  </si>
  <si>
    <t>EROSMEDIA</t>
  </si>
  <si>
    <t>Eros International Media Limited</t>
  </si>
  <si>
    <t>DEVIT</t>
  </si>
  <si>
    <t>Dev Information Technology Limited</t>
  </si>
  <si>
    <t>BIL</t>
  </si>
  <si>
    <t>Bhartiya International Limited</t>
  </si>
  <si>
    <t>EIMCOELECO</t>
  </si>
  <si>
    <t>Eimco Elecon (India) Limited</t>
  </si>
  <si>
    <t>ANMOL</t>
  </si>
  <si>
    <t>Anmol India Limited</t>
  </si>
  <si>
    <t>COASTCORP</t>
  </si>
  <si>
    <t>Coastal Corporation Limited</t>
  </si>
  <si>
    <t>RAJTV</t>
  </si>
  <si>
    <t>Raj Television Network Limited</t>
  </si>
  <si>
    <t>KORE</t>
  </si>
  <si>
    <t>Jay Jalaram Technologies Limited</t>
  </si>
  <si>
    <t>RELCAPITAL</t>
  </si>
  <si>
    <t>Reliance Capital Limited</t>
  </si>
  <si>
    <t>MGEL</t>
  </si>
  <si>
    <t>Mangalam Global Enterprise Limited</t>
  </si>
  <si>
    <t>FOCE</t>
  </si>
  <si>
    <t>Foce India Limited</t>
  </si>
  <si>
    <t>INDTERRAIN</t>
  </si>
  <si>
    <t>Indian Terrain Fashions Limited</t>
  </si>
  <si>
    <t>TAKE</t>
  </si>
  <si>
    <t>Take Solutions Limited</t>
  </si>
  <si>
    <t>TOTAL</t>
  </si>
  <si>
    <t>Total Transport Systems Limited</t>
  </si>
  <si>
    <t>ACCURACY</t>
  </si>
  <si>
    <t>Accuracy Shipping Limited</t>
  </si>
  <si>
    <t>AVG</t>
  </si>
  <si>
    <t>AVG Logistics Limited</t>
  </si>
  <si>
    <t>HARRMALAYA</t>
  </si>
  <si>
    <t>Harrisons  Malayalam Limited</t>
  </si>
  <si>
    <t>SHREYANIND</t>
  </si>
  <si>
    <t>Shreyans Industries Limited</t>
  </si>
  <si>
    <t>LOKESHMACH</t>
  </si>
  <si>
    <t>Lokesh Machines Limited</t>
  </si>
  <si>
    <t>LGBFORGE</t>
  </si>
  <si>
    <t>LGB Forge Limited</t>
  </si>
  <si>
    <t>SYSTANGO</t>
  </si>
  <si>
    <t>Systango Technologies Limited</t>
  </si>
  <si>
    <t>SIGMA</t>
  </si>
  <si>
    <t>Sigma Solve Limited</t>
  </si>
  <si>
    <t>MARALOVER</t>
  </si>
  <si>
    <t>Maral Overseas Limited</t>
  </si>
  <si>
    <t>ABAN</t>
  </si>
  <si>
    <t>Aban Offshore Limited</t>
  </si>
  <si>
    <t>BAFNAPH</t>
  </si>
  <si>
    <t>Bafna Pharmaceuticals Limited</t>
  </si>
  <si>
    <t>BEDMUTHA</t>
  </si>
  <si>
    <t>Bedmutha Industries Limited</t>
  </si>
  <si>
    <t>SIMPLEXINF</t>
  </si>
  <si>
    <t>Simplex Infrastructures Limited</t>
  </si>
  <si>
    <t>ARIES</t>
  </si>
  <si>
    <t>Aries Agro Limited</t>
  </si>
  <si>
    <t>DTIL</t>
  </si>
  <si>
    <t>Dhunseri Tea &amp; Industries Limited</t>
  </si>
  <si>
    <t>KRITINUT</t>
  </si>
  <si>
    <t>Kriti Nutrients Limited</t>
  </si>
  <si>
    <t>IVC</t>
  </si>
  <si>
    <t>IL&amp;FS Investment Managers Limited</t>
  </si>
  <si>
    <t>IITL</t>
  </si>
  <si>
    <t>Industrial Investment Trust Limited</t>
  </si>
  <si>
    <t>SWASTIK</t>
  </si>
  <si>
    <t>Swastik Pipe Limited</t>
  </si>
  <si>
    <t>AARON</t>
  </si>
  <si>
    <t>Aaron Industries Limited</t>
  </si>
  <si>
    <t>VITAL</t>
  </si>
  <si>
    <t>Vital Chemtech Limited</t>
  </si>
  <si>
    <t>BEWLTD</t>
  </si>
  <si>
    <t>BEW Engineering Limited</t>
  </si>
  <si>
    <t>NILAINFRA</t>
  </si>
  <si>
    <t>Nila Infrastructures Limited</t>
  </si>
  <si>
    <t>INDOTECH</t>
  </si>
  <si>
    <t>Indo Tech Transformers Limited</t>
  </si>
  <si>
    <t>PVP</t>
  </si>
  <si>
    <t>PVP Ventures Limited</t>
  </si>
  <si>
    <t>AHLEAST</t>
  </si>
  <si>
    <t>Asian Hotels (East) Limited</t>
  </si>
  <si>
    <t>SAH</t>
  </si>
  <si>
    <t>Sah Polymers Limited</t>
  </si>
  <si>
    <t>TIPSFILMS</t>
  </si>
  <si>
    <t>Tips Films Limited</t>
  </si>
  <si>
    <t>PHANTOMFX</t>
  </si>
  <si>
    <t>Phantom Digital Effects Limited</t>
  </si>
  <si>
    <t>DUCOL</t>
  </si>
  <si>
    <t>Ducol Organics And Colours Limited</t>
  </si>
  <si>
    <t>KANPRPLA</t>
  </si>
  <si>
    <t>Kanpur Plastipack Limited</t>
  </si>
  <si>
    <t>VINNY</t>
  </si>
  <si>
    <t>Vinny Overseas Limited</t>
  </si>
  <si>
    <t>MCLEODRUSS</t>
  </si>
  <si>
    <t>Mcleod Russel India Limited</t>
  </si>
  <si>
    <t>TRF</t>
  </si>
  <si>
    <t>TRF Limited</t>
  </si>
  <si>
    <t>ALLETEC</t>
  </si>
  <si>
    <t>All E Technologies Limited</t>
  </si>
  <si>
    <t>MANOMAY</t>
  </si>
  <si>
    <t>Manomay Tex India Limited</t>
  </si>
  <si>
    <t>INSPIRISYS</t>
  </si>
  <si>
    <t>Inspirisys Solutions Limited</t>
  </si>
  <si>
    <t>AIRAN</t>
  </si>
  <si>
    <t>Airan Limited</t>
  </si>
  <si>
    <t>MODISONLTD</t>
  </si>
  <si>
    <t>MODISON LIMITED</t>
  </si>
  <si>
    <t>MURUDCERA</t>
  </si>
  <si>
    <t>Murudeshwar Ceramics Limited</t>
  </si>
  <si>
    <t>TIRUPATI</t>
  </si>
  <si>
    <t>Shree Tirupati Balajee FIBC Limited</t>
  </si>
  <si>
    <t>PAR</t>
  </si>
  <si>
    <t>Par Drugs And Chemicals Limited</t>
  </si>
  <si>
    <t>SGIL</t>
  </si>
  <si>
    <t>Synergy Green Industries Limited</t>
  </si>
  <si>
    <t>SPLIL</t>
  </si>
  <si>
    <t>SPL Industries Limited</t>
  </si>
  <si>
    <t>GEEKAYWIRE</t>
  </si>
  <si>
    <t>Geekay Wires Limited</t>
  </si>
  <si>
    <t>PALREDTEC</t>
  </si>
  <si>
    <t>Palred Technologies Limited</t>
  </si>
  <si>
    <t>ESSARSHPNG</t>
  </si>
  <si>
    <t>Essar Shipping Limited</t>
  </si>
  <si>
    <t>SIL</t>
  </si>
  <si>
    <t>Standard Industries Limited</t>
  </si>
  <si>
    <t>PRITI</t>
  </si>
  <si>
    <t>Priti International Limited</t>
  </si>
  <si>
    <t>AKSHARCHEM</t>
  </si>
  <si>
    <t>AksharChem India Limited</t>
  </si>
  <si>
    <t>RAMANEWS</t>
  </si>
  <si>
    <t>Shree Rama Newsprint Limited</t>
  </si>
  <si>
    <t>RUCHINFRA</t>
  </si>
  <si>
    <t>Ruchi Infrastructure Limited</t>
  </si>
  <si>
    <t>ALANKIT</t>
  </si>
  <si>
    <t>Alankit Limited</t>
  </si>
  <si>
    <t>MEGASOFT</t>
  </si>
  <si>
    <t>Megasoft Limited</t>
  </si>
  <si>
    <t>IZMO</t>
  </si>
  <si>
    <t>IZMO Limited</t>
  </si>
  <si>
    <t>GULFPETRO</t>
  </si>
  <si>
    <t>GP Petroleums Limited</t>
  </si>
  <si>
    <t>TOUCHWOOD</t>
  </si>
  <si>
    <t>Touchwood Entertainment Limited</t>
  </si>
  <si>
    <t>SARVESHWAR</t>
  </si>
  <si>
    <t>Sarveshwar Foods Limited</t>
  </si>
  <si>
    <t>TARMAT</t>
  </si>
  <si>
    <t>Tarmat Limited</t>
  </si>
  <si>
    <t>RPPL</t>
  </si>
  <si>
    <t>Rajshree Polypack Limited</t>
  </si>
  <si>
    <t>IEL</t>
  </si>
  <si>
    <t>Indiabulls Enterprises Limited</t>
  </si>
  <si>
    <t>BHARATGEAR</t>
  </si>
  <si>
    <t>Bharat Gears Limited</t>
  </si>
  <si>
    <t>GOLDTECH</t>
  </si>
  <si>
    <t>Goldstone Technologies Limited</t>
  </si>
  <si>
    <t>MBLINFRA</t>
  </si>
  <si>
    <t>MBL Infrastructure Limited</t>
  </si>
  <si>
    <t>PROPEQUITY</t>
  </si>
  <si>
    <t>P. E. Analytics Limited</t>
  </si>
  <si>
    <t>EMKAY</t>
  </si>
  <si>
    <t>Emkay Global Financial Services Limited</t>
  </si>
  <si>
    <t>IL&amp;FSENGG</t>
  </si>
  <si>
    <t>IL&amp;FS Engineering and Construction Company Limited</t>
  </si>
  <si>
    <t>BSL</t>
  </si>
  <si>
    <t>BSL Limited</t>
  </si>
  <si>
    <t>UNITEDPOLY</t>
  </si>
  <si>
    <t>United Polyfab Gujarat Limited</t>
  </si>
  <si>
    <t>PASHUPATI</t>
  </si>
  <si>
    <t>Pashupati Cotspin Limited</t>
  </si>
  <si>
    <t>SHIVATEX</t>
  </si>
  <si>
    <t>Shiva Texyarn Limited</t>
  </si>
  <si>
    <t>MANGALAM</t>
  </si>
  <si>
    <t>Mangalam Drugs And Organics Limited</t>
  </si>
  <si>
    <t>KRISHNADEF</t>
  </si>
  <si>
    <t>Krishna Defence and Allied Industries Limited</t>
  </si>
  <si>
    <t>PREMIERPOL</t>
  </si>
  <si>
    <t>Premier Polyfilm Limited</t>
  </si>
  <si>
    <t>SMSLIFE</t>
  </si>
  <si>
    <t>SMS Lifesciences India Limited</t>
  </si>
  <si>
    <t>GOLDSTAR</t>
  </si>
  <si>
    <t>Goldstar Power Limited</t>
  </si>
  <si>
    <t>BROOKS</t>
  </si>
  <si>
    <t>Brooks Laboratories Limited</t>
  </si>
  <si>
    <t>VAISHALI</t>
  </si>
  <si>
    <t>Vaishali Pharma Limited</t>
  </si>
  <si>
    <t>ALMONDZ</t>
  </si>
  <si>
    <t>Almondz Global Securities Limited</t>
  </si>
  <si>
    <t>3RDROCK</t>
  </si>
  <si>
    <t>3rd Rock Multimedia Limited</t>
  </si>
  <si>
    <t>PRESSMN</t>
  </si>
  <si>
    <t>Pressman Advertising Limited</t>
  </si>
  <si>
    <t>AARVI</t>
  </si>
  <si>
    <t>Aarvi Encon Limited</t>
  </si>
  <si>
    <t>AKSHAR</t>
  </si>
  <si>
    <t>Akshar Spintex Limited</t>
  </si>
  <si>
    <t>LATTEYS</t>
  </si>
  <si>
    <t>Latteys Industries Limited</t>
  </si>
  <si>
    <t>VISESHINFO</t>
  </si>
  <si>
    <t>Visesh Infotecnics Limited</t>
  </si>
  <si>
    <t>BHAGYANGR</t>
  </si>
  <si>
    <t>Bhagyanagar India Limited</t>
  </si>
  <si>
    <t>TTL</t>
  </si>
  <si>
    <t>T T Limited</t>
  </si>
  <si>
    <t>SADBHAV</t>
  </si>
  <si>
    <t>Sadbhav Engineering Limited</t>
  </si>
  <si>
    <t>COMPUSOFT</t>
  </si>
  <si>
    <t>Compucom Software Limited</t>
  </si>
  <si>
    <t>KAKATCEM</t>
  </si>
  <si>
    <t>Kakatiya Cement Sugar &amp; Industries Limited</t>
  </si>
  <si>
    <t>RPPINFRA</t>
  </si>
  <si>
    <t>R.P.P. Infra Projects Limited</t>
  </si>
  <si>
    <t>SVLL</t>
  </si>
  <si>
    <t>Shree Vasu Logistics Limited</t>
  </si>
  <si>
    <t>SMARTLINK</t>
  </si>
  <si>
    <t>Smartlink Holdings Limited</t>
  </si>
  <si>
    <t>ASPINWALL</t>
  </si>
  <si>
    <t>Aspinwall and Company Limited</t>
  </si>
  <si>
    <t>LAMBODHARA</t>
  </si>
  <si>
    <t>Lambodhara Textiles Limited</t>
  </si>
  <si>
    <t>DJML</t>
  </si>
  <si>
    <t>DJ Mediaprint &amp; Logistics Limited</t>
  </si>
  <si>
    <t>TIL</t>
  </si>
  <si>
    <t>TIL Limited</t>
  </si>
  <si>
    <t>ELGIRUBCO</t>
  </si>
  <si>
    <t>Elgi Rubber Company Limited</t>
  </si>
  <si>
    <t>JAINAM</t>
  </si>
  <si>
    <t>Jainam Ferro Alloys (I) Limited</t>
  </si>
  <si>
    <t>WORTH</t>
  </si>
  <si>
    <t>Worth Peripherals Limited</t>
  </si>
  <si>
    <t>ISFT</t>
  </si>
  <si>
    <t>Intrasoft Technologies Limited</t>
  </si>
  <si>
    <t>GINNIFILA</t>
  </si>
  <si>
    <t>Ginni Filaments Limited</t>
  </si>
  <si>
    <t>PILITA</t>
  </si>
  <si>
    <t>PIL ITALICA LIFESTYLE LIMITED</t>
  </si>
  <si>
    <t>SOFTTECH</t>
  </si>
  <si>
    <t>Softtech Engineers Limited</t>
  </si>
  <si>
    <t>DUCON</t>
  </si>
  <si>
    <t>Ducon Infratechnologies Limited</t>
  </si>
  <si>
    <t>VETO</t>
  </si>
  <si>
    <t>Veto Switchgears And Cables Limited</t>
  </si>
  <si>
    <t>RANEENGINE</t>
  </si>
  <si>
    <t>Rane Engine Valve Limited</t>
  </si>
  <si>
    <t>AVONMORE</t>
  </si>
  <si>
    <t>Avonmore Capital &amp; Management Services Limited</t>
  </si>
  <si>
    <t>KBCGLOBAL</t>
  </si>
  <si>
    <t>KBC Global Limited</t>
  </si>
  <si>
    <t>PANSARI</t>
  </si>
  <si>
    <t>Pansari Developers Limited</t>
  </si>
  <si>
    <t>MODIRUBBER</t>
  </si>
  <si>
    <t>Modi Rubber Limited</t>
  </si>
  <si>
    <t>INVENTURE</t>
  </si>
  <si>
    <t>Inventure Growth &amp; Securities Limited</t>
  </si>
  <si>
    <t>KAPSTON</t>
  </si>
  <si>
    <t>Kapston Services Limited</t>
  </si>
  <si>
    <t>AKSHOPTFBR</t>
  </si>
  <si>
    <t>Aksh Optifibre Limited</t>
  </si>
  <si>
    <t>JMA</t>
  </si>
  <si>
    <t>Jullundur Motor Agency (Delhi) Limited</t>
  </si>
  <si>
    <t>EMMBI</t>
  </si>
  <si>
    <t>Emmbi Industries Limited</t>
  </si>
  <si>
    <t>NITCO</t>
  </si>
  <si>
    <t>Nitco Limited</t>
  </si>
  <si>
    <t>IRIS</t>
  </si>
  <si>
    <t>Iris Business Services Limited</t>
  </si>
  <si>
    <t>SHERA</t>
  </si>
  <si>
    <t>Shera Energy Limited</t>
  </si>
  <si>
    <t>DRSDILIP</t>
  </si>
  <si>
    <t>DRS Dilip Roadlines Limited</t>
  </si>
  <si>
    <t>UNITEDTEA</t>
  </si>
  <si>
    <t>The United Nilgiri Tea Estates Company Limited</t>
  </si>
  <si>
    <t>JOCIL</t>
  </si>
  <si>
    <t>Jocil Limited</t>
  </si>
  <si>
    <t>MANAKALUCO</t>
  </si>
  <si>
    <t>Manaksia Aluminium Company Limited</t>
  </si>
  <si>
    <t>VIPULLTD</t>
  </si>
  <si>
    <t>Vipul Limited</t>
  </si>
  <si>
    <t>SIKKO</t>
  </si>
  <si>
    <t>Sikko Industries Limited</t>
  </si>
  <si>
    <t>GILLANDERS</t>
  </si>
  <si>
    <t>Gillanders Arbuthnot &amp; Company Limited</t>
  </si>
  <si>
    <t>SVPGLOB</t>
  </si>
  <si>
    <t>SVP GLOBAL TEXTILES LIMITED</t>
  </si>
  <si>
    <t>VISASTEEL</t>
  </si>
  <si>
    <t>Visa Steel Limited</t>
  </si>
  <si>
    <t>DCM</t>
  </si>
  <si>
    <t>DCM  Limited</t>
  </si>
  <si>
    <t>INTENTECH</t>
  </si>
  <si>
    <t>Intense Technologies Limited</t>
  </si>
  <si>
    <t>TEXMOPIPES</t>
  </si>
  <si>
    <t>Texmo Pipes and Products Limited</t>
  </si>
  <si>
    <t>WEIZMANIND</t>
  </si>
  <si>
    <t>Weizmann Limited</t>
  </si>
  <si>
    <t>BYKE</t>
  </si>
  <si>
    <t>The Byke Hospitality Ltd</t>
  </si>
  <si>
    <t>RAJSREESUG</t>
  </si>
  <si>
    <t>Rajshree Sugars &amp; Chemicals Limited</t>
  </si>
  <si>
    <t>ZODIAC</t>
  </si>
  <si>
    <t>Zodiac Energy Limited</t>
  </si>
  <si>
    <t>ARSHIYA</t>
  </si>
  <si>
    <t>Arshiya Limited</t>
  </si>
  <si>
    <t>UMANGDAIRY</t>
  </si>
  <si>
    <t>Umang Dairies Limited</t>
  </si>
  <si>
    <t>LOVABLE</t>
  </si>
  <si>
    <t>Lovable Lingerie Limited</t>
  </si>
  <si>
    <t>HOMESFY</t>
  </si>
  <si>
    <t>Homesfy Realty Limited</t>
  </si>
  <si>
    <t>ALPHAGEO</t>
  </si>
  <si>
    <t>Alphageo (India) Limited</t>
  </si>
  <si>
    <t>NDGL</t>
  </si>
  <si>
    <t>Naga Dhunseri Group Limited</t>
  </si>
  <si>
    <t>PRAXIS</t>
  </si>
  <si>
    <t>Praxis Home Retail Limited</t>
  </si>
  <si>
    <t>ARTNIRMAN</t>
  </si>
  <si>
    <t>Art Nirman Limited</t>
  </si>
  <si>
    <t>SHIGAN</t>
  </si>
  <si>
    <t>Shigan Quantum Technologies Limited</t>
  </si>
  <si>
    <t>NOIDATOLL</t>
  </si>
  <si>
    <t>Noida Toll Bridge Company Limited</t>
  </si>
  <si>
    <t>UMAEXPORTS</t>
  </si>
  <si>
    <t>Uma Exports Limited</t>
  </si>
  <si>
    <t>VELS</t>
  </si>
  <si>
    <t>Vels Film International Limited</t>
  </si>
  <si>
    <t>ATLANTA</t>
  </si>
  <si>
    <t>Atlanta  Limited</t>
  </si>
  <si>
    <t>MOTOGENFIN</t>
  </si>
  <si>
    <t>The Motor &amp; General Finance Limited</t>
  </si>
  <si>
    <t>AVROIND</t>
  </si>
  <si>
    <t>AVRO INDIA LIMITED</t>
  </si>
  <si>
    <t>SALONA</t>
  </si>
  <si>
    <t>Salona Cotspin Limited</t>
  </si>
  <si>
    <t>INDIANCARD</t>
  </si>
  <si>
    <t>Indian Card Clothing Company Limited</t>
  </si>
  <si>
    <t>SPTL</t>
  </si>
  <si>
    <t>Sintex Plastics Technology Limited</t>
  </si>
  <si>
    <t>PRITIKAUTO</t>
  </si>
  <si>
    <t>Pritika Auto Industries Limited</t>
  </si>
  <si>
    <t>URAVI</t>
  </si>
  <si>
    <t>Uravi T and Wedge Lamps Limited</t>
  </si>
  <si>
    <t>IVP</t>
  </si>
  <si>
    <t>IVP Limited</t>
  </si>
  <si>
    <t>MAHAPEXLTD</t>
  </si>
  <si>
    <t>Maha Rashtra Apex Corporation Limited</t>
  </si>
  <si>
    <t>SOMATEX</t>
  </si>
  <si>
    <t>Soma Textiles &amp; Industries Limited</t>
  </si>
  <si>
    <t>LEXUS</t>
  </si>
  <si>
    <t>Lexus Granito (India) Limited</t>
  </si>
  <si>
    <t>WANBURY</t>
  </si>
  <si>
    <t>Wanbury Limited</t>
  </si>
  <si>
    <t>LOTUSEYE</t>
  </si>
  <si>
    <t>Lotus Eye Hospital and Institute Limited</t>
  </si>
  <si>
    <t>KREBSBIO</t>
  </si>
  <si>
    <t>Krebs Biochemicals and Industries Limited</t>
  </si>
  <si>
    <t>RNAVAL</t>
  </si>
  <si>
    <t>Reliance Naval and Engineering Limited</t>
  </si>
  <si>
    <t>WSI</t>
  </si>
  <si>
    <t>W S Industries (I) Limited</t>
  </si>
  <si>
    <t>RHFL</t>
  </si>
  <si>
    <t>Reliance Home Finance Limited</t>
  </si>
  <si>
    <t>HDIL</t>
  </si>
  <si>
    <t>Housing Development and Infrastructure Limited</t>
  </si>
  <si>
    <t>DCI</t>
  </si>
  <si>
    <t>Dc Infotech And Communication Limited</t>
  </si>
  <si>
    <t>RVHL</t>
  </si>
  <si>
    <t>Ravinder Heights Limited</t>
  </si>
  <si>
    <t>XELPMOC</t>
  </si>
  <si>
    <t>Xelpmoc Design And Tech Limited</t>
  </si>
  <si>
    <t>RKEC</t>
  </si>
  <si>
    <t>RKEC Projects Limited</t>
  </si>
  <si>
    <t>RELCHEMQ</t>
  </si>
  <si>
    <t>Reliance Chemotex Industries Limited</t>
  </si>
  <si>
    <t>DIL</t>
  </si>
  <si>
    <t>Debock Industries Limited</t>
  </si>
  <si>
    <t>ATALREAL</t>
  </si>
  <si>
    <t>Atal Realtech Limited</t>
  </si>
  <si>
    <t>KOHINOOR</t>
  </si>
  <si>
    <t>Kohinoor Foods Limited</t>
  </si>
  <si>
    <t>SALSTEEL</t>
  </si>
  <si>
    <t>S.A.L. Steel Limited</t>
  </si>
  <si>
    <t>A2ZINFRA</t>
  </si>
  <si>
    <t>A2Z Infra Engineering Limited</t>
  </si>
  <si>
    <t>TARACHAND</t>
  </si>
  <si>
    <t>Tara Chand InfraLogistic Solutions Limited</t>
  </si>
  <si>
    <t>INDOWIND</t>
  </si>
  <si>
    <t>Indowind Energy Limited</t>
  </si>
  <si>
    <t>BLBLIMITED</t>
  </si>
  <si>
    <t>BLB Limited</t>
  </si>
  <si>
    <t>FRETAIL</t>
  </si>
  <si>
    <t>Future Retail Limited</t>
  </si>
  <si>
    <t>ROML</t>
  </si>
  <si>
    <t>Raj Oil Mills Limited</t>
  </si>
  <si>
    <t>SURANAT&amp;P</t>
  </si>
  <si>
    <t>Surana Telecom and Power Limited</t>
  </si>
  <si>
    <t>ALPA</t>
  </si>
  <si>
    <t>Alpa Laboratories Limited</t>
  </si>
  <si>
    <t>SUNDRMBRAK</t>
  </si>
  <si>
    <t>Sundaram Brake Linings Limited</t>
  </si>
  <si>
    <t>PARIN</t>
  </si>
  <si>
    <t>Parin Furniture Limited</t>
  </si>
  <si>
    <t>NILASPACES</t>
  </si>
  <si>
    <t>Nila Spaces Limited</t>
  </si>
  <si>
    <t>AHLADA</t>
  </si>
  <si>
    <t>Ahlada Engineers Limited</t>
  </si>
  <si>
    <t>MAGNUM</t>
  </si>
  <si>
    <t>Magnum Ventures Limited</t>
  </si>
  <si>
    <t>REMSONSIND</t>
  </si>
  <si>
    <t>Remsons Industries Limited</t>
  </si>
  <si>
    <t>STARTECK</t>
  </si>
  <si>
    <t>Starteck Finance Limited</t>
  </si>
  <si>
    <t>BOHRAIND</t>
  </si>
  <si>
    <t>Bohra Industries Limited</t>
  </si>
  <si>
    <t>COMPINFO</t>
  </si>
  <si>
    <t>Compuage Infocom Limited</t>
  </si>
  <si>
    <t>CORALFINAC</t>
  </si>
  <si>
    <t>Coral India Finance &amp; Housing Limited</t>
  </si>
  <si>
    <t>MRO-TEK</t>
  </si>
  <si>
    <t>MRO-TEK Realty Limited</t>
  </si>
  <si>
    <t>SECURKLOUD</t>
  </si>
  <si>
    <t>SECUREKLOUD TECHNOLOGIES LIMITED</t>
  </si>
  <si>
    <t>ZEELEARN</t>
  </si>
  <si>
    <t>Zee Learn Limited</t>
  </si>
  <si>
    <t>SADBHIN</t>
  </si>
  <si>
    <t>Sadbhav Infrastructure Project Limited</t>
  </si>
  <si>
    <t>BALPHARMA</t>
  </si>
  <si>
    <t>Bal Pharma Limited</t>
  </si>
  <si>
    <t>NIRAJ</t>
  </si>
  <si>
    <t>Niraj Cement Structurals Limited</t>
  </si>
  <si>
    <t>GSTL</t>
  </si>
  <si>
    <t>Globesecure Technologies Limited</t>
  </si>
  <si>
    <t>OBCL</t>
  </si>
  <si>
    <t>Orissa Bengal Carrier Limited</t>
  </si>
  <si>
    <t>TAINWALCHM</t>
  </si>
  <si>
    <t>Tainwala Chemical and Plastic (I) Limited</t>
  </si>
  <si>
    <t>ARCHIDPLY</t>
  </si>
  <si>
    <t>Archidply Industries Limited</t>
  </si>
  <si>
    <t>JHS</t>
  </si>
  <si>
    <t>JHS Svendgaard Laboratories Limited</t>
  </si>
  <si>
    <t>SITINET</t>
  </si>
  <si>
    <t>Siti Networks Limited</t>
  </si>
  <si>
    <t>MUKTAARTS</t>
  </si>
  <si>
    <t>Mukta Arts Limited</t>
  </si>
  <si>
    <t>CMNL</t>
  </si>
  <si>
    <t>Chaman Metallics Limited</t>
  </si>
  <si>
    <t>GAYAPROJ</t>
  </si>
  <si>
    <t>Gayatri Projects Limited</t>
  </si>
  <si>
    <t>AKG</t>
  </si>
  <si>
    <t>Akg Exim Limited</t>
  </si>
  <si>
    <t>FCONSUMER</t>
  </si>
  <si>
    <t>Future Consumer Limited</t>
  </si>
  <si>
    <t>PALASHSECU</t>
  </si>
  <si>
    <t>Palash Securities Limited</t>
  </si>
  <si>
    <t>CCHHL</t>
  </si>
  <si>
    <t>Country Club Hospitality &amp; Holidays Limited</t>
  </si>
  <si>
    <t>SIGIND</t>
  </si>
  <si>
    <t>Signet Industries Limited</t>
  </si>
  <si>
    <t>AIROLAM</t>
  </si>
  <si>
    <t>Airo Lam limited</t>
  </si>
  <si>
    <t>WELINV</t>
  </si>
  <si>
    <t>Welspun Investments and Commercials Limited</t>
  </si>
  <si>
    <t>LEMERITE</t>
  </si>
  <si>
    <t>Le Merite Exports Limited</t>
  </si>
  <si>
    <t>CTE</t>
  </si>
  <si>
    <t>Cambridge Technology Enterprises Limited</t>
  </si>
  <si>
    <t>UNIVASTU</t>
  </si>
  <si>
    <t>Univastu India Limited</t>
  </si>
  <si>
    <t>SUNDARAM</t>
  </si>
  <si>
    <t>Sundaram Multi Pap Limited</t>
  </si>
  <si>
    <t>MANAKCOAT</t>
  </si>
  <si>
    <t>Manaksia Coated Metals &amp; Industries Limited</t>
  </si>
  <si>
    <t>ARVEE</t>
  </si>
  <si>
    <t>Arvee Laboratories (India) Limited</t>
  </si>
  <si>
    <t>SECURCRED</t>
  </si>
  <si>
    <t>SecUR Credentials Limited</t>
  </si>
  <si>
    <t>ASTRON</t>
  </si>
  <si>
    <t>Astron Paper &amp; Board Mill Limited</t>
  </si>
  <si>
    <t>FLFL</t>
  </si>
  <si>
    <t>Future Lifestyle Fashions Limited</t>
  </si>
  <si>
    <t>STEELCITY</t>
  </si>
  <si>
    <t>Steel City Securities Limited</t>
  </si>
  <si>
    <t>LLOYDS</t>
  </si>
  <si>
    <t>Lloyds Luxuries Limited</t>
  </si>
  <si>
    <t>GANGESSECU</t>
  </si>
  <si>
    <t>Ganges Securities Limited</t>
  </si>
  <si>
    <t>INDBANK</t>
  </si>
  <si>
    <t>Indbank Merchant Banking Services Limited</t>
  </si>
  <si>
    <t>SUMIT</t>
  </si>
  <si>
    <t>Sumit Woods Limited</t>
  </si>
  <si>
    <t>FIBERWEB</t>
  </si>
  <si>
    <t>Fiberweb (India) Limited</t>
  </si>
  <si>
    <t>ALKALI</t>
  </si>
  <si>
    <t>Alkali Metals Limited</t>
  </si>
  <si>
    <t>LASA</t>
  </si>
  <si>
    <t>Lasa Supergenerics Limited</t>
  </si>
  <si>
    <t>JAIPURKURT</t>
  </si>
  <si>
    <t>Nandani Creation Limited</t>
  </si>
  <si>
    <t>MHHL</t>
  </si>
  <si>
    <t>Mohini Health &amp; Hygiene Limited</t>
  </si>
  <si>
    <t>BAHETI</t>
  </si>
  <si>
    <t>Baheti Recycling Industries Limited</t>
  </si>
  <si>
    <t>DGCONTENT</t>
  </si>
  <si>
    <t>Digicontent Limited</t>
  </si>
  <si>
    <t>VMARCIND</t>
  </si>
  <si>
    <t>V Marc India Limited</t>
  </si>
  <si>
    <t>PKTEA</t>
  </si>
  <si>
    <t>The Peria Karamalai Tea &amp; Produce Company Limited</t>
  </si>
  <si>
    <t>DAMODARIND</t>
  </si>
  <si>
    <t>Damodar Industries Limited</t>
  </si>
  <si>
    <t>NECCLTD</t>
  </si>
  <si>
    <t>North Eastern Carrying Corporation Limited</t>
  </si>
  <si>
    <t>CAPTRUST</t>
  </si>
  <si>
    <t>Capital Trust Limited</t>
  </si>
  <si>
    <t>MITCON</t>
  </si>
  <si>
    <t>MITCON Consultancy &amp; Engineering Services Limited</t>
  </si>
  <si>
    <t>TIRUPATIFL</t>
  </si>
  <si>
    <t>Tirupati Forge Limited</t>
  </si>
  <si>
    <t>IL&amp;FSTRANS</t>
  </si>
  <si>
    <t>IL&amp;FS Transportation Networks Limited</t>
  </si>
  <si>
    <t>SRPL</t>
  </si>
  <si>
    <t>Shree Ram Proteins Limited</t>
  </si>
  <si>
    <t>SURYALAXMI</t>
  </si>
  <si>
    <t>Suryalakshmi Cotton Mills Limited</t>
  </si>
  <si>
    <t>CEREBRAINT</t>
  </si>
  <si>
    <t>Cerebra Integrated Technologies Limited</t>
  </si>
  <si>
    <t>KSHITIJPOL</t>
  </si>
  <si>
    <t>Kshitij Polyline Limited</t>
  </si>
  <si>
    <t>LAGNAM</t>
  </si>
  <si>
    <t>Lagnam Spintex Limited</t>
  </si>
  <si>
    <t>ANLON</t>
  </si>
  <si>
    <t>Anlon Technology Solutions Limited</t>
  </si>
  <si>
    <t>AMJLAND</t>
  </si>
  <si>
    <t>Amj Land Holdings Limited</t>
  </si>
  <si>
    <t>BINANIIND</t>
  </si>
  <si>
    <t>Binani Industries Limited</t>
  </si>
  <si>
    <t>PROLIFE</t>
  </si>
  <si>
    <t>Prolife Industries Limited</t>
  </si>
  <si>
    <t>INCREDIBLE</t>
  </si>
  <si>
    <t>INCREDIBLE INDUSTRIES LIMITED</t>
  </si>
  <si>
    <t>SHAHALLOYS</t>
  </si>
  <si>
    <t>Shah Alloys Limited</t>
  </si>
  <si>
    <t>AMDIND</t>
  </si>
  <si>
    <t>AMD Industries Limited</t>
  </si>
  <si>
    <t>OMAXAUTO</t>
  </si>
  <si>
    <t>Omax Autos Limited</t>
  </si>
  <si>
    <t>TOKYOPLAST</t>
  </si>
  <si>
    <t>Tokyo Plast International Limited</t>
  </si>
  <si>
    <t>GROBTEA</t>
  </si>
  <si>
    <t>The Grob Tea Company Limited</t>
  </si>
  <si>
    <t>ANIKINDS</t>
  </si>
  <si>
    <t>Anik Industries Limited</t>
  </si>
  <si>
    <t>SURANASOL</t>
  </si>
  <si>
    <t>Surana Solar Limited</t>
  </si>
  <si>
    <t>FIDEL</t>
  </si>
  <si>
    <t>Fidel Softech Limited</t>
  </si>
  <si>
    <t>MAHASTEEL</t>
  </si>
  <si>
    <t>Mahamaya Steel Industries Limited</t>
  </si>
  <si>
    <t>AURDIS</t>
  </si>
  <si>
    <t>Aurangabad Distillery Limited</t>
  </si>
  <si>
    <t>SIMBHALS</t>
  </si>
  <si>
    <t>Simbhaoli Sugars Limited</t>
  </si>
  <si>
    <t>GAL</t>
  </si>
  <si>
    <t>Gyscoal Alloys Limited</t>
  </si>
  <si>
    <t>GICL</t>
  </si>
  <si>
    <t>Globe International Carriers Limited</t>
  </si>
  <si>
    <t>KALYANIFRG</t>
  </si>
  <si>
    <t>Kalyani Forge Limited</t>
  </si>
  <si>
    <t>HINDCON</t>
  </si>
  <si>
    <t>Hindcon Chemicals Limited</t>
  </si>
  <si>
    <t>CORDSCABLE</t>
  </si>
  <si>
    <t>Cords Cable Industries Limited</t>
  </si>
  <si>
    <t>YAARI</t>
  </si>
  <si>
    <t>Yaari Digital Integrated Services Limited</t>
  </si>
  <si>
    <t>SONAMCLOCK</t>
  </si>
  <si>
    <t>Sonam Clock Limited</t>
  </si>
  <si>
    <t>MAHICKRA</t>
  </si>
  <si>
    <t>Mahickra Chemicals Limited</t>
  </si>
  <si>
    <t>HPIL</t>
  </si>
  <si>
    <t>Hindprakash Industries Limited</t>
  </si>
  <si>
    <t>LPDC</t>
  </si>
  <si>
    <t>Landmark Property Development Company Limited</t>
  </si>
  <si>
    <t>DBSTOCKBRO</t>
  </si>
  <si>
    <t>DB (International) Stock Brokers Limited</t>
  </si>
  <si>
    <t>AUSOMENT</t>
  </si>
  <si>
    <t>Ausom Enterprise Limited</t>
  </si>
  <si>
    <t>BALLARPUR</t>
  </si>
  <si>
    <t>Ballarpur Industries Limited</t>
  </si>
  <si>
    <t>AVSL</t>
  </si>
  <si>
    <t>AVSL Industries Limited</t>
  </si>
  <si>
    <t>SPMLINFRA</t>
  </si>
  <si>
    <t>SPML Infra Limited</t>
  </si>
  <si>
    <t>BANKA</t>
  </si>
  <si>
    <t>Banka BioLoo Limited</t>
  </si>
  <si>
    <t>GOLDENTOBC</t>
  </si>
  <si>
    <t>Golden Tobacco Limited</t>
  </si>
  <si>
    <t>GTL</t>
  </si>
  <si>
    <t>GTL Limited</t>
  </si>
  <si>
    <t>ENERGYDEV</t>
  </si>
  <si>
    <t>Energy Development Company Limited</t>
  </si>
  <si>
    <t>PANACHE</t>
  </si>
  <si>
    <t>Panache Digilife Limited</t>
  </si>
  <si>
    <t>PIGL</t>
  </si>
  <si>
    <t>Power &amp; Instrumentation (Gujarat) Limited</t>
  </si>
  <si>
    <t>DELTAMAGNT</t>
  </si>
  <si>
    <t>Delta Manufacturing Limited</t>
  </si>
  <si>
    <t>SHRADHA</t>
  </si>
  <si>
    <t>Shradha Infraprojects Limited</t>
  </si>
  <si>
    <t>PIONEEREMB</t>
  </si>
  <si>
    <t>Pioneer Embroideries Limited</t>
  </si>
  <si>
    <t>GLOBALVECT</t>
  </si>
  <si>
    <t>Global Vectra Helicorp Limited</t>
  </si>
  <si>
    <t>BAGFILMS</t>
  </si>
  <si>
    <t>B.A.G Films and Media Limited</t>
  </si>
  <si>
    <t>WIPL</t>
  </si>
  <si>
    <t>The Western India Plywoods Limited</t>
  </si>
  <si>
    <t>NITIRAJ</t>
  </si>
  <si>
    <t>Nitiraj Engineers Limited</t>
  </si>
  <si>
    <t>BEARDSELL</t>
  </si>
  <si>
    <t>Beardsell Limited</t>
  </si>
  <si>
    <t>KRITIKA</t>
  </si>
  <si>
    <t>Kritika Wires Limited</t>
  </si>
  <si>
    <t>PATINTLOG</t>
  </si>
  <si>
    <t>Patel Integrated Logistics Limited</t>
  </si>
  <si>
    <t>SETCO</t>
  </si>
  <si>
    <t>Setco Automotive Limited</t>
  </si>
  <si>
    <t>PRAENG</t>
  </si>
  <si>
    <t>Prajay Engineers Syndicate Limited</t>
  </si>
  <si>
    <t>ELECTHERM</t>
  </si>
  <si>
    <t>Electrotherm (India) Limited</t>
  </si>
  <si>
    <t>UCL</t>
  </si>
  <si>
    <t>Ushanti Colour Chem Limited</t>
  </si>
  <si>
    <t>PRAKASHSTL</t>
  </si>
  <si>
    <t>Prakash Steelage Limited</t>
  </si>
  <si>
    <t>CINEVISTA</t>
  </si>
  <si>
    <t>Cinevista Limited</t>
  </si>
  <si>
    <t>SUULD</t>
  </si>
  <si>
    <t>Suumaya Industries Limited</t>
  </si>
  <si>
    <t>FLEXITUFF</t>
  </si>
  <si>
    <t>Flexituff Ventures International Limited</t>
  </si>
  <si>
    <t>MDL</t>
  </si>
  <si>
    <t>Marvel Decor Limited</t>
  </si>
  <si>
    <t>HISARMETAL</t>
  </si>
  <si>
    <t>Hisar Metal Industries Limited</t>
  </si>
  <si>
    <t>SUVIDHAA</t>
  </si>
  <si>
    <t>Suvidhaa Infoserve Limited</t>
  </si>
  <si>
    <t>BIOFILCHEM</t>
  </si>
  <si>
    <t>Biofil Chemicals &amp; Pharmaceuticals Limited</t>
  </si>
  <si>
    <t>MARSHALL</t>
  </si>
  <si>
    <t>Marshall Machines Limited</t>
  </si>
  <si>
    <t>ARIHANTACA</t>
  </si>
  <si>
    <t>Arihant Academy Limited</t>
  </si>
  <si>
    <t>CELEBRITY</t>
  </si>
  <si>
    <t>Celebrity Fashions Limited</t>
  </si>
  <si>
    <t>VIAZ</t>
  </si>
  <si>
    <t>Viaz Tyres Limited</t>
  </si>
  <si>
    <t>DHRUV</t>
  </si>
  <si>
    <t>Dhruv Consultancy Services Limited</t>
  </si>
  <si>
    <t>CENTEXT</t>
  </si>
  <si>
    <t>Century Extrusions Limited</t>
  </si>
  <si>
    <t>DOLLEX</t>
  </si>
  <si>
    <t>Dollex Agrotech Limited</t>
  </si>
  <si>
    <t>BHANDARI</t>
  </si>
  <si>
    <t>Bhandari Hosiery Exports Limited</t>
  </si>
  <si>
    <t>TREJHARA</t>
  </si>
  <si>
    <t>TREJHARA SOLUTIONS LIMITED</t>
  </si>
  <si>
    <t>FELIX</t>
  </si>
  <si>
    <t>Felix Industries Limited</t>
  </si>
  <si>
    <t>NGIL</t>
  </si>
  <si>
    <t>Nakoda Group of Industries Limited</t>
  </si>
  <si>
    <t>SUPREMEINF</t>
  </si>
  <si>
    <t>Supreme Infrastructure India Limited</t>
  </si>
  <si>
    <t>AGROPHOS</t>
  </si>
  <si>
    <t>Agro Phos India Limited</t>
  </si>
  <si>
    <t>MCL</t>
  </si>
  <si>
    <t>Madhav Copper Limited</t>
  </si>
  <si>
    <t>OILCOUNTUB</t>
  </si>
  <si>
    <t>Oil Country Tubular Limited</t>
  </si>
  <si>
    <t>UMA</t>
  </si>
  <si>
    <t>Uma Converter Limited</t>
  </si>
  <si>
    <t>MORARJEE</t>
  </si>
  <si>
    <t>Morarjee Textiles Limited</t>
  </si>
  <si>
    <t>SRIVASAVI</t>
  </si>
  <si>
    <t>Srivasavi Adhesive Tapes Limited</t>
  </si>
  <si>
    <t>AAREYDRUGS</t>
  </si>
  <si>
    <t>Aarey Drugs &amp; Pharmaceuticals Limited</t>
  </si>
  <si>
    <t>AAKASH</t>
  </si>
  <si>
    <t>Aakash Exploration Services Limited</t>
  </si>
  <si>
    <t>VASWANI</t>
  </si>
  <si>
    <t>Vaswani Industries Limited</t>
  </si>
  <si>
    <t>KANANIIND</t>
  </si>
  <si>
    <t>Kanani Industries Limited</t>
  </si>
  <si>
    <t>ARCHIES</t>
  </si>
  <si>
    <t>Archies Limited</t>
  </si>
  <si>
    <t>SHIVAMILLS</t>
  </si>
  <si>
    <t>Shiva Mills Limited</t>
  </si>
  <si>
    <t>IPSL</t>
  </si>
  <si>
    <t>Integrated Personnel Services Limited</t>
  </si>
  <si>
    <t>TREEHOUSE</t>
  </si>
  <si>
    <t>Tree House Education &amp; Accessories Limited</t>
  </si>
  <si>
    <t>BDR</t>
  </si>
  <si>
    <t>BDR Buildcon Limited</t>
  </si>
  <si>
    <t>VERTEXPLUS</t>
  </si>
  <si>
    <t>Vertexplus Technologies Limited</t>
  </si>
  <si>
    <t>KEYFINSERV</t>
  </si>
  <si>
    <t>Keynote Financial Services Limited</t>
  </si>
  <si>
    <t>KHFM</t>
  </si>
  <si>
    <t>Khfm Hospitality And Facility Management Services Limited</t>
  </si>
  <si>
    <t>AROGRANITE</t>
  </si>
  <si>
    <t>Aro Granite Industries Limited</t>
  </si>
  <si>
    <t>SEYAIND</t>
  </si>
  <si>
    <t>Seya Industries Limited</t>
  </si>
  <si>
    <t>GIRIRAJ</t>
  </si>
  <si>
    <t>Giriraj Civil Developers Limited</t>
  </si>
  <si>
    <t>RSSOFTWARE</t>
  </si>
  <si>
    <t>R. S. Software (India) Limited</t>
  </si>
  <si>
    <t>ORIENTLTD</t>
  </si>
  <si>
    <t>Orient Press Limited</t>
  </si>
  <si>
    <t>EXCEL</t>
  </si>
  <si>
    <t>Excel Realty N Infra Limited</t>
  </si>
  <si>
    <t>RELIABLE</t>
  </si>
  <si>
    <t>Reliable Data Services Limited</t>
  </si>
  <si>
    <t>AAATECH</t>
  </si>
  <si>
    <t>AAA Technologies Limited</t>
  </si>
  <si>
    <t>AGRITECH</t>
  </si>
  <si>
    <t>Agri-Tech (India) Limited</t>
  </si>
  <si>
    <t>LGHL</t>
  </si>
  <si>
    <t>Laxmi Goldorna House Limited</t>
  </si>
  <si>
    <t>SHRENIK</t>
  </si>
  <si>
    <t>Shrenik Limited</t>
  </si>
  <si>
    <t>ANKITMETAL</t>
  </si>
  <si>
    <t>Ankit Metal &amp; Power Limited</t>
  </si>
  <si>
    <t>JETFREIGHT</t>
  </si>
  <si>
    <t>Jet Freight Logistics Limited</t>
  </si>
  <si>
    <t>VARDMNPOLY</t>
  </si>
  <si>
    <t>Vardhman Polytex Limited</t>
  </si>
  <si>
    <t>NIRMAN</t>
  </si>
  <si>
    <t>Nirman Agri Gentics Limited</t>
  </si>
  <si>
    <t>SHREERAMA</t>
  </si>
  <si>
    <t>Shree Rama Multi-Tech Limited</t>
  </si>
  <si>
    <t>SIDDHIKA</t>
  </si>
  <si>
    <t>Siddhika Coatings Limited</t>
  </si>
  <si>
    <t>BVCL</t>
  </si>
  <si>
    <t>Barak Valley Cements Limited</t>
  </si>
  <si>
    <t>KKVAPOW</t>
  </si>
  <si>
    <t>KKV Agro Powers Limited</t>
  </si>
  <si>
    <t>HOVS</t>
  </si>
  <si>
    <t>HOV Services Limited</t>
  </si>
  <si>
    <t>AMBANIORG</t>
  </si>
  <si>
    <t>Ambani Organics Limited</t>
  </si>
  <si>
    <t>FSC</t>
  </si>
  <si>
    <t>Future Supply Chain Solutions Limited</t>
  </si>
  <si>
    <t>ABMINTLLTD</t>
  </si>
  <si>
    <t>ABM International Limited</t>
  </si>
  <si>
    <t>SEPOWER</t>
  </si>
  <si>
    <t>S.E. Power Limited</t>
  </si>
  <si>
    <t>BANARBEADS</t>
  </si>
  <si>
    <t>Banaras Beads Limited</t>
  </si>
  <si>
    <t>REGENCERAM</t>
  </si>
  <si>
    <t>Regency Ceramics Limited</t>
  </si>
  <si>
    <t>PODDARHOUS</t>
  </si>
  <si>
    <t>Poddar Housing and Development Limited</t>
  </si>
  <si>
    <t>PENTAGOLD</t>
  </si>
  <si>
    <t>Penta Gold Limited</t>
  </si>
  <si>
    <t>PARTYCRUS</t>
  </si>
  <si>
    <t>Party Cruisers Limited</t>
  </si>
  <si>
    <t>SONAHISONA</t>
  </si>
  <si>
    <t>Sona Hi Sona Jewellers (Gujarat) Limited</t>
  </si>
  <si>
    <t>MALUPAPER</t>
  </si>
  <si>
    <t>Malu Paper Mills Limited</t>
  </si>
  <si>
    <t>MOKSH</t>
  </si>
  <si>
    <t>Moksh Ornaments Limited</t>
  </si>
  <si>
    <t>PULZ</t>
  </si>
  <si>
    <t>Pulz Electronics Limited</t>
  </si>
  <si>
    <t>RBMINFRA</t>
  </si>
  <si>
    <t>Rbm Infracon Limited</t>
  </si>
  <si>
    <t>ZENITHSTL</t>
  </si>
  <si>
    <t>Zenith Steel Pipes &amp; Industries Limited</t>
  </si>
  <si>
    <t>NIDAN</t>
  </si>
  <si>
    <t>Nidan Laboratories and Healthcare Limited</t>
  </si>
  <si>
    <t>SAMBHAAV</t>
  </si>
  <si>
    <t>Sambhaav Media Limited</t>
  </si>
  <si>
    <t>UWCSL</t>
  </si>
  <si>
    <t>Ultra Wiring Connectivity System Limited</t>
  </si>
  <si>
    <t>BANG</t>
  </si>
  <si>
    <t>Bang Overseas Limited</t>
  </si>
  <si>
    <t>MRO</t>
  </si>
  <si>
    <t>M.R. Organisation Limited</t>
  </si>
  <si>
    <t>MINDPOOL</t>
  </si>
  <si>
    <t>Mindpool Technologies Limited</t>
  </si>
  <si>
    <t>TAPIFRUIT</t>
  </si>
  <si>
    <t>Tapi Fruit Processing Limited</t>
  </si>
  <si>
    <t>ABCOTS</t>
  </si>
  <si>
    <t>A B Cotspin India Limited</t>
  </si>
  <si>
    <t>PNC</t>
  </si>
  <si>
    <t>Pritish Nandy Communications Limited</t>
  </si>
  <si>
    <t>SURANI</t>
  </si>
  <si>
    <t>Surani Steel Tubes Limited</t>
  </si>
  <si>
    <t>PRECISION</t>
  </si>
  <si>
    <t>Precision Metaliks Limited</t>
  </si>
  <si>
    <t>TIMESGTY</t>
  </si>
  <si>
    <t>Times Guaranty Limited</t>
  </si>
  <si>
    <t>MANUGRAPH</t>
  </si>
  <si>
    <t>Manugraph India Limited</t>
  </si>
  <si>
    <t>ZENITHEXPO</t>
  </si>
  <si>
    <t>Zenith Exports Limited</t>
  </si>
  <si>
    <t>AARVEEDEN</t>
  </si>
  <si>
    <t>Aarvee Denims &amp; Exports Limited</t>
  </si>
  <si>
    <t>SOMICONVEY</t>
  </si>
  <si>
    <t>Somi Conveyor Beltings Limited</t>
  </si>
  <si>
    <t>DKEGL</t>
  </si>
  <si>
    <t>D.K. Enterprises Global Limited</t>
  </si>
  <si>
    <t>ARHAM</t>
  </si>
  <si>
    <t>Arham Technologies Limited</t>
  </si>
  <si>
    <t>TIMESCAN</t>
  </si>
  <si>
    <t>Timescan Logistics (India) Limited</t>
  </si>
  <si>
    <t>SGL</t>
  </si>
  <si>
    <t>STL Global Limited</t>
  </si>
  <si>
    <t>WEWIN</t>
  </si>
  <si>
    <t>WE WIN LIMITED</t>
  </si>
  <si>
    <t>CMRSL</t>
  </si>
  <si>
    <t>Cyber Media Research &amp; Services Limited</t>
  </si>
  <si>
    <t>SONUINFRA</t>
  </si>
  <si>
    <t>Sonu Infratech Limited</t>
  </si>
  <si>
    <t>VIVIANA</t>
  </si>
  <si>
    <t>Viviana Power Tech Limited</t>
  </si>
  <si>
    <t>AKASH</t>
  </si>
  <si>
    <t>Akash Infra-Projects Limited</t>
  </si>
  <si>
    <t>INDSWFTLTD</t>
  </si>
  <si>
    <t>Ind-Swift Limited</t>
  </si>
  <si>
    <t>KARMAENG</t>
  </si>
  <si>
    <t>Karma Energy Limited</t>
  </si>
  <si>
    <t>NAGREEKEXP</t>
  </si>
  <si>
    <t>Nagreeka Exports Limited</t>
  </si>
  <si>
    <t>BURNPUR</t>
  </si>
  <si>
    <t>Burnpur Cement Limited</t>
  </si>
  <si>
    <t>NIBL</t>
  </si>
  <si>
    <t>NRB Industrial Bearings Limited</t>
  </si>
  <si>
    <t>CUBEXTUB</t>
  </si>
  <si>
    <t>Cubex Tubings Limited</t>
  </si>
  <si>
    <t>AISL</t>
  </si>
  <si>
    <t>ANI Integrated Services Limited</t>
  </si>
  <si>
    <t>SHAIVAL</t>
  </si>
  <si>
    <t>Shaival Reality Limited</t>
  </si>
  <si>
    <t>VINEETLAB</t>
  </si>
  <si>
    <t>Vineet Laboratories Limited</t>
  </si>
  <si>
    <t>ARISTO</t>
  </si>
  <si>
    <t>Aristo Bio-Tech And Lifescience Limited</t>
  </si>
  <si>
    <t>TERASOFT</t>
  </si>
  <si>
    <t>Tera Software Limited</t>
  </si>
  <si>
    <t>CROWN</t>
  </si>
  <si>
    <t>Crown Lifters Limited</t>
  </si>
  <si>
    <t>JFLLIFE</t>
  </si>
  <si>
    <t>Jfl Life Sciences Limited</t>
  </si>
  <si>
    <t>GLOBE</t>
  </si>
  <si>
    <t>Globe Textiles (India) Limited</t>
  </si>
  <si>
    <t>3PLAND</t>
  </si>
  <si>
    <t>3P Land Holdings Limited</t>
  </si>
  <si>
    <t>VERA</t>
  </si>
  <si>
    <t>Vera Synthetic Limited</t>
  </si>
  <si>
    <t>MILTON</t>
  </si>
  <si>
    <t>Milton Industries Limited</t>
  </si>
  <si>
    <t>ADROITINFO</t>
  </si>
  <si>
    <t>Adroit Infotech Limited</t>
  </si>
  <si>
    <t>SHUBHLAXMI</t>
  </si>
  <si>
    <t>Shubhlaxmi Jewel Art Limited</t>
  </si>
  <si>
    <t>AGNI</t>
  </si>
  <si>
    <t>Agni Green Power Limited</t>
  </si>
  <si>
    <t>LFIC</t>
  </si>
  <si>
    <t>Lakshmi Finance &amp; Industrial Corporation Limited</t>
  </si>
  <si>
    <t>VSCL</t>
  </si>
  <si>
    <t>Vadivarhe Speciality Chemicals Limited</t>
  </si>
  <si>
    <t>MADHAV</t>
  </si>
  <si>
    <t>Madhav Marbles and Granites Limited</t>
  </si>
  <si>
    <t>UJAAS</t>
  </si>
  <si>
    <t>Ujaas Energy Limited</t>
  </si>
  <si>
    <t>SUPERSPIN</t>
  </si>
  <si>
    <t>Super Spinning Mills Limited</t>
  </si>
  <si>
    <t>RKDL</t>
  </si>
  <si>
    <t>Ravi Kumar Distilleries Limited</t>
  </si>
  <si>
    <t>AMBICAAGAR</t>
  </si>
  <si>
    <t>Ambica Agarbathies &amp; Aroma industries Limited</t>
  </si>
  <si>
    <t>ACEINTEG</t>
  </si>
  <si>
    <t>Ace Integrated Solutions Limited</t>
  </si>
  <si>
    <t>OMFURN</t>
  </si>
  <si>
    <t>Omfurn India Limited</t>
  </si>
  <si>
    <t>SWARAJ</t>
  </si>
  <si>
    <t>Swaraj Suiting Limited</t>
  </si>
  <si>
    <t>AJOONI</t>
  </si>
  <si>
    <t>Ajooni Biotech Limited</t>
  </si>
  <si>
    <t>KHANDSE</t>
  </si>
  <si>
    <t>Khandwala Securities Limited</t>
  </si>
  <si>
    <t>SAGARDEEP</t>
  </si>
  <si>
    <t>Sagardeep Alloys Limited</t>
  </si>
  <si>
    <t>REXPIPES</t>
  </si>
  <si>
    <t>Rex Pipes And Cables Industries Limited</t>
  </si>
  <si>
    <t>ADL</t>
  </si>
  <si>
    <t>Archidply Decor Limited</t>
  </si>
  <si>
    <t>MCON</t>
  </si>
  <si>
    <t>Mcon Rasayan India Limited</t>
  </si>
  <si>
    <t>CADSYS</t>
  </si>
  <si>
    <t>Cadsys (India) Limited</t>
  </si>
  <si>
    <t>HBSL</t>
  </si>
  <si>
    <t>HB Stockholdings Limited</t>
  </si>
  <si>
    <t>SANGINITA</t>
  </si>
  <si>
    <t>Sanginita Chemicals Limited</t>
  </si>
  <si>
    <t>GANGAFORGE</t>
  </si>
  <si>
    <t>Ganga Forging Limited</t>
  </si>
  <si>
    <t>ABINFRA</t>
  </si>
  <si>
    <t>A B Infrabuild Limited</t>
  </si>
  <si>
    <t>PERFECT</t>
  </si>
  <si>
    <t>Perfect Infraengineers Limited</t>
  </si>
  <si>
    <t>NARMADA</t>
  </si>
  <si>
    <t>Narmada Agrobase Limited</t>
  </si>
  <si>
    <t>RMDRIP</t>
  </si>
  <si>
    <t>R M Drip and Sprinklers Systems Limited</t>
  </si>
  <si>
    <t>NAGREEKCAP</t>
  </si>
  <si>
    <t>Nagreeka Capital &amp; Infrastructure Limited</t>
  </si>
  <si>
    <t>LAXMICOT</t>
  </si>
  <si>
    <t>Laxmi Cotspin Limited</t>
  </si>
  <si>
    <t>PEARLPOLY</t>
  </si>
  <si>
    <t>Pearl Polymers Limited</t>
  </si>
  <si>
    <t>HECPROJECT</t>
  </si>
  <si>
    <t>HEC Infra Projects Limited</t>
  </si>
  <si>
    <t>SANWARIA</t>
  </si>
  <si>
    <t>Sanwaria Consumer Limited</t>
  </si>
  <si>
    <t>MEGAFLEX</t>
  </si>
  <si>
    <t>Mega Flex Plastics Limited</t>
  </si>
  <si>
    <t>GISOLUTION</t>
  </si>
  <si>
    <t>GI Engineering Solutions Limited</t>
  </si>
  <si>
    <t>PARASPETRO</t>
  </si>
  <si>
    <t>Paras Petrofils Limited</t>
  </si>
  <si>
    <t>RITEZONE</t>
  </si>
  <si>
    <t>Rite Zone Chemcon India Limited</t>
  </si>
  <si>
    <t>HEADSUP</t>
  </si>
  <si>
    <t>Heads UP Ventures Limited</t>
  </si>
  <si>
    <t>VCL</t>
  </si>
  <si>
    <t>Vaxtex Cotfab Limited</t>
  </si>
  <si>
    <t>PRITIKA</t>
  </si>
  <si>
    <t>Pritika Engineering Components Limited</t>
  </si>
  <si>
    <t>KEEPLEARN</t>
  </si>
  <si>
    <t>DSJ Keep Learning Limited</t>
  </si>
  <si>
    <t>COUNCODOS</t>
  </si>
  <si>
    <t>Country Condo's Limited</t>
  </si>
  <si>
    <t>ROLTA</t>
  </si>
  <si>
    <t>Rolta India Limited</t>
  </si>
  <si>
    <t>DHARSUGAR</t>
  </si>
  <si>
    <t>Dharani Sugars &amp; Chemicals Limited</t>
  </si>
  <si>
    <t>ASLIND</t>
  </si>
  <si>
    <t>ASL Industries Limited</t>
  </si>
  <si>
    <t>AGARWALFT</t>
  </si>
  <si>
    <t>Agarwal Float Glass India Limited</t>
  </si>
  <si>
    <t>NEXTMEDIA</t>
  </si>
  <si>
    <t>Next Mediaworks Limited</t>
  </si>
  <si>
    <t>RICHA</t>
  </si>
  <si>
    <t>Richa Info Systems Limited</t>
  </si>
  <si>
    <t>DNAMEDIA</t>
  </si>
  <si>
    <t>Diligent Media Corporation Limited</t>
  </si>
  <si>
    <t>AMEYA</t>
  </si>
  <si>
    <t>Ameya Precision Engineers Limited</t>
  </si>
  <si>
    <t>DYNAMIC</t>
  </si>
  <si>
    <t>Dynamic Services &amp; Security Limited</t>
  </si>
  <si>
    <t>LIBAS</t>
  </si>
  <si>
    <t>Libas Consumer Products Limited</t>
  </si>
  <si>
    <t>JETKNIT</t>
  </si>
  <si>
    <t>Jet Knitwears Limited</t>
  </si>
  <si>
    <t>BALKRISHNA</t>
  </si>
  <si>
    <t>Balkrishna Paper Mills Limited</t>
  </si>
  <si>
    <t>MTEDUCARE</t>
  </si>
  <si>
    <t>MT Educare Limited</t>
  </si>
  <si>
    <t>GODHA</t>
  </si>
  <si>
    <t>Godha Cabcon &amp; Insulation Limited</t>
  </si>
  <si>
    <t>GOENKA</t>
  </si>
  <si>
    <t>Goenka Diamond and Jewels Limited</t>
  </si>
  <si>
    <t>HAVISHA</t>
  </si>
  <si>
    <t>Sri Havisha Hospitality and Infrastructure Limited</t>
  </si>
  <si>
    <t>QUADPRO</t>
  </si>
  <si>
    <t>Quadpro Ites Limited</t>
  </si>
  <si>
    <t>QFIL</t>
  </si>
  <si>
    <t>Quality Foils (India) Limited</t>
  </si>
  <si>
    <t>MADHUCON</t>
  </si>
  <si>
    <t>Madhucon Projects Limited</t>
  </si>
  <si>
    <t>ROLLT</t>
  </si>
  <si>
    <t>Rollatainers Limited</t>
  </si>
  <si>
    <t>CYBERMEDIA</t>
  </si>
  <si>
    <t>Cyber Media (India) Limited</t>
  </si>
  <si>
    <t>JAKHARIA</t>
  </si>
  <si>
    <t>JAKHARIA FABRIC LIMITED</t>
  </si>
  <si>
    <t>VEEKAYEM</t>
  </si>
  <si>
    <t>Veekayem Fashion and Apparels Limited</t>
  </si>
  <si>
    <t>TGBHOTELS</t>
  </si>
  <si>
    <t>TGB Banquets And Hotels Limited</t>
  </si>
  <si>
    <t>VIVIDHA</t>
  </si>
  <si>
    <t>Visagar Polytex Limited</t>
  </si>
  <si>
    <t>FMNL</t>
  </si>
  <si>
    <t>Future Market Networks Limited</t>
  </si>
  <si>
    <t>WALPAR</t>
  </si>
  <si>
    <t>Walpar Nutritions Limited</t>
  </si>
  <si>
    <t>DESTINY</t>
  </si>
  <si>
    <t>Destiny Logistics &amp; Infra Limited</t>
  </si>
  <si>
    <t>SUMEETINDS</t>
  </si>
  <si>
    <t>Sumeet Industries Limited</t>
  </si>
  <si>
    <t>ICDSLTD</t>
  </si>
  <si>
    <t>ICDS Limited</t>
  </si>
  <si>
    <t>LRRPL</t>
  </si>
  <si>
    <t>Lead Reclaim And Rubber Products Limited</t>
  </si>
  <si>
    <t>MPTODAY</t>
  </si>
  <si>
    <t>Madhya Pradesh Today Media Limited</t>
  </si>
  <si>
    <t>21STCENMGM</t>
  </si>
  <si>
    <t>21st Century Management Services Limited</t>
  </si>
  <si>
    <t>HYBRIDFIN</t>
  </si>
  <si>
    <t>Hybrid Financial Services Limited</t>
  </si>
  <si>
    <t>SABAR</t>
  </si>
  <si>
    <t>Sabar Flex India Limited</t>
  </si>
  <si>
    <t>TFL</t>
  </si>
  <si>
    <t>Transwarranty Finance Limited</t>
  </si>
  <si>
    <t>IMPEXFERRO</t>
  </si>
  <si>
    <t>Impex Ferro Tech Limited</t>
  </si>
  <si>
    <t>INFOMEDIA</t>
  </si>
  <si>
    <t>Infomedia Press Limited</t>
  </si>
  <si>
    <t>NKIND</t>
  </si>
  <si>
    <t>NK Industries Limited</t>
  </si>
  <si>
    <t>SHANTI</t>
  </si>
  <si>
    <t>Shanti Overseas (India) Limited</t>
  </si>
  <si>
    <t>GRCL</t>
  </si>
  <si>
    <t>Gayatri Rubbers And Chemicals Limited</t>
  </si>
  <si>
    <t>FEL</t>
  </si>
  <si>
    <t>Future Enterprises Limited</t>
  </si>
  <si>
    <t>THOMASCOTT</t>
  </si>
  <si>
    <t>Thomas Scott (India) Limited</t>
  </si>
  <si>
    <t>KHAITANLTD</t>
  </si>
  <si>
    <t>Khaitan (India) Limited</t>
  </si>
  <si>
    <t>WILLAMAGOR</t>
  </si>
  <si>
    <t>Williamson Magor &amp; Company Limited</t>
  </si>
  <si>
    <t>LCCINFOTEC</t>
  </si>
  <si>
    <t>LCC Infotech Limited</t>
  </si>
  <si>
    <t>UNIINFO</t>
  </si>
  <si>
    <t>Uniinfo Telecom Services Limited</t>
  </si>
  <si>
    <t>ASMS</t>
  </si>
  <si>
    <t>Bartronics India Limited</t>
  </si>
  <si>
    <t>VIVO</t>
  </si>
  <si>
    <t>Vivo Collaboration Solutions Limited</t>
  </si>
  <si>
    <t>GAYAHWS</t>
  </si>
  <si>
    <t>Gayatri Highways Limited</t>
  </si>
  <si>
    <t>CALSOFT</t>
  </si>
  <si>
    <t>California Software Company Limited</t>
  </si>
  <si>
    <t>MOXSH</t>
  </si>
  <si>
    <t>Moxsh Overseas Educon Limited</t>
  </si>
  <si>
    <t>ORIENTALTL</t>
  </si>
  <si>
    <t>Oriental Trimex Limited</t>
  </si>
  <si>
    <t>ONELIFECAP</t>
  </si>
  <si>
    <t>Onelife Capital Advisors Limited</t>
  </si>
  <si>
    <t>VIJIFIN</t>
  </si>
  <si>
    <t>Viji Finance Limited</t>
  </si>
  <si>
    <t>DIGJAMLMTD</t>
  </si>
  <si>
    <t>Digjam Limited</t>
  </si>
  <si>
    <t>KRIDHANINF</t>
  </si>
  <si>
    <t>Kridhan Infra Limited</t>
  </si>
  <si>
    <t>SILLYMONKS</t>
  </si>
  <si>
    <t>Silly Monks Entertainment Limited</t>
  </si>
  <si>
    <t>MAKS</t>
  </si>
  <si>
    <t>Maks Energy Solutions India Limited</t>
  </si>
  <si>
    <t>TANTIACONS</t>
  </si>
  <si>
    <t>Tantia Constructions Limited</t>
  </si>
  <si>
    <t>SUPREMEENG</t>
  </si>
  <si>
    <t>Supreme Engineering Limited</t>
  </si>
  <si>
    <t>SILGO</t>
  </si>
  <si>
    <t>Silgo Retail Limited</t>
  </si>
  <si>
    <t>MOHITIND</t>
  </si>
  <si>
    <t>Mohit Industries Limited</t>
  </si>
  <si>
    <t>EDUCOMP</t>
  </si>
  <si>
    <t>Educomp Solutions Limited</t>
  </si>
  <si>
    <t>EASTSILK</t>
  </si>
  <si>
    <t>Eastern Silk Industries Limited</t>
  </si>
  <si>
    <t>KANDARP</t>
  </si>
  <si>
    <t>Kandarp Digi Smart BPO Limited</t>
  </si>
  <si>
    <t>CMICABLES</t>
  </si>
  <si>
    <t>CMI Limited</t>
  </si>
  <si>
    <t>NATNLSTEEL</t>
  </si>
  <si>
    <t>National Steel And Agro Industries Limited</t>
  </si>
  <si>
    <t>MITTAL</t>
  </si>
  <si>
    <t>Mittal Life Style Limited</t>
  </si>
  <si>
    <t>SPRL</t>
  </si>
  <si>
    <t>Sp Refractories Limited</t>
  </si>
  <si>
    <t>ORTINLAB</t>
  </si>
  <si>
    <t>Ortin Laboratories Limited</t>
  </si>
  <si>
    <t>BRIGHT</t>
  </si>
  <si>
    <t>Bright Solar Limited</t>
  </si>
  <si>
    <t>KAUSHALYA</t>
  </si>
  <si>
    <t>Kaushalya Infrastructure Development Corporation Limited</t>
  </si>
  <si>
    <t>GUJRAFFIA</t>
  </si>
  <si>
    <t>Gujarat Raffia Industries Limited</t>
  </si>
  <si>
    <t>MASKINVEST</t>
  </si>
  <si>
    <t>Mask Investments Limited</t>
  </si>
  <si>
    <t>ISHAN</t>
  </si>
  <si>
    <t>Ishan International Limited</t>
  </si>
  <si>
    <t>CONTI</t>
  </si>
  <si>
    <t>Continental Seeds and Chemicals Limited</t>
  </si>
  <si>
    <t>AMIABLE</t>
  </si>
  <si>
    <t>Amiable Logistics (India) Limited</t>
  </si>
  <si>
    <t>AILIMITED</t>
  </si>
  <si>
    <t>Abhishek Integrations Limited</t>
  </si>
  <si>
    <t>EUROTEXIND</t>
  </si>
  <si>
    <t>Eurotex Industries and Exports Limited</t>
  </si>
  <si>
    <t>TIJARIA</t>
  </si>
  <si>
    <t>Tijaria Polypipes Limited</t>
  </si>
  <si>
    <t>TNTELE</t>
  </si>
  <si>
    <t>Tamilnadu Telecommunication Limited</t>
  </si>
  <si>
    <t>KALYANI</t>
  </si>
  <si>
    <t>Kalyani Commercials Limited</t>
  </si>
  <si>
    <t>SETUINFRA</t>
  </si>
  <si>
    <t>Setubandhan Infrastructure Limited</t>
  </si>
  <si>
    <t>GRETEX</t>
  </si>
  <si>
    <t>Gretex Industries Limited</t>
  </si>
  <si>
    <t>LYPSAGEMS</t>
  </si>
  <si>
    <t>Lypsa Gems &amp; Jewellery Limited</t>
  </si>
  <si>
    <t>METALFORGE</t>
  </si>
  <si>
    <t>Metalyst Forgings Limited</t>
  </si>
  <si>
    <t>SSINFRA</t>
  </si>
  <si>
    <t>S.S. Infrastructure Development Consultants Limited</t>
  </si>
  <si>
    <t>SMVD</t>
  </si>
  <si>
    <t>SMVD Poly Pack Limited</t>
  </si>
  <si>
    <t>RMCL</t>
  </si>
  <si>
    <t>Radha Madhav Corporation Limited</t>
  </si>
  <si>
    <t>JALAN</t>
  </si>
  <si>
    <t>Jalan Transolutions (India) Limited</t>
  </si>
  <si>
    <t>SANCO</t>
  </si>
  <si>
    <t>Sanco Industries Limited</t>
  </si>
  <si>
    <t>VASA</t>
  </si>
  <si>
    <t>Vasa Retail and Overseas Ltd</t>
  </si>
  <si>
    <t>KAVVERITEL</t>
  </si>
  <si>
    <t>Kavveri Telecom Products Limited</t>
  </si>
  <si>
    <t>TECHIN</t>
  </si>
  <si>
    <t>Techindia Nirman Limited</t>
  </si>
  <si>
    <t>NORBTEAEXP</t>
  </si>
  <si>
    <t>Norben Tea &amp; Exports Limited</t>
  </si>
  <si>
    <t>KCK</t>
  </si>
  <si>
    <t>Kck Industries Limited</t>
  </si>
  <si>
    <t>SPENTEX</t>
  </si>
  <si>
    <t>Spentex Industries Limited</t>
  </si>
  <si>
    <t>CREATIVEYE</t>
  </si>
  <si>
    <t>Creative Eye Limited</t>
  </si>
  <si>
    <t>ANTGRAPHIC</t>
  </si>
  <si>
    <t>Antarctica Limited</t>
  </si>
  <si>
    <t>TVVISION</t>
  </si>
  <si>
    <t>TV Vision Limited</t>
  </si>
  <si>
    <t>ABNINT</t>
  </si>
  <si>
    <t>A B N Intercorp Limited</t>
  </si>
  <si>
    <t>ARENTERP</t>
  </si>
  <si>
    <t>Rajdarshan Industries Limited</t>
  </si>
  <si>
    <t>UMESLTD</t>
  </si>
  <si>
    <t>Usha Martin Education &amp; Solutions Limited</t>
  </si>
  <si>
    <t>SHYAMTEL</t>
  </si>
  <si>
    <t>Shyam Telecom Limited</t>
  </si>
  <si>
    <t>MANAV</t>
  </si>
  <si>
    <t>Manav Infra Projects Limited</t>
  </si>
  <si>
    <t>ACCORD</t>
  </si>
  <si>
    <t>Accord Synergy Limited</t>
  </si>
  <si>
    <t>DRL</t>
  </si>
  <si>
    <t>Dhanuka Realty Limited</t>
  </si>
  <si>
    <t>GLFL</t>
  </si>
  <si>
    <t>Gujarat Lease Financing Limited</t>
  </si>
  <si>
    <t>CMMIPL</t>
  </si>
  <si>
    <t>CMM Infraprojects Limited</t>
  </si>
  <si>
    <t>NIRAJISPAT</t>
  </si>
  <si>
    <t>Niraj Ispat Industries Limited</t>
  </si>
  <si>
    <t>DCMFINSERV</t>
  </si>
  <si>
    <t>DCM Financial Services Limited</t>
  </si>
  <si>
    <t>SRIRAM</t>
  </si>
  <si>
    <t>Shri Ram Switchgears Limited</t>
  </si>
  <si>
    <t>PREMIER</t>
  </si>
  <si>
    <t>Premier Limited</t>
  </si>
  <si>
    <t>SKSTEXTILE</t>
  </si>
  <si>
    <t>SKS Textiles Limited</t>
  </si>
  <si>
    <t>SABTN</t>
  </si>
  <si>
    <t>Sri Adhikari Brothers Television Network Limited</t>
  </si>
  <si>
    <t>TARAPUR</t>
  </si>
  <si>
    <t>Tarapur Transformers Limited</t>
  </si>
  <si>
    <t>BKMINDST</t>
  </si>
  <si>
    <t>Bkm Industries Limited</t>
  </si>
  <si>
    <t>ALPSINDUS</t>
  </si>
  <si>
    <t>Alps Industries Limited</t>
  </si>
  <si>
    <t>AHIMSA</t>
  </si>
  <si>
    <t>Ahimsa Industries Limited</t>
  </si>
  <si>
    <t>BHALCHANDR</t>
  </si>
  <si>
    <t>Bhalchandram Clothing Limited</t>
  </si>
  <si>
    <t>INNOVATIVE</t>
  </si>
  <si>
    <t>Innovative Tyres and Tubes Limited</t>
  </si>
  <si>
    <t>LAKPRE</t>
  </si>
  <si>
    <t>Lakshmi Precision Screws Limited</t>
  </si>
  <si>
    <t>TRANSWIND</t>
  </si>
  <si>
    <t>Transwind Infrastructures Limited</t>
  </si>
  <si>
    <t>MELSTAR</t>
  </si>
  <si>
    <t>Melstar Information Technologies Limited</t>
  </si>
  <si>
    <t>SABEVENTS</t>
  </si>
  <si>
    <t>Sab Events &amp; Governance Now Media Limited</t>
  </si>
  <si>
    <t>INDLMETER</t>
  </si>
  <si>
    <t>IMP Powers Limited</t>
  </si>
  <si>
    <t>TECILCHEM</t>
  </si>
  <si>
    <t>TECIL Chemicals and Hydro Power Limited</t>
  </si>
  <si>
    <t>ABHISHEK</t>
  </si>
  <si>
    <t>Abhishek Corporation Limited</t>
  </si>
  <si>
    <t>AHLWEST</t>
  </si>
  <si>
    <t>Asian Hotels (West) Limited</t>
  </si>
  <si>
    <t>AIFL</t>
  </si>
  <si>
    <t>Ashapura Intimates Fashion Limited</t>
  </si>
  <si>
    <t>AJRINFRA</t>
  </si>
  <si>
    <t>AJR Infra And Tolling Limited</t>
  </si>
  <si>
    <t>ALCHEM</t>
  </si>
  <si>
    <t>Alchemist Limited</t>
  </si>
  <si>
    <t>AMJUMBO</t>
  </si>
  <si>
    <t>A And M Jumbo Bags Limited</t>
  </si>
  <si>
    <t>ANDHRACEMT</t>
  </si>
  <si>
    <t>Andhra Cements Limited</t>
  </si>
  <si>
    <t>ANSALAPI</t>
  </si>
  <si>
    <t>Ansal Properties &amp; Infrastructure Limited</t>
  </si>
  <si>
    <t>ARCOTECH</t>
  </si>
  <si>
    <t>Arcotech Limited</t>
  </si>
  <si>
    <t>ARSSINFRA</t>
  </si>
  <si>
    <t>Arss Infrastructure Projects Limited</t>
  </si>
  <si>
    <t>ARTEDZ</t>
  </si>
  <si>
    <t>Artedz Fabs Limited</t>
  </si>
  <si>
    <t>ASIL</t>
  </si>
  <si>
    <t>Amit Spinning Industries Limited</t>
  </si>
  <si>
    <t>ATCOM</t>
  </si>
  <si>
    <t>Atcom Technologies Limited</t>
  </si>
  <si>
    <t>ATLASCYCLE</t>
  </si>
  <si>
    <t>Atlas Cycles (Haryana) Limited</t>
  </si>
  <si>
    <t>ATNINTER</t>
  </si>
  <si>
    <t>ATN International Limited</t>
  </si>
  <si>
    <t>AUTOLITIND</t>
  </si>
  <si>
    <t>Autolite (India) Limited</t>
  </si>
  <si>
    <t>AUTORIDFIN</t>
  </si>
  <si>
    <t>Autoriders Finance Limited</t>
  </si>
  <si>
    <t>BANSAL</t>
  </si>
  <si>
    <t>Bansal Multiflex Limited</t>
  </si>
  <si>
    <t>BGLOBAL</t>
  </si>
  <si>
    <t>Bharatiya Global Infomedia Limited</t>
  </si>
  <si>
    <t>BHARATIDIL</t>
  </si>
  <si>
    <t>Bharati Defence and Infrastructure Limited</t>
  </si>
  <si>
    <t>BILENERGY</t>
  </si>
  <si>
    <t>Bil Energy Systems Limited</t>
  </si>
  <si>
    <t>BIRLATYRE</t>
  </si>
  <si>
    <t>Birla Tyres Limited</t>
  </si>
  <si>
    <t>BLUEBLENDS</t>
  </si>
  <si>
    <t>Blue Blends (I) Limited</t>
  </si>
  <si>
    <t>BLUECHIP</t>
  </si>
  <si>
    <t>Blue Chip India Limited</t>
  </si>
  <si>
    <t>BLUECOAST</t>
  </si>
  <si>
    <t>Blue Coast Hotels Limited</t>
  </si>
  <si>
    <t>BRFL</t>
  </si>
  <si>
    <t>Bombay Rayon Fashions Limited</t>
  </si>
  <si>
    <t>CANDC</t>
  </si>
  <si>
    <t>C &amp; C Constructions Limited</t>
  </si>
  <si>
    <t>CCCL</t>
  </si>
  <si>
    <t>Consolidated Construction Consortium Limited</t>
  </si>
  <si>
    <t>CELESTIAL</t>
  </si>
  <si>
    <t>Celestial Biolabs Limited</t>
  </si>
  <si>
    <t>CKFSL</t>
  </si>
  <si>
    <t>Cox &amp; Kings Financial Service Limited</t>
  </si>
  <si>
    <t>DFMFOODS</t>
  </si>
  <si>
    <t>DFM Foods Limited</t>
  </si>
  <si>
    <t>DIAPOWER</t>
  </si>
  <si>
    <t>Diamond Power Infra Ltd</t>
  </si>
  <si>
    <t>DOLPHINOFF</t>
  </si>
  <si>
    <t>Dolphin Offshore Enterprises (India) Limited</t>
  </si>
  <si>
    <t>DQE</t>
  </si>
  <si>
    <t>DQ Entertainment (International) Limited</t>
  </si>
  <si>
    <t>DSKULKARNI</t>
  </si>
  <si>
    <t>DS Kulkarni Developers Limited</t>
  </si>
  <si>
    <t>EASTSUGIND</t>
  </si>
  <si>
    <t>Eastern Sug &amp; Inds Limited</t>
  </si>
  <si>
    <t>EASUNREYRL</t>
  </si>
  <si>
    <t>Easun Reyrolle Limited</t>
  </si>
  <si>
    <t>EMCO</t>
  </si>
  <si>
    <t>Emco Limited</t>
  </si>
  <si>
    <t>EON</t>
  </si>
  <si>
    <t>Eon Electric Limited</t>
  </si>
  <si>
    <t>EUROCERA</t>
  </si>
  <si>
    <t>Euro Ceramics Limited</t>
  </si>
  <si>
    <t>EUROMULTI</t>
  </si>
  <si>
    <t>Euro Multivision Limited</t>
  </si>
  <si>
    <t>FEDDERELEC</t>
  </si>
  <si>
    <t>Fedders Electric and Engineering Limited</t>
  </si>
  <si>
    <t>FIVECORE</t>
  </si>
  <si>
    <t>Five Core Electronics Limited</t>
  </si>
  <si>
    <t>GAMMONIND</t>
  </si>
  <si>
    <t>Gammon India Limited</t>
  </si>
  <si>
    <t>GANGOTRI</t>
  </si>
  <si>
    <t>Gangotri Textiles Limited</t>
  </si>
  <si>
    <t>GBGLOBAL</t>
  </si>
  <si>
    <t>GB Global Limited</t>
  </si>
  <si>
    <t>GFSTEELS</t>
  </si>
  <si>
    <t>Grand Foundry Limited</t>
  </si>
  <si>
    <t>GITANJALI</t>
  </si>
  <si>
    <t>Gitanjali Gems Limited</t>
  </si>
  <si>
    <t>HINDNATGLS</t>
  </si>
  <si>
    <t>Hindusthan National Glass &amp; Industries Limited</t>
  </si>
  <si>
    <t>ICSA</t>
  </si>
  <si>
    <t>ICSA (India) Limited</t>
  </si>
  <si>
    <t>INDOSOLAR</t>
  </si>
  <si>
    <t>Indosolar Limited</t>
  </si>
  <si>
    <t>IVRCLINFRA</t>
  </si>
  <si>
    <t>IVRCL Limited</t>
  </si>
  <si>
    <t>JAINSTUDIO</t>
  </si>
  <si>
    <t>Jain Studios Limited</t>
  </si>
  <si>
    <t>JBFIND</t>
  </si>
  <si>
    <t>JBF Industries Limited</t>
  </si>
  <si>
    <t>JIKIND</t>
  </si>
  <si>
    <t>JIK Industries Limited</t>
  </si>
  <si>
    <t>JINDCOT</t>
  </si>
  <si>
    <t>Jindal Cotex Limited</t>
  </si>
  <si>
    <t>JMTAUTOLTD</t>
  </si>
  <si>
    <t>JMT Auto Limited</t>
  </si>
  <si>
    <t>JPINFRATEC</t>
  </si>
  <si>
    <t>Jaypee Infratech Limited</t>
  </si>
  <si>
    <t>KEERTI</t>
  </si>
  <si>
    <t>Keerti Knowledge And Skills Limited</t>
  </si>
  <si>
    <t>KGL</t>
  </si>
  <si>
    <t>Karuturi Global Limited</t>
  </si>
  <si>
    <t>KSERASERA</t>
  </si>
  <si>
    <t>KSS Limited</t>
  </si>
  <si>
    <t>KSK</t>
  </si>
  <si>
    <t>KSK Energy Ventures Limited</t>
  </si>
  <si>
    <t>LAKSHMIEFL</t>
  </si>
  <si>
    <t>Lakshmi Energy and Foods Limited</t>
  </si>
  <si>
    <t>LEEL</t>
  </si>
  <si>
    <t>LEEL Electricals Limited</t>
  </si>
  <si>
    <t>MANPASAND</t>
  </si>
  <si>
    <t>Manpasand Beverages Limited</t>
  </si>
  <si>
    <t>MBECL</t>
  </si>
  <si>
    <t>Mcnally Bharat Engineering Company Limited</t>
  </si>
  <si>
    <t>MCDHOLDING</t>
  </si>
  <si>
    <t>McDowell Holdings Limited</t>
  </si>
  <si>
    <t>MERCATOR</t>
  </si>
  <si>
    <t>Mercator Limited</t>
  </si>
  <si>
    <t>METKORE</t>
  </si>
  <si>
    <t>Metkore Alloys &amp; Industries Limited</t>
  </si>
  <si>
    <t>MODTHREAD</t>
  </si>
  <si>
    <t>Modern Thread Limited</t>
  </si>
  <si>
    <t>MOHOTAIND</t>
  </si>
  <si>
    <t>Mohota Industries Limited</t>
  </si>
  <si>
    <t>MVL</t>
  </si>
  <si>
    <t>MVL Limited</t>
  </si>
  <si>
    <t>NAKODA</t>
  </si>
  <si>
    <t>Nakoda Limited</t>
  </si>
  <si>
    <t>NITINFIRE</t>
  </si>
  <si>
    <t>Nitin Fire Protection Industries Limited</t>
  </si>
  <si>
    <t>NTL</t>
  </si>
  <si>
    <t>Neueon Towers Limited</t>
  </si>
  <si>
    <t>NUTEK</t>
  </si>
  <si>
    <t>Nu Tek India Limited</t>
  </si>
  <si>
    <t>OISL</t>
  </si>
  <si>
    <t>OCL Iron and Steel Limited</t>
  </si>
  <si>
    <t>OMKARCHEM</t>
  </si>
  <si>
    <t>Omkar Speciality Chemicals Limited</t>
  </si>
  <si>
    <t>OPAL</t>
  </si>
  <si>
    <t>Opal Luxury Time Products Limited</t>
  </si>
  <si>
    <t>OPTOCIRCUI</t>
  </si>
  <si>
    <t>Opto Circuits (India) Limited</t>
  </si>
  <si>
    <t>ORTEL</t>
  </si>
  <si>
    <t>Ortel Communications Limited</t>
  </si>
  <si>
    <t>PDPL</t>
  </si>
  <si>
    <t>Parenteral Drugs (India) Limited</t>
  </si>
  <si>
    <t>PINCON</t>
  </si>
  <si>
    <t>Pincon Spirit Limited</t>
  </si>
  <si>
    <t>PRATIBHA</t>
  </si>
  <si>
    <t>Pratibha Industries Limited</t>
  </si>
  <si>
    <t>PRUDMOULI</t>
  </si>
  <si>
    <t>Prudential Sugar Corporation Limited</t>
  </si>
  <si>
    <t>PSL</t>
  </si>
  <si>
    <t>PSL Limited</t>
  </si>
  <si>
    <t>PUNJLLOYD</t>
  </si>
  <si>
    <t>Punj Lloyd Limited</t>
  </si>
  <si>
    <t>QUINTEGRA</t>
  </si>
  <si>
    <t>Quintegra Solutions Limited</t>
  </si>
  <si>
    <t>RADAAN</t>
  </si>
  <si>
    <t>Radaan Mediaworks India Limited</t>
  </si>
  <si>
    <t>RAINBOWPAP</t>
  </si>
  <si>
    <t>Rainbow Papers Limited</t>
  </si>
  <si>
    <t>RAJVIR</t>
  </si>
  <si>
    <t>Rajvir Industries Limited</t>
  </si>
  <si>
    <t>RMMIL</t>
  </si>
  <si>
    <t>Resurgere Mines &amp; Minerals Limited</t>
  </si>
  <si>
    <t>RUSHABEAR</t>
  </si>
  <si>
    <t>Rushabh Precision Bearings Limited</t>
  </si>
  <si>
    <t>S&amp;SPOWER</t>
  </si>
  <si>
    <t>S&amp;S Power Switchgears Limited</t>
  </si>
  <si>
    <t>SATHAISPAT</t>
  </si>
  <si>
    <t>Sathavahana Ispat Limited</t>
  </si>
  <si>
    <t>SBIHOMEFIN</t>
  </si>
  <si>
    <t>SBI Home Finance Limited</t>
  </si>
  <si>
    <t>SHARONBIO</t>
  </si>
  <si>
    <t>Sharon Bio-Medicine Limited</t>
  </si>
  <si>
    <t>SHIRPUR-G</t>
  </si>
  <si>
    <t>Shirpur Gold Refinery Limited</t>
  </si>
  <si>
    <t>SICAL</t>
  </si>
  <si>
    <t>Sical Logistics Limited</t>
  </si>
  <si>
    <t>SIIL</t>
  </si>
  <si>
    <t>Supreme (India) Impex Limited</t>
  </si>
  <si>
    <t>SKIL</t>
  </si>
  <si>
    <t>Skil Infrastructure Limited</t>
  </si>
  <si>
    <t>SONISOYA</t>
  </si>
  <si>
    <t>Soni Soya Products Limited</t>
  </si>
  <si>
    <t>SPYL</t>
  </si>
  <si>
    <t>Shekhawati Poly-Yarn Limited</t>
  </si>
  <si>
    <t>SREINFRA</t>
  </si>
  <si>
    <t>SREI Infrastructure Finance Limited</t>
  </si>
  <si>
    <t>STAMPEDE</t>
  </si>
  <si>
    <t>Stampede Capital Limited</t>
  </si>
  <si>
    <t>TALWALKARS</t>
  </si>
  <si>
    <t>Talwalkars Better Value Fitness Limited</t>
  </si>
  <si>
    <t>TALWGYM</t>
  </si>
  <si>
    <t>Talwalkars Healthclubs Limited</t>
  </si>
  <si>
    <t>TCIFINANCE</t>
  </si>
  <si>
    <t>TCI Finance Limited</t>
  </si>
  <si>
    <t>TECHNOFAB</t>
  </si>
  <si>
    <t>Technofab Engineering Limited</t>
  </si>
  <si>
    <t>THIRUSUGAR</t>
  </si>
  <si>
    <t>Thiru Arooran Sugars Limited</t>
  </si>
  <si>
    <t>TULSI</t>
  </si>
  <si>
    <t>Tulsi Extrusions Limited</t>
  </si>
  <si>
    <t>UNIPLY</t>
  </si>
  <si>
    <t>Uniply Industries Limited</t>
  </si>
  <si>
    <t>UNITY</t>
  </si>
  <si>
    <t>Unity Infraprojects Limited</t>
  </si>
  <si>
    <t>UNIVAFOODS</t>
  </si>
  <si>
    <t>Univa Foods Limited</t>
  </si>
  <si>
    <t>USK</t>
  </si>
  <si>
    <t>Udayshivakumar Infra Limited</t>
  </si>
  <si>
    <t>VALECHAENG</t>
  </si>
  <si>
    <t>Valecha Engineering Limited</t>
  </si>
  <si>
    <t>VALUEIND</t>
  </si>
  <si>
    <t>Value Industries Limited</t>
  </si>
  <si>
    <t>VICEROY</t>
  </si>
  <si>
    <t>Viceroy Hotels Limited</t>
  </si>
  <si>
    <t>VIDEOIND</t>
  </si>
  <si>
    <t>Videocon Industries Limited</t>
  </si>
  <si>
    <t>VIKASPROP</t>
  </si>
  <si>
    <t>Vikas Proppant &amp; Granite Limited</t>
  </si>
  <si>
    <t>VISUINTL</t>
  </si>
  <si>
    <t>Visu International Limited</t>
  </si>
  <si>
    <t>VIVIMEDLAB</t>
  </si>
  <si>
    <t>Vivimed Labs Limited</t>
  </si>
  <si>
    <t>WINSOME</t>
  </si>
  <si>
    <t>Winsome Yarns Limited</t>
  </si>
  <si>
    <t>ZICOM</t>
  </si>
  <si>
    <t>Zicom Electronic Security Systems Limited</t>
  </si>
  <si>
    <t>NSE DATA</t>
  </si>
  <si>
    <t>NSE Symbol</t>
  </si>
  <si>
    <t>Cap</t>
  </si>
  <si>
    <t>Large</t>
  </si>
  <si>
    <t>Mid</t>
  </si>
  <si>
    <t>Small</t>
  </si>
  <si>
    <t>Macro</t>
  </si>
  <si>
    <t>No Criteria</t>
  </si>
  <si>
    <t>No Data</t>
  </si>
  <si>
    <t>Manual Fix Company</t>
  </si>
  <si>
    <t>ICICI Pru Focused Equity Fund(G)</t>
  </si>
  <si>
    <t>Nippon India Large Cap Fund(G)</t>
  </si>
  <si>
    <t>ICICI Pru Bluechip Fund(G)</t>
  </si>
  <si>
    <t>Funds</t>
  </si>
  <si>
    <t>Fund Type</t>
  </si>
  <si>
    <t>Nippon India Growth Fund(G)</t>
  </si>
  <si>
    <t>SBI Magnum Midcap Fund-Reg(G)</t>
  </si>
  <si>
    <t>Kotak Emerging Equity Fund(G)</t>
  </si>
  <si>
    <t>ICICI Pru Smallcap Fund(G)</t>
  </si>
  <si>
    <t>Kotak Small Cap Fund(G)</t>
  </si>
  <si>
    <t>Nippon India Small Cap Fund(G)</t>
  </si>
  <si>
    <t>Axis Small Cap Fund-Reg(G)</t>
  </si>
  <si>
    <t>Quant Small Cap Fund(G)</t>
  </si>
  <si>
    <t>Axis_Small_Cap_Fund-Reg(G)</t>
  </si>
  <si>
    <t>Birlasoft Limited</t>
  </si>
  <si>
    <t>CreditAccess Grameen Limited</t>
  </si>
  <si>
    <t>KFin Technologies Limited</t>
  </si>
  <si>
    <t>Mankind Pharma Limited</t>
  </si>
  <si>
    <t>Netweb Technologies India Limited</t>
  </si>
  <si>
    <t>ICICI Bank Ltd.</t>
  </si>
  <si>
    <t>ICICI_Pru_Bluechip_Fund(G)</t>
  </si>
  <si>
    <t>Reliance Industries Ltd.</t>
  </si>
  <si>
    <t>Larsen &amp; Toubro Ltd.</t>
  </si>
  <si>
    <t>Infosys Ltd.</t>
  </si>
  <si>
    <t>Axis Bank Ltd.</t>
  </si>
  <si>
    <t>Ultratech Cement Ltd.</t>
  </si>
  <si>
    <t>Bharti Airtel Ltd.</t>
  </si>
  <si>
    <t>Maruti Suzuki India Ltd.</t>
  </si>
  <si>
    <t>Hero Motocorp Ltd.</t>
  </si>
  <si>
    <t>NTPC Ltd.</t>
  </si>
  <si>
    <t>Sun Pharmaceutical Industries Ltd.</t>
  </si>
  <si>
    <t>SBI Life Insurance Company Ltd.</t>
  </si>
  <si>
    <t>Oil &amp; Natural Gas Corporation Ltd.</t>
  </si>
  <si>
    <t>TVS Motor Company Ltd.</t>
  </si>
  <si>
    <t>Tata Motors Ltd. - DVR</t>
  </si>
  <si>
    <t>DLF Ltd.</t>
  </si>
  <si>
    <t>Avenue Supermarts Ltd.</t>
  </si>
  <si>
    <t>Motherson Sumi Systems Ltd.</t>
  </si>
  <si>
    <t>HDFC Asset Management Company Ltd.</t>
  </si>
  <si>
    <t>Coal India Ltd.</t>
  </si>
  <si>
    <t>Wipro Ltd.</t>
  </si>
  <si>
    <t>Zee Entertainment Enterprises Ltd.</t>
  </si>
  <si>
    <t>Hindustan Aeronautics Ltd.</t>
  </si>
  <si>
    <t>Alkem Laboratories Ltd.</t>
  </si>
  <si>
    <t>Interglobe Aviation Ltd.</t>
  </si>
  <si>
    <t>LIC Housing Finance Ltd.</t>
  </si>
  <si>
    <t>Hindustan Petroleum Corporation Ltd.</t>
  </si>
  <si>
    <t>Muthoot Finance Ltd.</t>
  </si>
  <si>
    <t>Tata Steel Ltd.</t>
  </si>
  <si>
    <t>NHPC Ltd.</t>
  </si>
  <si>
    <t>Dabur India Ltd.</t>
  </si>
  <si>
    <t>GAIL (India) Ltd.</t>
  </si>
  <si>
    <t>Oil India Ltd.</t>
  </si>
  <si>
    <t>HDFC Ltd.</t>
  </si>
  <si>
    <t>Torrent Pharmaceuticals Ltd.</t>
  </si>
  <si>
    <t>Hindustan Unilever Ltd.</t>
  </si>
  <si>
    <t>Biocon Ltd.</t>
  </si>
  <si>
    <t>Tata Consultancy Services Ltd.</t>
  </si>
  <si>
    <t>Reliance Nippon Life Asset Management Ltd.</t>
  </si>
  <si>
    <t>UTI Asset Management Co Ltd</t>
  </si>
  <si>
    <t>ICICI_Pru_Focused_Equity_Fund(G)</t>
  </si>
  <si>
    <t>The Phoenix Mills Ltd.</t>
  </si>
  <si>
    <t>Timken India Ltd.</t>
  </si>
  <si>
    <t>Syngene International Ltd.</t>
  </si>
  <si>
    <t>Oberoi Realty Ltd.</t>
  </si>
  <si>
    <t>Havells India Ltd.</t>
  </si>
  <si>
    <t>Godrej Consumer Products Ltd.</t>
  </si>
  <si>
    <t>Page Industries Ltd.</t>
  </si>
  <si>
    <t>SBI Cards &amp; Payment Services Ltd.</t>
  </si>
  <si>
    <t>G R Infraprojects Ltd.</t>
  </si>
  <si>
    <t>Cyient Ltd.</t>
  </si>
  <si>
    <t>ICICI_Pru_Smallcap_Fund(G)</t>
  </si>
  <si>
    <t>PVR Ltd.</t>
  </si>
  <si>
    <t>Krishna Institute of Medical Sciences</t>
  </si>
  <si>
    <t>KEI Industries Ltd.</t>
  </si>
  <si>
    <t>CYIENT DLM LTD</t>
  </si>
  <si>
    <t>J.B.Chemicals &amp; Pharmaceuticals Ltd.</t>
  </si>
  <si>
    <t>Orient Electric Ltd.</t>
  </si>
  <si>
    <t>Mold-Tek Packaging Ltd</t>
  </si>
  <si>
    <t>CCL Products (India) Ltd.</t>
  </si>
  <si>
    <t>CMS Info Systems Ltd</t>
  </si>
  <si>
    <t>Blue Star Ltd.</t>
  </si>
  <si>
    <t>Sundram Fasteners Ltd.</t>
  </si>
  <si>
    <t>KPIT Technologies Ltd.</t>
  </si>
  <si>
    <t>Sagar Cements Ltd.</t>
  </si>
  <si>
    <t>Divgi Torqtransfer Systems Ltd</t>
  </si>
  <si>
    <t>Astec LifeSciences Ltd.</t>
  </si>
  <si>
    <t>Minda Industries Ltd.</t>
  </si>
  <si>
    <t>Tracxn Technologies Ltd</t>
  </si>
  <si>
    <t>Supreme Petrochem Ltd.</t>
  </si>
  <si>
    <t>Firstsource Solutions Ltd.</t>
  </si>
  <si>
    <t>Home First Finance Company India Ltd.</t>
  </si>
  <si>
    <t>Global Health Ltd</t>
  </si>
  <si>
    <t>Kotak_Emerging_Equity_Fund(G)</t>
  </si>
  <si>
    <t>Schaeffler India Ltd</t>
  </si>
  <si>
    <t>Kajaria Ceramics Ltd.</t>
  </si>
  <si>
    <t>Bharat Forge Ltd.</t>
  </si>
  <si>
    <t>Atul Ltd.</t>
  </si>
  <si>
    <t>JK Cement Ltd.</t>
  </si>
  <si>
    <t>Bharat Electronics Ltd.</t>
  </si>
  <si>
    <t>Sundaram Finance Ltd.</t>
  </si>
  <si>
    <t>Whirlpool of India Ltd.</t>
  </si>
  <si>
    <t>APL Apollo Tubes Ltd</t>
  </si>
  <si>
    <t>Exide Industries Ltd.</t>
  </si>
  <si>
    <t>Ratnamani Metals &amp; Tubes Ltd.</t>
  </si>
  <si>
    <t>The Ramco Cements Ltd</t>
  </si>
  <si>
    <t>FEDERAL BANK LTD.</t>
  </si>
  <si>
    <t>Sheela Foam Ltd</t>
  </si>
  <si>
    <t>Dixon Technologies India Ltd</t>
  </si>
  <si>
    <t>V-Guard Industries Ltd.</t>
  </si>
  <si>
    <t>SHRIRAM FINANCE LIMITED</t>
  </si>
  <si>
    <t>Sundaram Fasteners Ltd.</t>
  </si>
  <si>
    <t>Amara Raja Batteries Ltd.</t>
  </si>
  <si>
    <t>KALPATARU POWER TRANSMISSION LTD</t>
  </si>
  <si>
    <t>Gujarat State Petronet Ltd.</t>
  </si>
  <si>
    <t>Laurus Labs Ltd</t>
  </si>
  <si>
    <t>MANKIND PHARMA LTD</t>
  </si>
  <si>
    <t>FSN E-Commerce Ventures Ltd.</t>
  </si>
  <si>
    <t>Kotak_Small_Cap_Fund(G)</t>
  </si>
  <si>
    <t>Century Plyboards (India) Ltd.</t>
  </si>
  <si>
    <t>Galaxy Surfactants Ltd</t>
  </si>
  <si>
    <t>Alembic Pharmaceuticals Ltd.</t>
  </si>
  <si>
    <t>Garware Technical Fibres Ltd.</t>
  </si>
  <si>
    <t>Blue Dart Express Ltd</t>
  </si>
  <si>
    <t>Shopper Stop Ltd.</t>
  </si>
  <si>
    <t>Mahindra Lifespace Developers Ltd</t>
  </si>
  <si>
    <t>The Great Eastern Shipping Company Ltd.</t>
  </si>
  <si>
    <t>Nilkamal Ltd.</t>
  </si>
  <si>
    <t>Balrampur Chini Mills Ltd.</t>
  </si>
  <si>
    <t>Orient Electic Limited</t>
  </si>
  <si>
    <t>Ajanta Pharma Ltd.</t>
  </si>
  <si>
    <t>Dhanuka Agritech Ltd</t>
  </si>
  <si>
    <t>Nippon_India_Growth_Fund(G)</t>
  </si>
  <si>
    <t>The Federal Bank Limited</t>
  </si>
  <si>
    <t>Bayer Cropscience Limited</t>
  </si>
  <si>
    <t>Nippon_India_Large_Cap_Fund(G)</t>
  </si>
  <si>
    <t>PVR INOX Limited</t>
  </si>
  <si>
    <t>Nippon_India_Small_Cap_Fund(G)</t>
  </si>
  <si>
    <t>Senco Gold Limited</t>
  </si>
  <si>
    <t>Yatharth Hospital And Trauma Care Services Limited</t>
  </si>
  <si>
    <t>Bharti Airtel Limited - Partly Paid up</t>
  </si>
  <si>
    <t>Quant_Small_Cap_Fund(G)</t>
  </si>
  <si>
    <t>Natco Pharma Ltd</t>
  </si>
  <si>
    <t>Karnataka Bank Ltd</t>
  </si>
  <si>
    <t>Minda Corporation Ltd</t>
  </si>
  <si>
    <t>AGI GREENPAC LIMITED</t>
  </si>
  <si>
    <t>KEYSTONE REALTORS LIMITED</t>
  </si>
  <si>
    <t>MANGALORE REFINERY &amp; PETROCHEMICALS LTD</t>
  </si>
  <si>
    <t>The Orissa Minerals Development Co Ltd</t>
  </si>
  <si>
    <t>INDIAN HUME PIPE COMPANY LIMITED</t>
  </si>
  <si>
    <t>Lt Foods Limited</t>
  </si>
  <si>
    <t>IKIO LIGHTING LIMITED</t>
  </si>
  <si>
    <t>IDEAFORGE TECHNOLOGY LIMITED</t>
  </si>
  <si>
    <t>PIX Transmission Limited</t>
  </si>
  <si>
    <t>Rashtriya Chemicals &amp; Fertilizers Ltd.</t>
  </si>
  <si>
    <t>Manappuram Finance Ltd</t>
  </si>
  <si>
    <t>PTC India Financial Services Ltd</t>
  </si>
  <si>
    <t>SBI_Magnum_Midcap_Fund-Reg(G)</t>
  </si>
  <si>
    <t>K.P.R. Mill Ltd.</t>
  </si>
  <si>
    <t>Triveni Turbine Ltd.</t>
  </si>
  <si>
    <t>Godrej Properties Ltd.</t>
  </si>
  <si>
    <t>Hatsun Agro Product Ltd.</t>
  </si>
  <si>
    <t>Steel Authority of India Ltd.</t>
  </si>
  <si>
    <t>NRB Bearings Ltd.</t>
  </si>
  <si>
    <t>Chemplast Sanmar Ltd.</t>
  </si>
  <si>
    <t>Hero Motocorp Limited</t>
  </si>
  <si>
    <t>Interglobe Aviation Limited</t>
  </si>
  <si>
    <t>BAYERCROP</t>
  </si>
  <si>
    <t>IDEAFORGE</t>
  </si>
  <si>
    <t>IKIO</t>
  </si>
  <si>
    <t>NA</t>
  </si>
  <si>
    <t>NETWEB</t>
  </si>
  <si>
    <t>PVRIONOX</t>
  </si>
  <si>
    <t>SENCO</t>
  </si>
  <si>
    <t>TATAMTRDVR</t>
  </si>
  <si>
    <t>YATHARTH</t>
  </si>
  <si>
    <t>MOJO DATA</t>
  </si>
  <si>
    <t>Durability</t>
  </si>
  <si>
    <t>Valuation</t>
  </si>
  <si>
    <t>Momentum</t>
  </si>
  <si>
    <t>Forecast Price</t>
  </si>
  <si>
    <t>Forecast Percent</t>
  </si>
  <si>
    <t>Consensus No</t>
  </si>
  <si>
    <t>Consensus Comment</t>
  </si>
  <si>
    <t>R1</t>
  </si>
  <si>
    <t>R2</t>
  </si>
  <si>
    <t>R3</t>
  </si>
  <si>
    <t>S1</t>
  </si>
  <si>
    <t>S2</t>
  </si>
  <si>
    <t>S3</t>
  </si>
  <si>
    <t>Graham Number</t>
  </si>
  <si>
    <t>Graham Ratio</t>
  </si>
  <si>
    <t>GS Comment</t>
  </si>
  <si>
    <t>GR Comment</t>
  </si>
  <si>
    <t>HOLD</t>
  </si>
  <si>
    <t>Below industry Median</t>
  </si>
  <si>
    <t>No estimates available</t>
  </si>
  <si>
    <t>Above industry Median</t>
  </si>
  <si>
    <t>CMP</t>
  </si>
  <si>
    <t>Mojo Score</t>
  </si>
  <si>
    <t>Mojo Stock</t>
  </si>
  <si>
    <t>Mojo Stock Since</t>
  </si>
  <si>
    <t>Recommendation</t>
  </si>
  <si>
    <t>Comment</t>
  </si>
  <si>
    <t>Technical Comment</t>
  </si>
  <si>
    <t>Quality Score</t>
  </si>
  <si>
    <t>Quality Comments</t>
  </si>
  <si>
    <t>Valuation Score</t>
  </si>
  <si>
    <t>FT Positive</t>
  </si>
  <si>
    <t>FT Negative</t>
  </si>
  <si>
    <t>FT Total</t>
  </si>
  <si>
    <t>1D</t>
  </si>
  <si>
    <t>1W</t>
  </si>
  <si>
    <t>1M</t>
  </si>
  <si>
    <t>3m</t>
  </si>
  <si>
    <t>6M</t>
  </si>
  <si>
    <t>YTD</t>
  </si>
  <si>
    <t>1Y</t>
  </si>
  <si>
    <t>2Y</t>
  </si>
  <si>
    <t>3Y</t>
  </si>
  <si>
    <t>4Y</t>
  </si>
  <si>
    <t>5Y</t>
  </si>
  <si>
    <t>10Y</t>
  </si>
  <si>
    <t>Majority Shareholders</t>
  </si>
  <si>
    <t>Pledged</t>
  </si>
  <si>
    <t>MF</t>
  </si>
  <si>
    <t>MF Scheme%</t>
  </si>
  <si>
    <t>FII</t>
  </si>
  <si>
    <t>FII%</t>
  </si>
  <si>
    <t>Promoter</t>
  </si>
  <si>
    <t>Promoter%</t>
  </si>
  <si>
    <t>Highest Pub-Holder</t>
  </si>
  <si>
    <t>Highest Pub-Holder%</t>
  </si>
  <si>
    <t>Ind Investor</t>
  </si>
  <si>
    <t>The score changed from Sell to Strong Sell on 08th Feb 2023 at Rs 250.10</t>
  </si>
  <si>
    <t>Below Average</t>
  </si>
  <si>
    <t>Below Average quality company basis long term financial performance. Size - Ranks 3rd out of 21 companies in Retailing sector</t>
  </si>
  <si>
    <t>Negative</t>
  </si>
  <si>
    <t>Promoters</t>
  </si>
  <si>
    <t xml:space="preserve"> Birla Group Holdings Private Limited</t>
  </si>
  <si>
    <t>Flipkart Investments Private Limited</t>
  </si>
  <si>
    <t>The score changed from Hold to Sell on 17th Aug 2023 at Rs 353.15</t>
  </si>
  <si>
    <t>Good quality company basis long term financial performance. Size - Ranks 3rd out of 44 companies in Logistics sector</t>
  </si>
  <si>
    <t>Flat</t>
  </si>
  <si>
    <t xml:space="preserve"> Huron Holdings Limited</t>
  </si>
  <si>
    <t>Sudhir Omprakash Malhotra</t>
  </si>
  <si>
    <t>The score changed from Hold to Buy on 16th Aug 2023 at Rs 684.45</t>
  </si>
  <si>
    <t>Average</t>
  </si>
  <si>
    <t>Average quality company basis long term financial performance. Size - Ranks 3rd out of 24 companies in Ceramics and Allied sector</t>
  </si>
  <si>
    <t xml:space="preserve"> Somany Impresa Limited</t>
  </si>
  <si>
    <t>Ashish Dhawan</t>
  </si>
  <si>
    <t>The score changed from Hold to Buy on 27th Jul 2023 at Rs 1,546.20</t>
  </si>
  <si>
    <t>EXPENSIVE</t>
  </si>
  <si>
    <t xml:space="preserve"> Rajesh M Agrawal, Trustee Rajesh Agrawal Trust</t>
  </si>
  <si>
    <t>Uti Flexi Cap Fund</t>
  </si>
  <si>
    <t>CAP</t>
  </si>
  <si>
    <t>Bullish</t>
  </si>
  <si>
    <t>SELL</t>
  </si>
  <si>
    <t>Amara Raja Batteries Ltd.'s share price target is above the current price, with an upside of 8.8%</t>
  </si>
  <si>
    <t>Alembic Pharmaceuticals Ltd.'s share price target is below the current price, with a downside of 8.4%</t>
  </si>
  <si>
    <t>Aegis Logistics Ltd.'s share price target is above the current price, with an upside of 15.3%</t>
  </si>
  <si>
    <t>Cyient Ltd.'s share price target is below the current price, with a downside of 4.5%</t>
  </si>
  <si>
    <t>Aditya Birla Fashion and Retail Ltd.'s share price target is above the current price, with an upside of 6.3%</t>
  </si>
  <si>
    <t>Ajanta Pharma Ltd.'s share price target is above the current price, with an upside of 0.3%</t>
  </si>
  <si>
    <t>Alkem Laboratories Ltd.'s share price target is below the current price, with a downside of 3.4%</t>
  </si>
  <si>
    <t>STRONG BUY</t>
  </si>
  <si>
    <t>Anand Rathi Wealth Ltd.'s share price target is below the current price, with a downside of 23.1%</t>
  </si>
  <si>
    <t>APL Apollo Tubes Ltd.'s share price target is below the current price, with a downside of 3.1%</t>
  </si>
  <si>
    <t>Arvind Ltd.'s share price target is below the current price, with a downside of 4.4%</t>
  </si>
  <si>
    <t>Astec Lifesciences Ltd.'s share price target is above the current price, with an upside of 1.1%</t>
  </si>
  <si>
    <t>Atul Ltd.'s share price target is below the current price, with a downside of 4.6%</t>
  </si>
  <si>
    <t>Market Runner Up</t>
  </si>
  <si>
    <t>Aurobindo Pharma Ltd.'s share price target is below the current price, with a downside of 4.0%</t>
  </si>
  <si>
    <t>Axis Bank Ltd.'s share price target is above the current price, with an upside of 20.4%</t>
  </si>
  <si>
    <t>Bajaj Finance Ltd.'s share price target is above the current price, with an upside of 17.2%</t>
  </si>
  <si>
    <t>Balrampur Chini Mills Ltd.'s share price target is above the current price, with an upside of 20.6%</t>
  </si>
  <si>
    <t>Bandhan Bank Ltd.'s share price target is above the current price, with an upside of 20.1%</t>
  </si>
  <si>
    <t>Bata India Ltd.'s share price target is below the current price, with a downside of 1.7%</t>
  </si>
  <si>
    <t>Bayer Cropscience Ltd.'s share price target is above the current price, with an upside of 4.6%</t>
  </si>
  <si>
    <t>Mrs. Bectors Food Specialities Ltd.'s share price target is below the current price, with a downside of 10.2%</t>
  </si>
  <si>
    <t>Bharat Electronics Ltd.'s share price target is above the current price, with an upside of 12.6%</t>
  </si>
  <si>
    <t>Bharat Forge Ltd.'s share price target is above the current price, with an upside of 0.8%</t>
  </si>
  <si>
    <t>Bharti Airtel Ltd.'s share price target is above the current price, with an upside of 13.3%</t>
  </si>
  <si>
    <t>Market Leader</t>
  </si>
  <si>
    <t>Bharat Heavy Electricals Ltd.'s share price target is below the current price, with a downside of 29.2%</t>
  </si>
  <si>
    <t>Bikaji Foods International Ltd.'s share price target is above the current price, with an upside of 12.9%</t>
  </si>
  <si>
    <t>Blue Dart Express Ltd.'s share price target is above the current price, with an upside of 10.3%</t>
  </si>
  <si>
    <t>Blue Star Ltd.'s share price target is above the current price, with an upside of 11.3%</t>
  </si>
  <si>
    <t>Bosch Ltd.'s share price target is above the current price, with an upside of 9.5%</t>
  </si>
  <si>
    <t>Bharat Petroleum Corporation Ltd.'s share price target is above the current price, with an upside of 23.6%</t>
  </si>
  <si>
    <t>Birlasoft Ltd.'s share price target is below the current price, with a downside of 6.1%</t>
  </si>
  <si>
    <t>Can Fin Homes Ltd.'s share price target is above the current price, with an upside of 14.9%</t>
  </si>
  <si>
    <t>Century Textiles &amp; Industries Ltd.'s share price target is above the current price, with an upside of 24.7%</t>
  </si>
  <si>
    <t>Coal India Ltd.'s share price target is above the current price, with an upside of 12.9%</t>
  </si>
  <si>
    <t>Colgate-Palmolive (India) Ltd.'s share price target is below the current price, with a downside of 6.4%</t>
  </si>
  <si>
    <t>Container Corporation of India Ltd.'s share price target is above the current price, with an upside of 7.7%</t>
  </si>
  <si>
    <t>Craftsman Automation Ltd.'s share price target is above the current price, with an upside of 9.1%</t>
  </si>
  <si>
    <t>CreditAccess Grameen Ltd.'s share price target is above the current price, with an upside of 12.6%</t>
  </si>
  <si>
    <t>LT Foods Ltd.'s share price target is below the current price, with a downside of 30.6%</t>
  </si>
  <si>
    <t>Dabur India Ltd.'s share price target is above the current price, with an upside of 8.6%</t>
  </si>
  <si>
    <t>Dalmia Bharat Ltd.'s share price target is above the current price, with an upside of 16.0%</t>
  </si>
  <si>
    <t>Dhanuka Agritech Ltd.'s share price target is above the current price, with an upside of 21.3%</t>
  </si>
  <si>
    <t>DLF Ltd.'s share price target is above the current price, with an upside of 10.8%</t>
  </si>
  <si>
    <t>Dr. Reddy's Laboratories Ltd.'s share price target is below the current price, with a downside of 6.5%</t>
  </si>
  <si>
    <t>Emami Ltd.'s share price target is below the current price, with a downside of 1.3%</t>
  </si>
  <si>
    <t>Engineers India Ltd.'s share price target is above the current price, with an upside of 1.2%</t>
  </si>
  <si>
    <t>Escorts Kubota Ltd.'s share price target is below the current price, with a downside of 18.8%</t>
  </si>
  <si>
    <t>Exide Industries Ltd.'s share price target is below the current price, with a downside of 7.0%</t>
  </si>
  <si>
    <t>Federal Bank Ltd.'s share price target is above the current price, with an upside of 20.4%</t>
  </si>
  <si>
    <t>Fortis Healthcare Ltd.'s share price target is above the current price, with an upside of 18.9%</t>
  </si>
  <si>
    <t>GAIL (India) Ltd.'s share price target is above the current price, with an upside of 14.3%</t>
  </si>
  <si>
    <t>Galaxy Surfactants Ltd.'s share price target is above the current price, with an upside of 14.1%</t>
  </si>
  <si>
    <t>Garware Technical Fibres Ltd.'s share price target is above the current price, with an upside of 19.8%</t>
  </si>
  <si>
    <t>Great Eastern Shipping Company Ltd.'s share price target is above the current price, with an upside of 20.7%</t>
  </si>
  <si>
    <t>Gland Pharma Ltd.'s share price target is below the current price, with a downside of 3.6%</t>
  </si>
  <si>
    <t>GlaxoSmithKline Pharmaceuticals Ltd.'s share price target is above the current price, with an upside of 1.0%</t>
  </si>
  <si>
    <t>G R Infraprojects Ltd.'s share price target is above the current price, with an upside of 19.5%</t>
  </si>
  <si>
    <t>Hatsun Agro Products Ltd.'s share price target is below the current price, with a downside of 15.3%</t>
  </si>
  <si>
    <t>Havells India Ltd.'s share price target is above the current price, with an upside of 10.8%</t>
  </si>
  <si>
    <t>HDFC Bank Ltd.'s share price target is above the current price, with an upside of 28.3%</t>
  </si>
  <si>
    <t>HEG Ltd.'s share price target is above the current price, with an upside of 2.5%</t>
  </si>
  <si>
    <t>Hero MotoCorp Ltd.'s share price target is above the current price, with an upside of 9.0%</t>
  </si>
  <si>
    <t>Hindustan Petroleum Corporation Ltd.'s share price target is above the current price, with an upside of 13.8%</t>
  </si>
  <si>
    <t>ICICI Bank Ltd.'s share price target is above the current price, with an upside of 23.4%</t>
  </si>
  <si>
    <t>ideaForge Technology Ltd.'s share price target is above the current price, with an upside of 57.2%</t>
  </si>
  <si>
    <t>Average volatility</t>
  </si>
  <si>
    <t>New 52W Low in past week</t>
  </si>
  <si>
    <t>Very Low volatility</t>
  </si>
  <si>
    <t>Indian Hume Pipe Company Ltd.'s share price target is below the current price, with a downside of 38.0%</t>
  </si>
  <si>
    <t>InterGlobe Aviation Ltd.'s share price target is above the current price, with an upside of 22.3%</t>
  </si>
  <si>
    <t>IndusInd Bank Ltd.'s share price target is above the current price, with an upside of 17.5%</t>
  </si>
  <si>
    <t>Indus Towers Ltd.'s share price target is above the current price, with an upside of 12.1%</t>
  </si>
  <si>
    <t>Infosys Ltd.'s share price target is above the current price, with an upside of 3.8%</t>
  </si>
  <si>
    <t>Ipca Laboratories Ltd.'s share price target is below the current price, with a downside of 2.1%</t>
  </si>
  <si>
    <t>J B Chemicals &amp; Pharmaceuticals Ltd.'s share price target is above the current price, with an upside of 2.7%</t>
  </si>
  <si>
    <t>Jindal Steel &amp; Power Ltd.'s share price target is above the current price, with an upside of 12.8%</t>
  </si>
  <si>
    <t>JK Cement Ltd.'s share price target is above the current price, with an upside of 8.7%</t>
  </si>
  <si>
    <t>JM Financial Ltd.'s share price target is above the current price, with an upside of 33.7%</t>
  </si>
  <si>
    <t>Just Dial Ltd.'s share price target is above the current price, with an upside of 12.1%</t>
  </si>
  <si>
    <t>Jyothy Labs Ltd.'s share price target is below the current price, with a downside of 11.9%</t>
  </si>
  <si>
    <t>Kajaria Ceramics Ltd.'s share price target is above the current price, with an upside of 1.0%</t>
  </si>
  <si>
    <t>Kaynes Technology India Ltd.'s share price target is above the current price, with an upside of 20.3%</t>
  </si>
  <si>
    <t>KEC International Ltd.'s share price target is above the current price, with an upside of 4.1%</t>
  </si>
  <si>
    <t>KFIN Technologies Ltd.'s share price target is above the current price, with an upside of 6.6%</t>
  </si>
  <si>
    <t>Kotak Mahindra Bank Ltd.'s share price target is above the current price, with an upside of 23.5%</t>
  </si>
  <si>
    <t>KPR Mill Ltd.'s share price target is above the current price, with an upside of 6.4%</t>
  </si>
  <si>
    <t>Laurus Labs Ltd.'s share price target is below the current price, with a downside of 9.2%</t>
  </si>
  <si>
    <t>Lemon Tree Hotels Ltd.'s share price target is above the current price, with an upside of 10.8%</t>
  </si>
  <si>
    <t>Macrotech Developers Ltd.'s share price target is above the current price, with an upside of 3.0%</t>
  </si>
  <si>
    <t>Mahindra Lifespace Developers Ltd.'s share price target is above the current price, with an upside of 5.0%</t>
  </si>
  <si>
    <t>Marico Ltd.'s share price target is above the current price, with an upside of 10.2%</t>
  </si>
  <si>
    <t>Maruti Suzuki India Ltd.'s share price target is above the current price, with an upside of 12.9%</t>
  </si>
  <si>
    <t>Metro Brands Ltd.'s share price target is below the current price, with a downside of 1.2%</t>
  </si>
  <si>
    <t>Minda Corporation Ltd.'s share price target is below the current price, with a downside of 1.8%</t>
  </si>
  <si>
    <t>Samvardhana Motherson International Ltd.'s share price target is above the current price, with an upside of 16.9%</t>
  </si>
  <si>
    <t>MphasiS Ltd.'s share price target is below the current price, with a downside of 4.0%</t>
  </si>
  <si>
    <t>Muthoot Finance Ltd.'s share price target is above the current price, with an upside of 8.7%</t>
  </si>
  <si>
    <t>Natco Pharma Ltd.'s share price target is below the current price, with a downside of 8.6%</t>
  </si>
  <si>
    <t>Info Edge (India) Ltd.'s share price target is above the current price, with an upside of 6.9%</t>
  </si>
  <si>
    <t>New 52W Low today</t>
  </si>
  <si>
    <t>NHPC Ltd.'s share price target is above the current price, with an upside of 8.7%</t>
  </si>
  <si>
    <t>Nilkamal Ltd.'s share price target is above the current price, with an upside of 13.1%</t>
  </si>
  <si>
    <t>NTPC Ltd.'s share price target is above the current price, with an upside of 9.0%</t>
  </si>
  <si>
    <t>FSN E-Commerce Ventures Ltd.'s share price target is above the current price, with an upside of 27.6%</t>
  </si>
  <si>
    <t>Oberoi Realty Ltd.'s share price target is above the current price, with an upside of 0.1%</t>
  </si>
  <si>
    <t>MOIL Ltd.'s share price target is above the current price, with an upside of 4.1%</t>
  </si>
  <si>
    <t>Oil And Natural Gas Corporation Ltd.'s share price target is above the current price, with an upside of 8.6%</t>
  </si>
  <si>
    <t>Orient Electric Ltd.'s share price target is above the current price, with an upside of 9.7%</t>
  </si>
  <si>
    <t>Page Industries Ltd.'s share price target is below the current price, with a downside of 2.7%</t>
  </si>
  <si>
    <t>Pfizer Ltd.'s share price target is above the current price, with an upside of 14.0%</t>
  </si>
  <si>
    <t>Procter &amp; Gamble Health Ltd.'s share price target is below the current price, with a downside of 0.1%</t>
  </si>
  <si>
    <t>PI Industries Ltd.'s share price target is above the current price, with an upside of 9.1%</t>
  </si>
  <si>
    <t>PB Fintech Ltd.'s share price target is above the current price, with an upside of 14.7%</t>
  </si>
  <si>
    <t>Poonawalla Fincorp Ltd.'s share price target is above the current price, with an upside of 3.2%</t>
  </si>
  <si>
    <t>Power Grid Corporation of India Ltd.'s share price target is above the current price, with an upside of 7.8%</t>
  </si>
  <si>
    <t>Piramal Pharma Ltd.'s share price target is above the current price, with an upside of 28.0%</t>
  </si>
  <si>
    <t>Praj Industries Ltd.'s share price target is above the current price, with an upside of 3.5%</t>
  </si>
  <si>
    <t>PVR INOX Ltd.'s share price target is above the current price, with an upside of 7.0%</t>
  </si>
  <si>
    <t>Railtel Corporation of India Ltd.'s share price target is below the current price, with a downside of 15.6%</t>
  </si>
  <si>
    <t>Ratnamani Metals &amp; Tubes Ltd.'s share price target is above the current price, with an upside of 6.8%</t>
  </si>
  <si>
    <t>Sagar Cements Ltd.'s share price target is above the current price, with an upside of 7.9%</t>
  </si>
  <si>
    <t>Steel Authority of India (SAIL) Ltd.'s share price target is above the current price, with an upside of 8.4%</t>
  </si>
  <si>
    <t>Sanofi India Ltd.'s share price target is above the current price, with an upside of 1.9%</t>
  </si>
  <si>
    <t>SBI Life Insurance Company Ltd.'s share price target is above the current price, with an upside of 23.1%</t>
  </si>
  <si>
    <t>State Bank of India's share price target is above the current price, with an upside of 24.1%</t>
  </si>
  <si>
    <t>Schaeffler India Ltd.'s share price target is above the current price, with an upside of 5.6%</t>
  </si>
  <si>
    <t>Sheela Foam Ltd.'s share price target is above the current price, with an upside of 24.3%</t>
  </si>
  <si>
    <t>Shoppers Stop Ltd.'s share price target is above the current price, with an upside of 6.7%</t>
  </si>
  <si>
    <t>Siemens Ltd.'s share price target is above the current price, with an upside of 5.4%</t>
  </si>
  <si>
    <t>Solar Industries India Ltd.'s share price target is above the current price, with an upside of 3.3%</t>
  </si>
  <si>
    <t>Supreme Petrochem Ltd.'s share price target is above the current price, with an upside of 11.3%</t>
  </si>
  <si>
    <t>Sundaram Finance Ltd.'s share price target is above the current price, with an upside of 10.1%</t>
  </si>
  <si>
    <t>Sundram Fasteners Ltd.'s share price target is above the current price, with an upside of 2.5%</t>
  </si>
  <si>
    <t>Sun Pharmaceutical Industries Ltd.'s share price target is above the current price, with an upside of 8.6%</t>
  </si>
  <si>
    <t>Supreme Industries Ltd.'s share price target is below the current price, with a downside of 23.2%</t>
  </si>
  <si>
    <t>Syngene International Ltd.'s share price target is above the current price, with an upside of 2.7%</t>
  </si>
  <si>
    <t>Tata Communications Ltd.'s share price target is below the current price, with a downside of 3.4%</t>
  </si>
  <si>
    <t>Tata Motors Ltd.'s share price target is above the current price, with an upside of 15.8%</t>
  </si>
  <si>
    <t>High Volatility</t>
  </si>
  <si>
    <t>Tata Power Company Ltd.'s share price target is below the current price, with a downside of 2.1%</t>
  </si>
  <si>
    <t>Techno Electric &amp; Engineering Company Ltd.'s share price target is below the current price, with a downside of 10.3%</t>
  </si>
  <si>
    <t>Thermax Ltd.'s share price target is below the current price, with a downside of 7.5%</t>
  </si>
  <si>
    <t>Timken India Ltd.'s share price target is above the current price, with an upside of 10.1%</t>
  </si>
  <si>
    <t>Torrent Power Ltd.'s share price target is below the current price, with a downside of 7.8%</t>
  </si>
  <si>
    <t>United Breweries Ltd.'s share price target is below the current price, with a downside of 0.4%</t>
  </si>
  <si>
    <t>UltraTech Cement Ltd.'s share price target is above the current price, with an upside of 7.5%</t>
  </si>
  <si>
    <t>UNO Minda Ltd.'s share price target is below the current price, with a downside of 0.4%</t>
  </si>
  <si>
    <t>Usha Martin Ltd.'s share price target is above the current price, with an upside of 13.7%</t>
  </si>
  <si>
    <t>V-Guard Industries Ltd.'s share price target is above the current price, with an upside of 0.4%</t>
  </si>
  <si>
    <t>VIP Industries Ltd.'s share price target is above the current price, with an upside of 4.7%</t>
  </si>
  <si>
    <t>Voltas Ltd.'s share price target is above the current price, with an upside of 9.2%</t>
  </si>
  <si>
    <t>VRL Logistics Ltd.'s share price target is above the current price, with an upside of 19.8%</t>
  </si>
  <si>
    <t>Whirlpool of India Ltd.'s share price target is below the current price, with a downside of 12.7%</t>
  </si>
  <si>
    <t>52W Low on Aug 07, 2023</t>
  </si>
  <si>
    <t>Zee Entertainment Enterprises Ltd.'s share price target is above the current price, with an upside of 5.5%</t>
  </si>
  <si>
    <t>Zensar Technologies Ltd.'s share price target is below the current price, with a downside of 8.1%</t>
  </si>
  <si>
    <t>ZF Commercial Vehicle Control Systems India Ltd.'s share price target is below the current price, with a downside of 2.7%</t>
  </si>
  <si>
    <t>https://trendlyne.com/equity/1029/ABFRL/aditya-birla-fashion-and-retail-ltd/</t>
  </si>
  <si>
    <t>https://trendlyne.com/equity/49/AJANTPHARM/ajanta-pharma-ltd/</t>
  </si>
  <si>
    <t>https://trendlyne.com/equity/1878/ALKEM/alkem-laboratories-ltd/</t>
  </si>
  <si>
    <t>https://trendlyne.com/equity/68/AMARAJABAT/amara-raja-batteries-ltd/</t>
  </si>
  <si>
    <t>https://trendlyne.com/equity/747241/ANANDRATHI/anand-rathi-wealth-ltd/</t>
  </si>
  <si>
    <t>https://trendlyne.com/equity/92/APLLTD/alembic-pharmaceuticals-ltd/</t>
  </si>
  <si>
    <t>https://trendlyne.com/equity/2758/ACIIN/aci-infocom-ltd/</t>
  </si>
  <si>
    <t>https://trendlyne.com/equity/35/AEGISCHEM/aegis-logistics-ltd/</t>
  </si>
  <si>
    <t>https://trendlyne.com/equity/574/AGI/agi-greenpac-ltd/</t>
  </si>
  <si>
    <t>https://trendlyne.com/equity/91/APLAPOLLO/apl-apollo-tubes-ltd/</t>
  </si>
  <si>
    <t>https://trendlyne.com/equity/105/ARVIND/arvind-ltd/</t>
  </si>
  <si>
    <t>https://trendlyne.com/equity/121/ASTEC/astec-lifesciences-ltd/</t>
  </si>
  <si>
    <t>https://trendlyne.com/equity/124/ASTRAZEN/astrazeneca-pharma-india-ltd/</t>
  </si>
  <si>
    <t>https://trendlyne.com/equity/129/ATUL/atul-ltd/</t>
  </si>
  <si>
    <t>https://trendlyne.com/equity/132/AUROPHARMA/aurobindo-pharma-ltd/</t>
  </si>
  <si>
    <t>https://trendlyne.com/equity/140/AXISBANK/axis-bank-ltd/</t>
  </si>
  <si>
    <t>https://trendlyne.com/equity/150/BAJFINANCE/bajaj-finance-ltd/</t>
  </si>
  <si>
    <t>https://trendlyne.com/equity/157/BALRAMCHIN/balrampur-chini-mills-ltd/</t>
  </si>
  <si>
    <t>https://trendlyne.com/equity/79883/BANDHANBNK/bandhan-bank-ltd/</t>
  </si>
  <si>
    <t>https://trendlyne.com/equity/168/BATAINDIA/bata-india-ltd/</t>
  </si>
  <si>
    <t>https://trendlyne.com/equity/169/BAYERCROP/bayer-cropscience-ltd/</t>
  </si>
  <si>
    <t>https://trendlyne.com/equity/369403/BECTORFOOD/mrs-bectors-food-specialities-ltd/</t>
  </si>
  <si>
    <t>https://trendlyne.com/equity/175/BEL/bharat-electronics-ltd/</t>
  </si>
  <si>
    <t>https://trendlyne.com/equity/184/BHARATFORG/bharat-forge-ltd/</t>
  </si>
  <si>
    <t>https://trendlyne.com/equity/187/BHARTIARTL/bharti-airtel-ltd/</t>
  </si>
  <si>
    <t>https://trendlyne.com/equity/189/BHEL/bharat-heavy-electricals-ltd/</t>
  </si>
  <si>
    <t>https://trendlyne.com/equity/1110875/BIKAJI/bikaji-foods-international-ltd/</t>
  </si>
  <si>
    <t>https://trendlyne.com/equity/208/BLUEDART/blue-dart-express-ltd/</t>
  </si>
  <si>
    <t>https://trendlyne.com/equity/209/BLUESTARCO/blue-star-ltd/</t>
  </si>
  <si>
    <t>https://trendlyne.com/equity/214/BOSCHLTD/bosch-ltd/</t>
  </si>
  <si>
    <t>https://trendlyne.com/equity/215/BPCL/bharat-petroleum-corporation-ltd/</t>
  </si>
  <si>
    <t>https://trendlyne.com/equity/763/BSOFT/birlasoft-ltd/</t>
  </si>
  <si>
    <t>https://trendlyne.com/equity/234/CANFINHOME/can-fin-homes-ltd/</t>
  </si>
  <si>
    <t>https://trendlyne.com/equity/253/CENTURYTEX/century-textiles-industries-ltd/</t>
  </si>
  <si>
    <t>https://trendlyne.com/equity/275/COALINDIA/coal-india-ltd/</t>
  </si>
  <si>
    <t>https://trendlyne.com/equity/276/COLPAL/colgate-palmolive-india-ltd/</t>
  </si>
  <si>
    <t>https://trendlyne.com/equity/279/CONCOR/container-corporation-of-india-ltd/</t>
  </si>
  <si>
    <t>https://trendlyne.com/equity/283/COROENGG/coromandel-engineering-company-ltd/</t>
  </si>
  <si>
    <t>https://trendlyne.com/equity/445359/CRAFTSMAN/craftsman-automation-ltd/</t>
  </si>
  <si>
    <t>https://trendlyne.com/equity/100478/CREDITACC/creditaccess-grameen-ltd/</t>
  </si>
  <si>
    <t>https://trendlyne.com/equity/301/CYIENT/cyient-ltd/</t>
  </si>
  <si>
    <t>https://trendlyne.com/equity/302/DAAWAT/lt-foods-ltd/</t>
  </si>
  <si>
    <t>https://trendlyne.com/equity/303/DABUR/dabur-india-ltd/</t>
  </si>
  <si>
    <t>https://trendlyne.com/equity/120412/DALBHARAT/dalmia-bharat-ltd/</t>
  </si>
  <si>
    <t>https://trendlyne.com/equity/320/DELTACORP/delta-corp-ltd/</t>
  </si>
  <si>
    <t>https://trendlyne.com/equity/327/DHANUKA/dhanuka-agritech-ltd/</t>
  </si>
  <si>
    <t>https://trendlyne.com/equity/337/DLF/dlf-ltd/</t>
  </si>
  <si>
    <t>https://trendlyne.com/equity/346/DRREDDY/dr-reddy-s-laboratories-ltd/</t>
  </si>
  <si>
    <t>https://trendlyne.com/equity/374/EMAMILTD/emami-ltd/</t>
  </si>
  <si>
    <t>https://trendlyne.com/equity/380/ENGINERSIN/engineers-india-ltd/</t>
  </si>
  <si>
    <t>https://trendlyne.com/equity/387/ESCORTS/escorts-kubota-ltd/</t>
  </si>
  <si>
    <t>https://trendlyne.com/equity/404/EXIDEIND/exide-industries-ltd/</t>
  </si>
  <si>
    <t>https://trendlyne.com/equity/412/FEDERALBNK/federal-bank-ltd/</t>
  </si>
  <si>
    <t>https://trendlyne.com/equity/424/FORTIS/fortis-healthcare-ltd/</t>
  </si>
  <si>
    <t>https://trendlyne.com/equity/431/GAIL/gail-india-ltd/</t>
  </si>
  <si>
    <t>https://trendlyne.com/equity/74800/GALAXYSURF/galaxy-surfactants-ltd/</t>
  </si>
  <si>
    <t>https://trendlyne.com/equity/441/GARFIBRES/garware-technical-fibres-ltd/</t>
  </si>
  <si>
    <t>https://trendlyne.com/equity/452/GESHIP/great-eastern-shipping-company-ltd/</t>
  </si>
  <si>
    <t>https://trendlyne.com/equity/338662/GLAND/gland-pharma-ltd/</t>
  </si>
  <si>
    <t>https://trendlyne.com/equity/463/GLAXO/glaxosmithkline-pharmaceuticals-ltd/</t>
  </si>
  <si>
    <t>https://trendlyne.com/equity/577216/GRINFRA/g-r-infraprojects-ltd/</t>
  </si>
  <si>
    <t>https://trendlyne.com/equity/524/HATSUN/hatsun-agro-products-ltd/</t>
  </si>
  <si>
    <t>https://trendlyne.com/equity/525/HAVELLS/havells-india-ltd/</t>
  </si>
  <si>
    <t>https://trendlyne.com/equity/533/HDFCBANK/hdfc-bank-ltd/</t>
  </si>
  <si>
    <t>https://trendlyne.com/equity/535/HEG/heg-ltd/</t>
  </si>
  <si>
    <t>https://trendlyne.com/equity/540/HEROMOTOCO/hero-motocorp-ltd/</t>
  </si>
  <si>
    <t>https://trendlyne.com/equity/543/HFCL/hfcl-ltd/</t>
  </si>
  <si>
    <t>https://trendlyne.com/equity/551/HINDCOPPER/hindustan-copper-ltd/</t>
  </si>
  <si>
    <t>https://trendlyne.com/equity/556/HINDPETRO/hindustan-petroleum-corporation-ltd/</t>
  </si>
  <si>
    <t>https://trendlyne.com/equity/1506759/IDEAFORGE/ideaforge-technology-ltd/</t>
  </si>
  <si>
    <t>https://trendlyne.com/equity/1485423/IKIO/ikio-lighting-ltd/</t>
  </si>
  <si>
    <t>https://trendlyne.com/equity/611/INDIANHUME/indian-hume-pipe-company-ltd/</t>
  </si>
  <si>
    <t>https://trendlyne.com/equity/1784/INDIGO/interglobe-aviation-ltd/</t>
  </si>
  <si>
    <t>https://trendlyne.com/equity/625/INDUSINDBK/indusind-bank-ltd/</t>
  </si>
  <si>
    <t>https://trendlyne.com/equity/629/INDUSTOWER/indus-towers-ltd/</t>
  </si>
  <si>
    <t>https://trendlyne.com/equity/630/INFY/infosys-ltd/</t>
  </si>
  <si>
    <t>https://trendlyne.com/equity/642/IPCALAB/ipca-laboratories-ltd/</t>
  </si>
  <si>
    <t>https://trendlyne.com/equity/665/JBCHEPHARM/j-b-chemicals-pharmaceuticals-ltd/</t>
  </si>
  <si>
    <t>https://trendlyne.com/equity/677/JINDALSTEL/jindal-steel-power-ltd/</t>
  </si>
  <si>
    <t>https://trendlyne.com/equity/683/JKCEMENT/jk-cement-ltd/</t>
  </si>
  <si>
    <t>https://trendlyne.com/equity/689/JMFINANCIL/jm-financial-ltd/</t>
  </si>
  <si>
    <t>https://trendlyne.com/equity/704/JUSTDIAL/just-dial-ltd/</t>
  </si>
  <si>
    <t>https://trendlyne.com/equity/706/JYOTHYLAB/jyothy-labs-ltd/</t>
  </si>
  <si>
    <t>https://trendlyne.com/equity/709/KAJARIACER/kajaria-ceramics-ltd/</t>
  </si>
  <si>
    <t>https://trendlyne.com/equity/1124672/KAYNES/kaynes-technology-india-ltd/</t>
  </si>
  <si>
    <t>https://trendlyne.com/equity/727/KEC/kec-international-ltd/</t>
  </si>
  <si>
    <t>https://trendlyne.com/equity/1253626/KFINTECH/kfin-technologies-ltd/</t>
  </si>
  <si>
    <t>https://trendlyne.com/equity/758/KOTAKBANK/kotak-mahindra-bank-ltd/</t>
  </si>
  <si>
    <t>https://trendlyne.com/equity/764/KPRMILL/kpr-mill-ltd/</t>
  </si>
  <si>
    <t>https://trendlyne.com/equity/4984/LAURUSLABS/laurus-labs-ltd/</t>
  </si>
  <si>
    <t>https://trendlyne.com/equity/81513/LEMONTREE/lemon-tree-hotels-ltd/</t>
  </si>
  <si>
    <t>https://trendlyne.com/equity/460813/LODHA/macrotech-developers-ltd/</t>
  </si>
  <si>
    <t>https://trendlyne.com/equity/818/MAHLIFE/mahindra-lifespace-developers-ltd/</t>
  </si>
  <si>
    <t>https://trendlyne.com/equity/840/MARICO/marico-ltd/</t>
  </si>
  <si>
    <t>https://trendlyne.com/equity/841/MARKSANS/marksans-pharma-ltd/</t>
  </si>
  <si>
    <t>https://trendlyne.com/equity/842/MARUTI/maruti-suzuki-india-ltd/</t>
  </si>
  <si>
    <t>https://trendlyne.com/equity/750564/METROBRAND/metro-brands-ltd/</t>
  </si>
  <si>
    <t>https://trendlyne.com/equity/863/MINDACORP/minda-corporation-ltd/</t>
  </si>
  <si>
    <t>https://trendlyne.com/equity/878/MOTHERSON/samvardhana-motherson-international-ltd/</t>
  </si>
  <si>
    <t>https://trendlyne.com/equity/881/MPHASIS/mphasis-ltd/</t>
  </si>
  <si>
    <t>https://trendlyne.com/equity/897/MUTHOOTFIN/muthoot-finance-ltd/</t>
  </si>
  <si>
    <t>https://trendlyne.com/equity/908/NATCOPHARM/natco-pharma-ltd/</t>
  </si>
  <si>
    <t>https://trendlyne.com/equity/913/NAUKRI/info-edge-india-ltd/</t>
  </si>
  <si>
    <t>https://trendlyne.com/equity/1544933/NETWEB/netweb-technologies-india-ltd/</t>
  </si>
  <si>
    <t>https://trendlyne.com/equity/938/NHPC/nhpc-ltd/</t>
  </si>
  <si>
    <t>https://trendlyne.com/equity/943/NILKAMAL/nilkamal-ltd/</t>
  </si>
  <si>
    <t>https://trendlyne.com/equity/935/NLCINDIA/nlc-india-ltd/</t>
  </si>
  <si>
    <t>https://trendlyne.com/equity/959/NTPC/ntpc-ltd/</t>
  </si>
  <si>
    <t>https://trendlyne.com/equity/705188/NYKAA/fsn-e-commerce-ventures-ltd/</t>
  </si>
  <si>
    <t>https://trendlyne.com/equity/962/OBEROIRLTY/oberoi-realty-ltd/</t>
  </si>
  <si>
    <t>https://trendlyne.com/equity/872/MOIL/moil-ltd/</t>
  </si>
  <si>
    <t>https://trendlyne.com/equity/974/ONGC/oil-and-natural-gas-corporation-ltd/</t>
  </si>
  <si>
    <t>https://trendlyne.com/equity/980/ORCHPHARMA/orchid-pharma-ltd/</t>
  </si>
  <si>
    <t>https://trendlyne.com/equity/94299/ORIENTELEC/orient-electric-ltd/</t>
  </si>
  <si>
    <t>https://trendlyne.com/equity/990/ORISSAMINE/the-orissa-minerals-development-company-ltd/</t>
  </si>
  <si>
    <t>https://trendlyne.com/equity/1007/PARASPETRO/paras-petrofils-ltd/</t>
  </si>
  <si>
    <t>https://trendlyne.com/equity/1027/PFIZER/pfizer-ltd/</t>
  </si>
  <si>
    <t>https://trendlyne.com/equity/858/PGHL/procter-gamble-health-ltd/</t>
  </si>
  <si>
    <t>https://trendlyne.com/equity/1038/PIIND/pi-industries-ltd/</t>
  </si>
  <si>
    <t>https://trendlyne.com/equity/2072/PIXTRANS/pix-transmissions-ltd/</t>
  </si>
  <si>
    <t>https://trendlyne.com/equity/710819/POLICYBZR/pb-fintech-ltd/</t>
  </si>
  <si>
    <t>https://trendlyne.com/equity/813/POONAWALLA/poonawalla-fincorp-ltd/</t>
  </si>
  <si>
    <t>https://trendlyne.com/equity/1057/POWERGRID/power-grid-corporation-of-india-ltd/</t>
  </si>
  <si>
    <t>https://trendlyne.com/equity/1093348/PPLPHARMA/piramal-pharma-ltd/</t>
  </si>
  <si>
    <t>https://trendlyne.com/equity/1061/PRAJIND/praj-industries-ltd/</t>
  </si>
  <si>
    <t>https://trendlyne.com/equity/1087/PVRINOX/pvr-inox-ltd/</t>
  </si>
  <si>
    <t>https://trendlyne.com/equity/424520/RAILTEL/railtel-corporation-of-india-ltd/</t>
  </si>
  <si>
    <t>https://trendlyne.com/equity/1114/RATNAMANI/ratnamani-metals-tubes-ltd/</t>
  </si>
  <si>
    <t>https://trendlyne.com/equity/1118/RCOM/reliance-communications-ltd/</t>
  </si>
  <si>
    <t>https://trendlyne.com/equity/2793/RITESHIN/ritesh-international-ltd/</t>
  </si>
  <si>
    <t>https://trendlyne.com/equity/1131322/RUSTOMJEE/keystone-realtors-ltd/</t>
  </si>
  <si>
    <t>https://trendlyne.com/equity/1163/SAGCEM/sagar-cements-ltd/</t>
  </si>
  <si>
    <t>https://trendlyne.com/equity/1165/SAIL/steel-authority-of-india-sail-ltd/</t>
  </si>
  <si>
    <t>https://trendlyne.com/equity/1182/SANOFI/sanofi-india-ltd/</t>
  </si>
  <si>
    <t>https://trendlyne.com/equity/60957/SBILIFE/sbi-life-insurance-company-ltd/</t>
  </si>
  <si>
    <t>https://trendlyne.com/equity/1193/SBIN/state-bank-of-india/</t>
  </si>
  <si>
    <t>https://trendlyne.com/equity/406/SCHAEFFLER/schaeffler-india-ltd/</t>
  </si>
  <si>
    <t>https://trendlyne.com/equity/1525832/SENCO/senco-gold-ltd/</t>
  </si>
  <si>
    <t>https://trendlyne.com/equity/4957/SFL/sheela-foam-ltd/</t>
  </si>
  <si>
    <t>https://trendlyne.com/equity/1225/SHOPERSTOP/shoppers-stop-ltd/</t>
  </si>
  <si>
    <t>https://trendlyne.com/equity/1237/SIEMENS/siemens-ltd/</t>
  </si>
  <si>
    <t>https://trendlyne.com/equity/1263/SOLARINDS/solar-industries-india-ltd/</t>
  </si>
  <si>
    <t>https://trendlyne.com/equity/1322/SPLPETRO/supreme-petrochem-ltd/</t>
  </si>
  <si>
    <t>https://trendlyne.com/equity/1311/SUNDARMFIN/sundaram-finance-ltd/</t>
  </si>
  <si>
    <t>https://trendlyne.com/equity/1313/SUNDRMFAST/sundram-fasteners-ltd/</t>
  </si>
  <si>
    <t>https://trendlyne.com/equity/1316/SUNPHARMA/sun-pharmaceutical-industries-ltd/</t>
  </si>
  <si>
    <t>https://trendlyne.com/equity/1324/SUPREMEIND/supreme-industries-ltd/</t>
  </si>
  <si>
    <t>https://trendlyne.com/equity/1771/SYNGENE/syngene-international-ltd/</t>
  </si>
  <si>
    <t>https://trendlyne.com/equity/1357/TATACOMM/tata-communications-ltd/</t>
  </si>
  <si>
    <t>https://trendlyne.com/equity/1362/TATAMOTORS/tata-motors-ltd/</t>
  </si>
  <si>
    <t>https://trendlyne.com/equity/1363/TATAMTRDVR/tata-motors-limited-dvr/</t>
  </si>
  <si>
    <t>https://trendlyne.com/equity/1364/TATAPOWER/tata-power-company-ltd/</t>
  </si>
  <si>
    <t>https://trendlyne.com/equity/118204/TECHNOE/techno-electric-engineering-company-ltd/</t>
  </si>
  <si>
    <t>https://trendlyne.com/equity/1387/THERMAX/thermax-ltd/</t>
  </si>
  <si>
    <t>https://trendlyne.com/equity/1399/TIMKEN/timken-india-ltd/</t>
  </si>
  <si>
    <t>https://trendlyne.com/equity/1410/TORNTPOWER/torrent-power-ltd/</t>
  </si>
  <si>
    <t>https://trendlyne.com/equity/1437/UBL/united-breweries-ltd/</t>
  </si>
  <si>
    <t>https://trendlyne.com/equity/1443/ULTRACEMCO/ultratech-cement-ltd/</t>
  </si>
  <si>
    <t>https://trendlyne.com/equity/864/UNOMINDA/uno-minda-ltd/</t>
  </si>
  <si>
    <t>https://trendlyne.com/equity/1456/USHAMART/usha-martin-ltd/</t>
  </si>
  <si>
    <t>https://trendlyne.com/equity/1476/VGUARD/v-guard-industries-ltd/</t>
  </si>
  <si>
    <t>https://trendlyne.com/equity/1484/VIMTALABS/vimta-labs-ltd/</t>
  </si>
  <si>
    <t>https://trendlyne.com/equity/1488/VIPIND/vip-industries-ltd/</t>
  </si>
  <si>
    <t>https://trendlyne.com/equity/1500/VOLTAS/voltas-ltd/</t>
  </si>
  <si>
    <t>https://trendlyne.com/equity/1688/VRLLOG/vrl-logistics-ltd/</t>
  </si>
  <si>
    <t>https://trendlyne.com/equity/1521/WHIRLPOOL/whirlpool-of-india-ltd/</t>
  </si>
  <si>
    <t>https://trendlyne.com/equity/1565404/YATHARTH/yatharth-hospital-trauma-care-services-ltd/</t>
  </si>
  <si>
    <t>https://trendlyne.com/equity/1537/ZEEL/zee-entertainment-enterprises-ltd/</t>
  </si>
  <si>
    <t>https://trendlyne.com/equity/1544/ZENSARTECH/zensar-technologies-ltd/</t>
  </si>
  <si>
    <t>https://trendlyne.com/equity/1508/ZFCVINDIA/zf-commercial-vehicle-control-systems-india-ltd/</t>
  </si>
  <si>
    <t>VERY ATTRACTIVE</t>
  </si>
  <si>
    <t>The score changed from Strong Buy to Buy on 26th Jul 2023 at Rs 7,431.05</t>
  </si>
  <si>
    <t>Excellent</t>
  </si>
  <si>
    <t>Excellent quality company basis long term financial performance. Largest company in Finance/NBFC sector</t>
  </si>
  <si>
    <t>VERY EXPENSIVE</t>
  </si>
  <si>
    <t xml:space="preserve"> Bajaj Finserv Limited</t>
  </si>
  <si>
    <t>Government Of Singapore - E</t>
  </si>
  <si>
    <t>Good quality company basis long term financial performance. Size - Ranks 14th out of 160 companies in Pharma sector</t>
  </si>
  <si>
    <t>STRONG SELL</t>
  </si>
  <si>
    <t>The score changed from Hold to Buy on 10th Aug 2023 at Rs 4,143.90</t>
  </si>
  <si>
    <t>Good quality company basis long term financial performance. Size - Ranks 10th out of 160 companies in Pharma sector</t>
  </si>
  <si>
    <t xml:space="preserve"> Sarandhar Singh*</t>
  </si>
  <si>
    <t>please Refer Notes</t>
  </si>
  <si>
    <t>Dsp Midcap Fund</t>
  </si>
  <si>
    <t>The score changed from Hold to Buy on 28th Jul 2023 at Rs 781.00</t>
  </si>
  <si>
    <t>Good quality company basis long term financial performance. Size - Ranks 22nd out of 160 companies in Pharma sector</t>
  </si>
  <si>
    <t xml:space="preserve"> Nirayu Limited</t>
  </si>
  <si>
    <t>The score changed from Strong Buy to Buy on 18th Jul 2023 at Rs 1,677.20</t>
  </si>
  <si>
    <t>Excellent quality company basis long term financial performance. Largest company in Private Banks sector</t>
  </si>
  <si>
    <t>FIIs</t>
  </si>
  <si>
    <t>Sbi Nifty 50 Etf</t>
  </si>
  <si>
    <t>Mildly Bearish</t>
  </si>
  <si>
    <t>Aditya Bir. Fas. turned Mildly Bearish from Bearish on 08 Aug 2023 at Rs 201.95</t>
  </si>
  <si>
    <t>Aegis Logistics turned Mildly Bearish from Sideways on 17 Aug 2023 at Rs 353.15</t>
  </si>
  <si>
    <t>AGI Greenpac turned Bullish from Mildly Bullish on 16 Aug 2023 at Rs 684.45</t>
  </si>
  <si>
    <t>Ajanta Pharma turned Bullish from Mildly Bullish on 25 May 2023 at Rs 1,290.25</t>
  </si>
  <si>
    <t>https://www.marketsmojo.com/Stocks?StockId=376799&amp;Exchange=0</t>
  </si>
  <si>
    <t>https://www.marketsmojo.com/Stocks?StockId=732927&amp;Exchange=0</t>
  </si>
  <si>
    <t>https://www.marketsmojo.com/Stocks?StockId=591083&amp;Exchange=0</t>
  </si>
  <si>
    <t>https://www.marketsmojo.com/Stocks?StockId=178818&amp;Exchange=0</t>
  </si>
  <si>
    <t>Alkem Lab turned Bullish from Mildly Bullish on 12 Jul 2023 at Rs 3,529.35</t>
  </si>
  <si>
    <t>Alembic Pharma turned Bullish from Mildly Bullish on 27 Jul 2023 at Rs 732.15</t>
  </si>
  <si>
    <t>Yes</t>
  </si>
  <si>
    <t>since 8 months 14 days</t>
  </si>
  <si>
    <t>Mildly Bullish</t>
  </si>
  <si>
    <t>HDFC Bank turned Mildly Bullish from Bullish on 02 Aug 2023 at Rs 1,640.90</t>
  </si>
  <si>
    <t>https://www.marketsmojo.com/Stocks?StockId=1000019&amp;Exchange=0</t>
  </si>
  <si>
    <t>https://www.marketsmojo.com/Stocks?StockId=807696&amp;Exchange=0</t>
  </si>
  <si>
    <t>https://www.marketsmojo.com/Stocks?StockId=592009&amp;Exchange=0</t>
  </si>
  <si>
    <t>Technical Recommendated</t>
  </si>
  <si>
    <t>The score changed from Hold to Sell on 12th Jun 2023 at Rs 580.85</t>
  </si>
  <si>
    <t>Sideways</t>
  </si>
  <si>
    <t>Archean Chemical turned Sideways from Mildly Bearish on 17 Aug 2023 at Rs 563.05</t>
  </si>
  <si>
    <t>Good quality company basis long term financial performance.</t>
  </si>
  <si>
    <t xml:space="preserve"> Chemikas Speciality Llp</t>
  </si>
  <si>
    <t>Sbi Small Cap Fund</t>
  </si>
  <si>
    <t>The score changed from Hold to Buy on 20th Jul 2023 at Rs 2,899.30</t>
  </si>
  <si>
    <t>Indiamart Inter. turned Bullish from Mildly Bullish on 04 Aug 2023 at Rs 3,123.55</t>
  </si>
  <si>
    <t>Excellent quality company basis long term financial performance. Size - Ranks 12th out of 149 companies in IT - Software sector</t>
  </si>
  <si>
    <t xml:space="preserve"> Dinesh Chandra Agarwal</t>
  </si>
  <si>
    <t>Arisaig Asia Fund Limited</t>
  </si>
  <si>
    <t>The score changed from Buy to Hold on 12th Jan 2023 at Rs 754.80</t>
  </si>
  <si>
    <t>Anand Rathi Wea. turned Bullish from Mildly Bullish on 20 Jul 2023 at Rs 1,033.65</t>
  </si>
  <si>
    <t>Average quality company basis long term financial performance.</t>
  </si>
  <si>
    <t xml:space="preserve"> Anand Rathi Financial Services Limited</t>
  </si>
  <si>
    <t>Supriya Rathi</t>
  </si>
  <si>
    <t>since 24 days</t>
  </si>
  <si>
    <t>The score changed from Buy to Strong Buy on 15th Jun 2023 at Rs 1,312.15</t>
  </si>
  <si>
    <t>APL Apollo Tubes turned Bullish from Mildly Bullish on 14 Jun 2023 at Rs 1,349.10</t>
  </si>
  <si>
    <t>Excellent quality company basis long term financial performance. Size - Ranks 3rd out of 104 companies in Iron and Steel sector</t>
  </si>
  <si>
    <t>Non Institution</t>
  </si>
  <si>
    <t xml:space="preserve"> Apl Infrastructure Private Limited</t>
  </si>
  <si>
    <t>Kitara Piin 1001</t>
  </si>
  <si>
    <t>The score changed from Hold to Sell on 27th Jul 2023 at Rs 125.90</t>
  </si>
  <si>
    <t>Arvind Ltd turned Bullish from Mildly Bullish on 16 Aug 2023 at Rs 153.10</t>
  </si>
  <si>
    <t>Below Average quality company basis long term financial performance. Size - Ranks 13th out of 288 companies in Textile sector</t>
  </si>
  <si>
    <t xml:space="preserve"> Aura Securities Private Limited</t>
  </si>
  <si>
    <t>Quant Mutual Fund - Quant Small Cap Fund</t>
  </si>
  <si>
    <t>The score changed from Sell to Strong Sell on 05th Jun 2023 at Rs 1,410.15</t>
  </si>
  <si>
    <t>Astec Lifescienc turned Mildly Bearish from Bearish on 09 Aug 2023 at Rs 1,356.00</t>
  </si>
  <si>
    <t>Average quality company basis long term financial performance. Size - Ranks 9th out of 22 companies in Pesticides &amp; Agrochem sector</t>
  </si>
  <si>
    <t>Very Negative</t>
  </si>
  <si>
    <t xml:space="preserve"> Godrej Agrovet Limited</t>
  </si>
  <si>
    <t>Icici Prudential Multicap Fund</t>
  </si>
  <si>
    <t>since 1 month 7 days</t>
  </si>
  <si>
    <t>The score changed from Hold to Buy on 22nd May 2023 at Rs 1,676.95</t>
  </si>
  <si>
    <t>Astral turned Bullish from Mildly Bullish on 12 Jul 2023 at Rs 1,839.85</t>
  </si>
  <si>
    <t>Excellent quality company basis long term financial performance. Second largest company in Plastic Products sector</t>
  </si>
  <si>
    <t xml:space="preserve"> Sandeep Pravinbhai Engineer</t>
  </si>
  <si>
    <t>Axis Mutual Fund Trustee Limited A/c Axis Mutual Fund A/c Axis Long Term Equity Fund</t>
  </si>
  <si>
    <t>The score changed from Strong Sell to Sell on 17th Jul 2023 at Rs 6,602.80</t>
  </si>
  <si>
    <t>Atul turned Mildly Bearish from Bearish on 31 Jul 2023 at Rs 6,787.30</t>
  </si>
  <si>
    <t>Good quality company basis long term financial performance. Size - Ranks 6th out of 141 companies in Chemicals sector</t>
  </si>
  <si>
    <t xml:space="preserve"> Aagam Holdings Private Limited</t>
  </si>
  <si>
    <t>The score changed from Sell to Hold on 08th May 2023 at Rs 618.90</t>
  </si>
  <si>
    <t>Aurobindo Pharma turned Bullish from Mildly Bullish on 08 May 2023 at Rs 618.90</t>
  </si>
  <si>
    <t>Good quality company basis long term financial performance. Size - Ranks 7th out of 160 companies in Pharma sector</t>
  </si>
  <si>
    <t xml:space="preserve"> Rpr Sons Advisors Private Limited, Mrs.p.suneela Rani</t>
  </si>
  <si>
    <t>jointly Holding</t>
  </si>
  <si>
    <t>The score changed from Hold to Buy on 10th Aug 2023 at Rs 939.65</t>
  </si>
  <si>
    <t>Axis Bank turned Mildly Bullish from Bullish on 02 Aug 2023 at Rs 945.65</t>
  </si>
  <si>
    <t>Good quality company basis long term financial performance. Size - Ranks 4th out of 18 companies in Private Banks sector</t>
  </si>
  <si>
    <t>ATTRACTIVE</t>
  </si>
  <si>
    <t xml:space="preserve"> Life Insurance Corporation Of India</t>
  </si>
  <si>
    <t>Sbi Large &amp; Midcap Fund</t>
  </si>
  <si>
    <t>Bajaj Finance turned Mildly Bullish from Bullish on 02 Aug 2023 at Rs 7,202.40</t>
  </si>
  <si>
    <t>The score changed from Hold to Sell on 18th Aug 2023 at Rs 385.20</t>
  </si>
  <si>
    <t>Balrampur Chini turned Sideways from Mildly Bullish on 18 Aug 2023 at Rs 385.20</t>
  </si>
  <si>
    <t>Average quality company basis long term financial performance. Second largest company in Sugar sector</t>
  </si>
  <si>
    <t xml:space="preserve"> Vivek Saraogi</t>
  </si>
  <si>
    <t>Nippon Life India Trustee Ltd-a/c</t>
  </si>
  <si>
    <t xml:space="preserve">under Various Funds </t>
  </si>
  <si>
    <t>The score changed from Buy to Strong Buy on 10th Aug 2023 at Rs 191.85</t>
  </si>
  <si>
    <t>Bank Of Baroda turned Mildly Bullish from Bullish on 09 Aug 2023 at Rs 194.00</t>
  </si>
  <si>
    <t>Good quality company basis long term financial performance. Second largest company in Public Banks sector</t>
  </si>
  <si>
    <t>Very Positive</t>
  </si>
  <si>
    <t xml:space="preserve"> President Of India</t>
  </si>
  <si>
    <t>Lici Health Plus Non Unit Fund</t>
  </si>
  <si>
    <t>The score changed from Sell to Hold on 17th Jul 2023 at Rs 1,692.15</t>
  </si>
  <si>
    <t>Bata India turned Mildly Bullish from Bullish on 08 Aug 2023 at Rs 1,755.80</t>
  </si>
  <si>
    <t>Good quality company basis long term financial performance. Second largest company in Consumer durables sector</t>
  </si>
  <si>
    <t xml:space="preserve"> Bata</t>
  </si>
  <si>
    <t>bn B V</t>
  </si>
  <si>
    <t>The score changed from Buy to Hold on 14th Aug 2023 at Rs 4,711.85</t>
  </si>
  <si>
    <t>Bayer Crop Sci. turned Mildly Bullish from Bullish on 18 Aug 2023 at Rs 4,737.05</t>
  </si>
  <si>
    <t>Good quality company basis long term financial performance. Size - Ranks 3rd out of 22 companies in Pesticides &amp; Agrochem sector</t>
  </si>
  <si>
    <t xml:space="preserve"> Bayer Vapi Private Limited</t>
  </si>
  <si>
    <t>Aditya Birla Sun Life Trustee Private Limited A/c Aditya Birla Sun Life Tax Relief 96</t>
  </si>
  <si>
    <t>The score changed from Buy to Strong Buy on 11th Jul 2023 at Rs 829.20</t>
  </si>
  <si>
    <t>Mrs Bectors turned Bullish from Mildly Bullish on 11 Jul 2023 at Rs 829.20</t>
  </si>
  <si>
    <t>Excellent quality company basis long term financial performance.</t>
  </si>
  <si>
    <t>Outstanding</t>
  </si>
  <si>
    <t xml:space="preserve"> Anoop Bector</t>
  </si>
  <si>
    <t>Sbi Multicap Fund</t>
  </si>
  <si>
    <t>The score changed from Hold to Buy on 11th Jul 2023 at Rs 127.40</t>
  </si>
  <si>
    <t>Bharat Electron turned Bullish from Mildly Bullish on 11 Jul 2023 at Rs 127.40</t>
  </si>
  <si>
    <t>Good quality company basis long term financial performance. Second largest company in Defence sector</t>
  </si>
  <si>
    <t>Cpse Exchange Traded Scheme</t>
  </si>
  <si>
    <t xml:space="preserve">cpse Etf </t>
  </si>
  <si>
    <t>The score changed from Hold to Buy on 14th Aug 2023 at Rs 866.80</t>
  </si>
  <si>
    <t>Bharti Airtel turned Mildly Bullish from Bullish on 16 Aug 2023 at Rs 857.00</t>
  </si>
  <si>
    <t>Average quality company basis long term financial performance. Largest company in Telecom - Provider sector</t>
  </si>
  <si>
    <t xml:space="preserve"> Bharti Telecom Limited</t>
  </si>
  <si>
    <t>Lici Gratuity Plus Growth Fund</t>
  </si>
  <si>
    <t>The score changed from Hold to Sell on 04th Aug 2023 at Rs 98.95</t>
  </si>
  <si>
    <t>BHEL turned Bullish from Mildly Bullish on 27 Apr 2023 at Rs 77.30</t>
  </si>
  <si>
    <t>Average quality company basis long term financial performance. Second largest company in Electric Equipment sector</t>
  </si>
  <si>
    <t>The score changed from Sell to Hold on 17th Jul 2023 at Rs 430.60</t>
  </si>
  <si>
    <t>Bikaji Foods turned Mildly Bullish from Sideways on 19 Jul 2023 at Rs 449.10</t>
  </si>
  <si>
    <t xml:space="preserve"> Shiv Ratan Agarwal</t>
  </si>
  <si>
    <t>The score changed from Hold to Sell on 14th Aug 2023 at Rs 6,371.20</t>
  </si>
  <si>
    <t>Blue Dart Expres turned Mildly Bullish from Mildly Bearish on 01 Aug 2023 at Rs 6,614.70</t>
  </si>
  <si>
    <t>Good quality company basis long term financial performance. Second largest company in Logistics sector</t>
  </si>
  <si>
    <t xml:space="preserve"> Dhl Express</t>
  </si>
  <si>
    <t>singapore Pte Ltd.</t>
  </si>
  <si>
    <t>Icici Prudential Life Insurance Company Limited</t>
  </si>
  <si>
    <t>The score changed from Buy to Hold on 17th Aug 2023 at Rs 743.80</t>
  </si>
  <si>
    <t>Blue Star turned Mildly Bullish from Bullish on 02 Aug 2023 at Rs 774.60</t>
  </si>
  <si>
    <t>Good quality company basis long term financial performance. Second largest company in Air Conditioners sector</t>
  </si>
  <si>
    <t xml:space="preserve"> Vistra Itcl</t>
  </si>
  <si>
    <t>india Limited As A Trustee Of Ashok M Advani Family Private Trust</t>
  </si>
  <si>
    <t>The score changed from Buy to Hold on 25th Jul 2023 at Rs 19,024.45</t>
  </si>
  <si>
    <t>Bosch turned Mildly Bullish from Bullish on 27 Jul 2023 at Rs 18,875.85</t>
  </si>
  <si>
    <t>Good quality company basis long term financial performance. Second largest company in Auto Anc sector</t>
  </si>
  <si>
    <t xml:space="preserve"> Robert Bosch Internationale Beteiligungen Ag</t>
  </si>
  <si>
    <t>General Insurance Corporation Of India</t>
  </si>
  <si>
    <t>The score changed from Strong Buy to Buy on 02nd Aug 2023 at Rs 369.20</t>
  </si>
  <si>
    <t>B P C L turned Mildly Bullish from Bullish on 02 Aug 2023 at Rs 369.20</t>
  </si>
  <si>
    <t>Good quality company basis long term financial performance. Size - Ranks 4th out of 19 companies in Oil Exploration/Refineries sector</t>
  </si>
  <si>
    <t>Bpcl Trust For Investment</t>
  </si>
  <si>
    <t>The score changed from Hold to Buy on 27th Jul 2023 at Rs 402.10</t>
  </si>
  <si>
    <t>Birlasoft Ltd turned Bullish from Mildly Bullish on 11 Jul 2023 at Rs 355.15</t>
  </si>
  <si>
    <t xml:space="preserve"> National Engineering Industries Limited</t>
  </si>
  <si>
    <t>Axis Mutual Fund Trustee Limited A/c Axis Mutual Fund A/c Axis Small Cap Fund</t>
  </si>
  <si>
    <t>The score changed from Strong Buy to Buy on 08th Aug 2023 at Rs 338.80</t>
  </si>
  <si>
    <t>Canara Bank turned Bullish from Mildly Bullish on 03 Jul 2023 at Rs 318.40</t>
  </si>
  <si>
    <t>Average quality company basis long term financial performance. Size - Ranks 7th out of 13 companies in Public Banks sector</t>
  </si>
  <si>
    <t>Lic Of India</t>
  </si>
  <si>
    <t>The score changed from Sell to Hold on 12th Jun 2023 at Rs 806.75</t>
  </si>
  <si>
    <t>Century Textiles turned Mildly Bullish from Bullish on 14 Aug 2023 at Rs 1,007.20</t>
  </si>
  <si>
    <t xml:space="preserve"> Pilani Investment And Industries Corporation Limited</t>
  </si>
  <si>
    <t>Aditya Birla Sun Life Trustee Private Limited A/c Aditya Birla Sun Life Flexi Cap Fund</t>
  </si>
  <si>
    <t>The score changed from Hold to Buy on 07th Aug 2023 at Rs 232.85</t>
  </si>
  <si>
    <t>Coal India turned Mildly Bullish from Sideways on 01 Aug 2023 at Rs 240.35</t>
  </si>
  <si>
    <t>Excellent quality company basis long term financial performance. Largest company in Mining &amp; Minerals sector</t>
  </si>
  <si>
    <t xml:space="preserve"> The President Of India Acting Through Ministry Of Coal</t>
  </si>
  <si>
    <t>The score changed from Sell to Hold on 29th May 2023 at Rs 1,605.90</t>
  </si>
  <si>
    <t>Colgate-Palmoliv turned Bullish from Mildly Bullish on 04 Jul 2023 at Rs 1,705.40</t>
  </si>
  <si>
    <t>Good quality company basis long term financial performance. Size - Ranks 8th out of 85 companies in FMCG sector</t>
  </si>
  <si>
    <t xml:space="preserve"> Colgate-palmolive Company</t>
  </si>
  <si>
    <t>The score changed from Sell to Hold on 10th Aug 2023 at Rs 696.50</t>
  </si>
  <si>
    <t>Container Corpn. turned Mildly Bullish from Sideways on 10 Aug 2023 at Rs 696.50</t>
  </si>
  <si>
    <t>Good quality company basis long term financial performance. Largest company in Logistics sector</t>
  </si>
  <si>
    <t xml:space="preserve"> President Of India Ministry Of Railways</t>
  </si>
  <si>
    <t>Kotak Flexicap Fund</t>
  </si>
  <si>
    <t>The score changed from Strong Buy to Buy on 28th Jul 2023 at Rs 979.75</t>
  </si>
  <si>
    <t>Coromandel Inter turned Bullish from Mildly Bullish on 26 Jul 2023 at Rs 992.60</t>
  </si>
  <si>
    <t>Excellent quality company basis long term financial performance. Largest company in Fertilizers sector</t>
  </si>
  <si>
    <t xml:space="preserve"> E.i.d.parry</t>
  </si>
  <si>
    <t>india Limited</t>
  </si>
  <si>
    <t>Kotak Mahindra Trustee Co Ltd A/c Kotak Manufactur</t>
  </si>
  <si>
    <t>The score changed from Hold to Buy on 07th Aug 2023 at Rs 4,665.15</t>
  </si>
  <si>
    <t>Craftsman Auto turned Bullish from Mildly Bullish on 14 Aug 2023 at Rs 4,784.90</t>
  </si>
  <si>
    <t xml:space="preserve"> Ravi S</t>
  </si>
  <si>
    <t>International Finance Corporation</t>
  </si>
  <si>
    <t>The score changed from Hold to Buy on 16th Aug 2023 at Rs 1,397.25</t>
  </si>
  <si>
    <t>CreditAcc. Gram. turned Mildly Bullish from Bullish on 18 Aug 2023 at Rs 1,369.05</t>
  </si>
  <si>
    <t>Average quality company basis long term financial performance. Size - Ranks 20th out of 565 companies in Finance/NBFC sector</t>
  </si>
  <si>
    <t xml:space="preserve"> Creditaccess India B.v.</t>
  </si>
  <si>
    <t>Spark Institutional Equities Pvt Ltd</t>
  </si>
  <si>
    <t>The score changed from Buy to Hold on 16th Aug 2023 at Rs 1,528.60</t>
  </si>
  <si>
    <t>Cyient turned Bullish from Mildly Bullish on 18 Aug 2023 at Rs 1,543.40</t>
  </si>
  <si>
    <t>Good quality company basis long term financial performance. Size - Ranks 13th out of 149 companies in IT - Software sector</t>
  </si>
  <si>
    <t xml:space="preserve"> Vineyard Point Software Private Limited</t>
  </si>
  <si>
    <t>Amansa Holdings Private Limited</t>
  </si>
  <si>
    <t>The score changed from Hold to Buy on 11th Jul 2023 at Rs 129.05</t>
  </si>
  <si>
    <t>L T Foods turned Bullish from Mildly Bullish on 14 Jul 2023 at Rs 133.45</t>
  </si>
  <si>
    <t>Average quality company basis long term financial performance. Second largest company in Rice &amp; Rice Processing sector</t>
  </si>
  <si>
    <t xml:space="preserve"> Raghuvesh Holdings Private Limited</t>
  </si>
  <si>
    <t>Salic International Investment Company</t>
  </si>
  <si>
    <t>The score changed from Sell to Hold on 11th Jul 2023 at Rs 581.35</t>
  </si>
  <si>
    <t>Dabur India turned Mildly Bullish from Bullish on 11 Aug 2023 at Rs 563.30</t>
  </si>
  <si>
    <t>Good quality company basis long term financial performance. Size - Ranks 6th out of 85 companies in FMCG sector</t>
  </si>
  <si>
    <t xml:space="preserve"> Vic Enterprises Private Limited</t>
  </si>
  <si>
    <t>owned By Mr. V C Burman</t>
  </si>
  <si>
    <t>Lici Ulip-growth Fund</t>
  </si>
  <si>
    <t>The score changed from Hold to Sell on 21st Jul 2023 at Rs 1,921.30</t>
  </si>
  <si>
    <t>Dalmia BharatLtd turned Sideways from Mildly Bullish on 17 Aug 2023 at Rs 1,903.60</t>
  </si>
  <si>
    <t>Average quality company basis long term financial performance. Size - Ranks 6th out of 36 companies in Cement sector</t>
  </si>
  <si>
    <t xml:space="preserve"> Mayuka Investment Limited*</t>
  </si>
  <si>
    <t>Dharti Commercial Trading Private Limited</t>
  </si>
  <si>
    <t>The score changed from Hold to Sell on 31st Jul 2023 at Rs 200.25</t>
  </si>
  <si>
    <t>Delta Corp turned Mildly Bearish from Sideways on 14 Aug 2023 at Rs 182.20</t>
  </si>
  <si>
    <t>Average quality company basis long term financial performance. Size - Ranks 6th out of 54 companies in Hotels sector</t>
  </si>
  <si>
    <t xml:space="preserve"> Aditi Mody Family Private Limited</t>
  </si>
  <si>
    <t>Hdfc Small Cap Fund</t>
  </si>
  <si>
    <t>The score changed from Buy to Hold on 25th Jul 2023 at Rs 774.75</t>
  </si>
  <si>
    <t>Dhanuka Agritech turned Mildly Bullish from Bullish on 18 Aug 2023 at Rs 771.35</t>
  </si>
  <si>
    <t>Good quality company basis long term financial performance. Size - Ranks 8th out of 22 companies in Pesticides &amp; Agrochem sector</t>
  </si>
  <si>
    <t xml:space="preserve"> Triveni Trust</t>
  </si>
  <si>
    <t>mahendra Kumar Dhanuka</t>
  </si>
  <si>
    <t>Dsp Small Cap Fund, Dsp Midcap Fund,dsp India T.i.g.e.r. Fund</t>
  </si>
  <si>
    <t>The score changed from Sell to Hold on 10th Jul 2023 at Rs 502.00</t>
  </si>
  <si>
    <t>DLF turned Mildly Bullish from Bullish on 07 Aug 2023 at Rs 489.00</t>
  </si>
  <si>
    <t>Average quality company basis long term financial performance. Largest company in Real Estate sector</t>
  </si>
  <si>
    <t xml:space="preserve"> Rajdhani Investments And Agencies Private Limited</t>
  </si>
  <si>
    <t>Invesco Global Fund</t>
  </si>
  <si>
    <t>since 4 months 19 days</t>
  </si>
  <si>
    <t>The score changed from Buy to Strong Buy on 26th Jul 2023 at Rs 5,476.50</t>
  </si>
  <si>
    <t>Dr Reddy's Labs turned Bullish from Mildly Bullish on 15 Jun 2023 at Rs 4,804.75</t>
  </si>
  <si>
    <t>Good quality company basis long term financial performance. Size - Ranks 3rd out of 160 companies in Pharma sector</t>
  </si>
  <si>
    <t xml:space="preserve"> Aps Trust</t>
  </si>
  <si>
    <t>J P Morgan Chase Bank Na</t>
  </si>
  <si>
    <t>The score changed from Buy to Hold on 09th Aug 2023 at Rs 515.60</t>
  </si>
  <si>
    <t>Emami turned Bullish from Mildly Bullish on 04 Aug 2023 at Rs 449.55</t>
  </si>
  <si>
    <t>Good quality company basis long term financial performance. Size - Ranks 11th out of 85 companies in FMCG sector</t>
  </si>
  <si>
    <t xml:space="preserve"> Suraj Finvest</t>
  </si>
  <si>
    <t>Dsp Dynamic Asset Allocation Fund</t>
  </si>
  <si>
    <t>The score changed from Strong Buy to Buy on 31st May 2023 at Rs 110.82</t>
  </si>
  <si>
    <t>Engineers India turned Bullish from Mildly Bullish on 03 May 2023 at Rs 94.97</t>
  </si>
  <si>
    <t>Good quality company basis long term financial performance. Size - Ranks 6th out of 105 companies in Engineering sector</t>
  </si>
  <si>
    <t>Dsp Small Cap Fund</t>
  </si>
  <si>
    <t>The score changed from Hold to Buy on 02nd Aug 2023 at Rs 2,601.05</t>
  </si>
  <si>
    <t>Escorts Kubota turned Bullish from Mildly Bullish on 10 Jul 2023 at Rs 2,285.90</t>
  </si>
  <si>
    <t>Good quality company basis long term financial performance. Largest company in Auto - Tractor sector</t>
  </si>
  <si>
    <t xml:space="preserve"> Kubota Corporation</t>
  </si>
  <si>
    <t>Hdfc Trustee Company Ltd. A/c Hdfc Focused 30 Fund</t>
  </si>
  <si>
    <t>The score changed from Buy to Hold on 08th May 2023 at Rs 190.50</t>
  </si>
  <si>
    <t>Exide Inds. turned Bullish from Mildly Bullish on 18 Apr 2023 at Rs 186.85</t>
  </si>
  <si>
    <t>Good quality company basis long term financial performance. Largest company in Batteries sector</t>
  </si>
  <si>
    <t xml:space="preserve"> Chloride Eastern Limited</t>
  </si>
  <si>
    <t>Kotak Tax Saver Scheme</t>
  </si>
  <si>
    <t>The score changed from Buy to Hold on 16th Aug 2023 at Rs 132.15</t>
  </si>
  <si>
    <t>Federal Bank turned Sideways from Mildly Bullish on 14 Aug 2023 at Rs 132.95</t>
  </si>
  <si>
    <t>Good quality company basis long term financial performance. Size - Ranks 9th out of 18 companies in Private Banks sector</t>
  </si>
  <si>
    <t>Mutual Funds</t>
  </si>
  <si>
    <t>Hdfc Mutual Fund</t>
  </si>
  <si>
    <t>The score changed from Buy to Hold on 04th Aug 2023 at Rs 338.45</t>
  </si>
  <si>
    <t>Fortis Health. turned Mildly Bullish from Bullish on 17 Aug 2023 at Rs 317.80</t>
  </si>
  <si>
    <t>Average quality company basis long term financial performance. Second largest company in Healthcare Services sector</t>
  </si>
  <si>
    <t xml:space="preserve"> Northern Tk Venture Pte. Ltd.</t>
  </si>
  <si>
    <t>Aditya Birla Sun Life Trustee Private Limited A/c</t>
  </si>
  <si>
    <t>The score changed from Buy to Hold on 30th Jan 2023 at Rs 94.95</t>
  </si>
  <si>
    <t>GAIL (India) turned Bullish from Mildly Bullish on 21 Jul 2023 at Rs 111.45</t>
  </si>
  <si>
    <t>Good quality company basis long term financial performance. Largest company in Gas Transmission/Marketing sector</t>
  </si>
  <si>
    <t>The score changed from Hold to Sell on 14th Aug 2023 at Rs 2,591.00</t>
  </si>
  <si>
    <t>Galaxy Surfact. turned Mildly Bullish from Sideways on 17 Aug 2023 at Rs 2,651.70</t>
  </si>
  <si>
    <t>Good quality company basis long term financial performance. Size - Ranks 12th out of 141 companies in Chemicals sector</t>
  </si>
  <si>
    <t xml:space="preserve"> Unnathan Shekhar</t>
  </si>
  <si>
    <t>The score changed from Buy to Hold on 07th Aug 2023 at Rs 3,222.15</t>
  </si>
  <si>
    <t>Garware Tech. turned Mildly Bullish from Bullish on 03 Aug 2023 at Rs 3,312.50</t>
  </si>
  <si>
    <t>Good quality company basis long term financial performance. Size - Ranks 8th out of 288 companies in Textile sector</t>
  </si>
  <si>
    <t xml:space="preserve"> Garware Capital Markets Limited</t>
  </si>
  <si>
    <t>Kotak Small Cap Fund</t>
  </si>
  <si>
    <t>The score changed from Strong Buy to Buy on 14th Aug 2023 at Rs 732.60</t>
  </si>
  <si>
    <t>GE Shipping Co turned Bullish from Mildly Bullish on 17 Aug 2023 at Rs 771.25</t>
  </si>
  <si>
    <t>Average quality company basis long term financial performance. Largest company in Shipping sector</t>
  </si>
  <si>
    <t xml:space="preserve"> Ravi K. Sheth</t>
  </si>
  <si>
    <t>trustee Of Ge Bks Trust</t>
  </si>
  <si>
    <t>Nalanda India Equity Fund Limited</t>
  </si>
  <si>
    <t>The score changed from Sell to Strong Sell on 16th Aug 2023 at Rs 1,546.35</t>
  </si>
  <si>
    <t>Gland Pharma turned Sideways from Mildly Bearish on 17 Aug 2023 at Rs 1,613.90</t>
  </si>
  <si>
    <t xml:space="preserve"> Fosun Pharma Industrial Pte. Ltd</t>
  </si>
  <si>
    <t>Mirae Asset Emerging Bluechip Fund</t>
  </si>
  <si>
    <t>The score changed from Sell to Hold on 30th Jun 2023 at Rs 1,423.85</t>
  </si>
  <si>
    <t>Glaxosmi. Pharma turned Mildly Bullish from Bullish on 14 Aug 2023 at Rs 1,415.85</t>
  </si>
  <si>
    <t>Good quality company basis long term financial performance. Size - Ranks 13th out of 160 companies in Pharma sector</t>
  </si>
  <si>
    <t xml:space="preserve"> Glaxo Group Limited</t>
  </si>
  <si>
    <t>The score changed from Buy to Hold on 10th Aug 2023 at Rs 1,305.05</t>
  </si>
  <si>
    <t>G R Infraproject turned Mildly Bullish from Bullish on 11 Aug 2023 at Rs 1,283.60</t>
  </si>
  <si>
    <t xml:space="preserve"> Lokesh Builders Pvt Ltd</t>
  </si>
  <si>
    <t>Sbi Magnum Children's Benefit Fund - Investment Pl</t>
  </si>
  <si>
    <t>The score changed from Hold to Buy on 31st Jul 2023 at Rs 1,033.90</t>
  </si>
  <si>
    <t>Hatsun Agro turned Bullish from Mildly Bullish on 04 Aug 2023 at Rs 1,031.35</t>
  </si>
  <si>
    <t>Good quality company basis long term financial performance. Size - Ranks 10th out of 85 companies in FMCG sector</t>
  </si>
  <si>
    <t xml:space="preserve"> Chandramogan R G</t>
  </si>
  <si>
    <t>Sbi Mutual Fund</t>
  </si>
  <si>
    <t>The score changed from Buy to Hold on 17th Jul 2023 at Rs 1,298.35</t>
  </si>
  <si>
    <t>Havells India turned Mildly Bullish from Sideways on 17 Aug 2023 at Rs 1,295.55</t>
  </si>
  <si>
    <t>Good quality company basis long term financial performance. Largest company in Cable sector</t>
  </si>
  <si>
    <t xml:space="preserve"> Qrg Investments And Holdings Limited</t>
  </si>
  <si>
    <t>The score changed from Sell to Hold on 01st Jun 2023 at Rs 1,188.05</t>
  </si>
  <si>
    <t>HEG turned Bullish from Mildly Bullish on 10 Jul 2023 at Rs 1,548.20</t>
  </si>
  <si>
    <t>Good quality company basis long term financial performance. Size - Ranks 3rd out of 10 companies in Electrodes &amp; Welding sector</t>
  </si>
  <si>
    <t xml:space="preserve"> Norbury Investments Limited</t>
  </si>
  <si>
    <t>Mekima Corporation</t>
  </si>
  <si>
    <t>The score changed from Buy to Hold on 17th Aug 2023 at Rs 2,993.60</t>
  </si>
  <si>
    <t>Hero MotoCorp turned Mildly Bullish from Bullish on 17 Aug 2023 at Rs 2,993.60</t>
  </si>
  <si>
    <t>Good quality company basis long term financial performance. Size - Ranks 4th out of 6 companies in Auto - 2 &amp;3 Wheel sector</t>
  </si>
  <si>
    <t xml:space="preserve"> Bahadur Chand Investments Pvt Ltd</t>
  </si>
  <si>
    <t>The score changed from Hold to Sell on 14th Aug 2023 at Rs 67.94</t>
  </si>
  <si>
    <t>HFCL turned Sideways from Mildly Bearish on 16 Aug 2023 at Rs 68.60</t>
  </si>
  <si>
    <t>Average quality company basis long term financial performance. Size - Ranks 4th out of 15 companies in Telecom - Equipment sector</t>
  </si>
  <si>
    <t xml:space="preserve"> Mn Ventures Private Limited</t>
  </si>
  <si>
    <t>Reliance Strategic Business Ventures Limited</t>
  </si>
  <si>
    <t>The score changed from Sell to Hold on 26th Jun 2023 at Rs 116.00</t>
  </si>
  <si>
    <t>Hindustan Copper turned Bullish from Mildly Bullish on 25 Jul 2023 at Rs 124.55</t>
  </si>
  <si>
    <t>Average quality company basis long term financial performance. Size - Ranks 3rd out of 20 companies in Metal - Non Ferrous sector</t>
  </si>
  <si>
    <t>The score changed from Buy to Hold on 22nd Jul 2023 at Rs 2,604.00</t>
  </si>
  <si>
    <t>Hind. Unilever turned Mildly Bullish from Mildly Bearish on 14 Aug 2023 at Rs 2,533.10</t>
  </si>
  <si>
    <t>Excellent quality company basis long term financial performance. Largest company in FMCG sector</t>
  </si>
  <si>
    <t xml:space="preserve"> Unilever Plc</t>
  </si>
  <si>
    <t>Lici Health Plus Fund</t>
  </si>
  <si>
    <t>https://www.marketsmojo.com/Stocks?StockId=1003745&amp;Exchange=0</t>
  </si>
  <si>
    <t>https://www.marketsmojo.com/Stocks?StockId=1003150&amp;Exchange=0</t>
  </si>
  <si>
    <t>https://www.marketsmojo.com/Stocks?StockId=1003577&amp;Exchange=0</t>
  </si>
  <si>
    <t>https://www.marketsmojo.com/Stocks?StockId=361277&amp;Exchange=0</t>
  </si>
  <si>
    <t>https://www.marketsmojo.com/Stocks?StockId=435326&amp;Exchange=0</t>
  </si>
  <si>
    <t>https://www.marketsmojo.com/Stocks?StockId=574204&amp;Exchange=0</t>
  </si>
  <si>
    <t>https://www.marketsmojo.com/Stocks?StockId=349351&amp;Exchange=0</t>
  </si>
  <si>
    <t>https://www.marketsmojo.com/Stocks?StockId=248522&amp;Exchange=0</t>
  </si>
  <si>
    <t>https://www.marketsmojo.com/Stocks?StockId=164981&amp;Exchange=0</t>
  </si>
  <si>
    <t>https://www.marketsmojo.com/Stocks?StockId=112501&amp;Exchange=0</t>
  </si>
  <si>
    <t>https://www.marketsmojo.com/Stocks?StockId=959222&amp;Exchange=0</t>
  </si>
  <si>
    <t>https://www.marketsmojo.com/Stocks?StockId=887786&amp;Exchange=0</t>
  </si>
  <si>
    <t>https://www.marketsmojo.com/Stocks?StockId=824055&amp;Exchange=0</t>
  </si>
  <si>
    <t>https://www.marketsmojo.com/Stocks?StockId=919264&amp;Exchange=0</t>
  </si>
  <si>
    <t>https://www.marketsmojo.com/Stocks?StockId=491198&amp;Exchange=0</t>
  </si>
  <si>
    <t>https://www.marketsmojo.com/Stocks?StockId=1003451&amp;Exchange=0</t>
  </si>
  <si>
    <t>https://www.marketsmojo.com/Stocks?StockId=363433&amp;Exchange=0</t>
  </si>
  <si>
    <t>https://www.marketsmojo.com/Stocks?StockId=468567&amp;Exchange=0</t>
  </si>
  <si>
    <t>https://www.marketsmojo.com/Stocks?StockId=880342&amp;Exchange=0</t>
  </si>
  <si>
    <t>https://www.marketsmojo.com/Stocks?StockId=1003740&amp;Exchange=0</t>
  </si>
  <si>
    <t>https://www.marketsmojo.com/Stocks?StockId=572153&amp;Exchange=0</t>
  </si>
  <si>
    <t>https://www.marketsmojo.com/Stocks?StockId=539868&amp;Exchange=0</t>
  </si>
  <si>
    <t>https://www.marketsmojo.com/Stocks?StockId=180260&amp;Exchange=0</t>
  </si>
  <si>
    <t>https://www.marketsmojo.com/Stocks?StockId=159344&amp;Exchange=0</t>
  </si>
  <si>
    <t>https://www.marketsmojo.com/Stocks?StockId=864957&amp;Exchange=0</t>
  </si>
  <si>
    <t>https://www.marketsmojo.com/Stocks?StockId=954692&amp;Exchange=0</t>
  </si>
  <si>
    <t>https://www.marketsmojo.com/Stocks?StockId=950641&amp;Exchange=0</t>
  </si>
  <si>
    <t>https://www.marketsmojo.com/Stocks?StockId=421555&amp;Exchange=0</t>
  </si>
  <si>
    <t>https://www.marketsmojo.com/Stocks?StockId=118611&amp;Exchange=1</t>
  </si>
  <si>
    <t>https://www.marketsmojo.com/Stocks?StockId=336884&amp;Exchange=0</t>
  </si>
  <si>
    <t>https://www.marketsmojo.com/Stocks?StockId=187595&amp;Exchange=0</t>
  </si>
  <si>
    <t>https://www.marketsmojo.com/Stocks?StockId=1003477&amp;Exchange=0</t>
  </si>
  <si>
    <t>https://www.marketsmojo.com/Stocks?StockId=1003037&amp;Exchange=0</t>
  </si>
  <si>
    <t>https://www.marketsmojo.com/Stocks?StockId=506830&amp;Exchange=0</t>
  </si>
  <si>
    <t>https://www.marketsmojo.com/Stocks?StockId=315485&amp;Exchange=0</t>
  </si>
  <si>
    <t>https://www.marketsmojo.com/Stocks?StockId=171892&amp;Exchange=0</t>
  </si>
  <si>
    <t>https://www.marketsmojo.com/Stocks?StockId=1003091&amp;Exchange=0</t>
  </si>
  <si>
    <t>https://www.marketsmojo.com/Stocks?StockId=561785&amp;Exchange=0</t>
  </si>
  <si>
    <t>https://www.marketsmojo.com/Stocks?StockId=748382&amp;Exchange=0</t>
  </si>
  <si>
    <t>https://www.marketsmojo.com/Stocks?StockId=348479&amp;Exchange=0</t>
  </si>
  <si>
    <t>https://www.marketsmojo.com/Stocks?StockId=734514&amp;Exchange=0</t>
  </si>
  <si>
    <t>https://www.marketsmojo.com/Stocks?StockId=295527&amp;Exchange=0</t>
  </si>
  <si>
    <t>https://www.marketsmojo.com/Stocks?StockId=330885&amp;Exchange=0</t>
  </si>
  <si>
    <t>https://www.marketsmojo.com/Stocks?StockId=282332&amp;Exchange=0</t>
  </si>
  <si>
    <t>https://www.marketsmojo.com/Stocks?StockId=639617&amp;Exchange=0</t>
  </si>
  <si>
    <t>https://www.marketsmojo.com/Stocks?StockId=533514&amp;Exchange=0</t>
  </si>
  <si>
    <t>https://www.marketsmojo.com/Stocks?StockId=970940&amp;Exchange=0</t>
  </si>
  <si>
    <t>https://www.marketsmojo.com/Stocks?StockId=667248&amp;Exchange=0</t>
  </si>
  <si>
    <t>https://www.marketsmojo.com/Stocks?StockId=100894&amp;Exchange=0</t>
  </si>
  <si>
    <t>https://www.marketsmojo.com/Stocks?StockId=924049&amp;Exchange=0</t>
  </si>
  <si>
    <t>https://www.marketsmojo.com/Stocks?StockId=180757&amp;Exchange=0</t>
  </si>
  <si>
    <t>https://www.marketsmojo.com/Stocks?StockId=1003443&amp;Exchange=0</t>
  </si>
  <si>
    <t>https://www.marketsmojo.com/Stocks?StockId=793005&amp;Exchange=0</t>
  </si>
  <si>
    <t>https://www.marketsmojo.com/Stocks?StockId=1003508&amp;Exchange=0</t>
  </si>
  <si>
    <t>https://www.marketsmojo.com/Stocks?StockId=143614&amp;Exchange=0</t>
  </si>
  <si>
    <t>https://www.marketsmojo.com/Stocks?StockId=381936&amp;Exchange=0</t>
  </si>
  <si>
    <t>https://www.marketsmojo.com/Stocks?StockId=212597&amp;Exchange=0</t>
  </si>
  <si>
    <t>https://www.marketsmojo.com/Stocks?StockId=191974&amp;Exchange=0</t>
  </si>
  <si>
    <t>https://www.marketsmojo.com/Stocks?StockId=650168&amp;Exchange=0</t>
  </si>
  <si>
    <t>https://www.marketsmojo.com/Stocks?StockId=914349&amp;Exchange=0</t>
  </si>
  <si>
    <t>https://www.marketsmojo.com/Stocks?StockId=779011&amp;Exchange=1</t>
  </si>
  <si>
    <t>ANALYSIS ONLY</t>
  </si>
  <si>
    <t>IKIO Lighting turned Mildly Bearish from Sideways on 08 Aug 2023 at Rs 407.55</t>
  </si>
  <si>
    <t xml:space="preserve"> Hardeep Singh</t>
  </si>
  <si>
    <t>Quant Mutual Fund - Quant Active Fund</t>
  </si>
  <si>
    <t>The score changed from Sell to Hold on 28th Jun 2023 at Rs 1,293.65</t>
  </si>
  <si>
    <t>Infosys turned Mildly Bearish from Bearish on 27 Jun 2023 at Rs 1,278.95</t>
  </si>
  <si>
    <t>Excellent quality company basis long term financial performance. Second largest company in IT - Software sector</t>
  </si>
  <si>
    <t xml:space="preserve"> Sudha Gopalakrishnan</t>
  </si>
  <si>
    <t>The score changed from Hold to Sell on 16th Aug 2023 at Rs 888.60</t>
  </si>
  <si>
    <t>Ipca Labs. turned Mildly Bearish from Sideways on 18 Aug 2023 at Rs 876.75</t>
  </si>
  <si>
    <t>Good quality company basis long term financial performance. Size - Ranks 15th out of 160 companies in Pharma sector</t>
  </si>
  <si>
    <t xml:space="preserve"> Kaygee Investments Pvt. Ltd.</t>
  </si>
  <si>
    <t>since 10 days</t>
  </si>
  <si>
    <t>The score changed from Hold to Buy on 09th Aug 2023 at Rs 2,711.95</t>
  </si>
  <si>
    <t>J B Chem &amp; Pharm turned Bullish from Mildly Bullish on 06 Jul 2023 at Rs 2,311.00</t>
  </si>
  <si>
    <t>Excellent quality company basis long term financial performance. Size - Ranks 17th out of 160 companies in Pharma sector</t>
  </si>
  <si>
    <t xml:space="preserve"> Tau Investment Holdings Pte. Ltd.</t>
  </si>
  <si>
    <t>Nippon Life India Trustee Ltd-a/c Nippon India Pharma Fund*</t>
  </si>
  <si>
    <t>The score changed from Hold to Buy on 11th Aug 2023 at Rs 698.40</t>
  </si>
  <si>
    <t>Jindal Steel turned Bullish from Mildly Bullish on 03 Jul 2023 at Rs 595.10</t>
  </si>
  <si>
    <t>Good quality company basis long term financial performance. Second largest company in Iron and Steel sector</t>
  </si>
  <si>
    <t xml:space="preserve"> Opj Trading Private Limited</t>
  </si>
  <si>
    <t>The score changed from Hold to Sell on 07th Aug 2023 at Rs 3,242.40</t>
  </si>
  <si>
    <t>J K Cements turned Mildly Bullish from Bullish on 11 Aug 2023 at Rs 3,252.10</t>
  </si>
  <si>
    <t>Average quality company basis long term financial performance. Size - Ranks 7th out of 36 companies in Cement sector</t>
  </si>
  <si>
    <t xml:space="preserve"> Yadu International Ltd.</t>
  </si>
  <si>
    <t>Kavita Yadupati Singhania</t>
  </si>
  <si>
    <t>The score changed from Sell to Hold on 06th Jul 2023 at Rs 73.70</t>
  </si>
  <si>
    <t>JM Financial turned Bullish from Mildly Bullish on 17 Aug 2023 at Rs 78.26</t>
  </si>
  <si>
    <t>Average quality company basis long term financial performance. Size - Ranks 34th out of 565 companies in Finance/NBFC sector</t>
  </si>
  <si>
    <t xml:space="preserve"> J. M. Financial And Investment Consultancy Services Private Limited</t>
  </si>
  <si>
    <t>Icici Prudential</t>
  </si>
  <si>
    <t xml:space="preserve">various Schemes </t>
  </si>
  <si>
    <t>The score changed from Buy to Hold on 16th Aug 2023 at Rs 772.35</t>
  </si>
  <si>
    <t>Just Dial turned Mildly Bullish from Bullish on 16 Aug 2023 at Rs 772.35</t>
  </si>
  <si>
    <t>Average quality company basis long term financial performance. Size - Ranks 19th out of 149 companies in IT - Software sector</t>
  </si>
  <si>
    <t xml:space="preserve"> Reliance Retail Ventures Limited</t>
  </si>
  <si>
    <t>The score changed from Buy to Strong Buy on 08th Aug 2023 at Rs 319.55</t>
  </si>
  <si>
    <t>Jyothy Labs turned Bullish from Mildly Bullish on 04 Aug 2023 at Rs 324.50</t>
  </si>
  <si>
    <t>Good quality company basis long term financial performance. Size - Ranks 13th out of 85 companies in FMCG sector</t>
  </si>
  <si>
    <t xml:space="preserve"> M P Ramachandran</t>
  </si>
  <si>
    <t>Franklin India Smaller Companies Fund</t>
  </si>
  <si>
    <t>The score changed from Sell to Hold on 16th May 2023 at Rs 1,184.65</t>
  </si>
  <si>
    <t>Kajaria Ceramics turned Bullish from Mildly Bullish on 10 Jul 2023 at Rs 1,259.00</t>
  </si>
  <si>
    <t>Good quality company basis long term financial performance. Largest company in Ceramics and Allied sector</t>
  </si>
  <si>
    <t xml:space="preserve"> Rk Trustees Private Limited</t>
  </si>
  <si>
    <t>in Its Capacity As Sole Trustee Of Rishi Kajaria Family Private Trust</t>
  </si>
  <si>
    <t>Mirae Asset Nifty India Manufacturing Etf</t>
  </si>
  <si>
    <t>The score changed from Buy to Hold on 22nd Jun 2023 at Rs 527.60</t>
  </si>
  <si>
    <t>Kalpataru Proj. turned Bullish from Mildly Bullish on 11 Jul 2023 at Rs 555.10</t>
  </si>
  <si>
    <t>Average quality company basis long term financial performance. Second largest company in Transmission Towers sector</t>
  </si>
  <si>
    <t xml:space="preserve"> Kalpataru Constructions Private Limited</t>
  </si>
  <si>
    <t>Hdfc Trustee Company Limited-hdfc Flexi Cap Fund</t>
  </si>
  <si>
    <t>The score changed from Buy to Hold on 24th Jul 2023 at Rs 1,803.45</t>
  </si>
  <si>
    <t>Kaynes Tech turned Mildly Bullish from Sideways on 10 Aug 2023 at Rs 1,714.05</t>
  </si>
  <si>
    <t xml:space="preserve"> Ramesh Kunhikannan</t>
  </si>
  <si>
    <t>Freny Firoze Irani</t>
  </si>
  <si>
    <t>The score changed from Sell to Hold on 02nd May 2023 at Rs 498.30</t>
  </si>
  <si>
    <t>K E C Intl. turned Bullish from Mildly Bullish on 02 May 2023 at Rs 498.30</t>
  </si>
  <si>
    <t>Average quality company basis long term financial performance. Largest company in Transmission Towers sector</t>
  </si>
  <si>
    <t xml:space="preserve"> Swallow Associates Llp</t>
  </si>
  <si>
    <t>Hdfc Mutual Fund - Hdfc Mid-cap Opportunities Fund</t>
  </si>
  <si>
    <t>The score changed from Buy to Hold on 14th Aug 2023 at Rs 4,978.90</t>
  </si>
  <si>
    <t>SKF India turned Bullish from Mildly Bullish on 18 Aug 2023 at Rs 5,048.10</t>
  </si>
  <si>
    <t>Good quality company basis long term financial performance. Second largest company in Bearings sector</t>
  </si>
  <si>
    <t xml:space="preserve"> Ab Skf</t>
  </si>
  <si>
    <t>The score changed from Buy to Hold on 31st Jul 2023 at Rs 1,856.50</t>
  </si>
  <si>
    <t>Kotak Mah. Bank turned Mildly Bearish from Sideways on 01 Aug 2023 at Rs 1,850.20</t>
  </si>
  <si>
    <t>Excellent quality company basis long term financial performance. Size - Ranks 3rd out of 18 companies in Private Banks sector</t>
  </si>
  <si>
    <t xml:space="preserve"> Uday Suresh Kotak</t>
  </si>
  <si>
    <t>The score changed from Sell to Hold on 20th Mar 2023 at Rs 583.80</t>
  </si>
  <si>
    <t>K P R Mill Ltd turned Bullish from Mildly Bullish on 10 Aug 2023 at Rs 661.25</t>
  </si>
  <si>
    <t>Good quality company basis long term financial performance. Largest company in Textile sector</t>
  </si>
  <si>
    <t xml:space="preserve"> P Nataraj</t>
  </si>
  <si>
    <t>Sbi Nifty Midcap 150 Index Fund</t>
  </si>
  <si>
    <t>The score changed from Sell to Hold on 10th Aug 2023 at Rs 398.15</t>
  </si>
  <si>
    <t>Laurus Labs turned Mildly Bullish from Mildly Bearish on 10 Aug 2023 at Rs 398.15</t>
  </si>
  <si>
    <t>Good quality company basis long term financial performance. Size - Ranks 18th out of 160 companies in Pharma sector</t>
  </si>
  <si>
    <t xml:space="preserve"> M/s. Nsn Holdings</t>
  </si>
  <si>
    <t>represented By Its Managing Partner, Dr. Satyanarayana Chava</t>
  </si>
  <si>
    <t>New World Fund Inc</t>
  </si>
  <si>
    <t>The score changed from Sell to Hold on 18th Aug 2023 at Rs 102.18</t>
  </si>
  <si>
    <t>Lemon Tree Hotel turned Bullish from Mildly Bullish on 18 Aug 2023 at Rs 102.18</t>
  </si>
  <si>
    <t>Below Average quality company basis long term financial performance. Size - Ranks 4th out of 54 companies in Hotels sector</t>
  </si>
  <si>
    <t xml:space="preserve"> Spank Management Services Private Limited</t>
  </si>
  <si>
    <t>Apg Strategic Real Estate Pool N.v.</t>
  </si>
  <si>
    <t>The score changed from Hold to Sell on 28th Jul 2023 at Rs 747.45</t>
  </si>
  <si>
    <t>Macrotech Devel. turned Bullish from Mildly Bullish on 14 Jun 2023 at Rs 649.85</t>
  </si>
  <si>
    <t>Below Average quality company basis long term financial performance.</t>
  </si>
  <si>
    <t xml:space="preserve"> Sambhavnath Infrabuild And Farms Pvt Ltd</t>
  </si>
  <si>
    <t>The score changed from Hold to Buy on 19th Jun 2023 at Rs 1,403.30</t>
  </si>
  <si>
    <t>M &amp; M turned Bullish from Mildly Bullish on 07 Aug 2023 at Rs 1,526.75</t>
  </si>
  <si>
    <t>Average quality company basis long term financial performance. Size - Ranks 3rd out of 5 companies in Auto - Cars sector</t>
  </si>
  <si>
    <t>Sbi Nifty 50 Etf With Sub Accounts</t>
  </si>
  <si>
    <t>The score changed from Sell to Hold on 22nd May 2023 at Rs 530.30</t>
  </si>
  <si>
    <t>Marico turned Bullish from Mildly Bullish on 27 Jul 2023 at Rs 554.50</t>
  </si>
  <si>
    <t>Good quality company basis long term financial performance. Size - Ranks 7th out of 85 companies in FMCG sector</t>
  </si>
  <si>
    <t xml:space="preserve"> Harsh C Mariwala With Kishore V Mariwala For Taurus Family Trust</t>
  </si>
  <si>
    <t>First Sentier Investors Icvc - Stewart Investors Asia Pacific Leaders Sustainability Fund</t>
  </si>
  <si>
    <t>The score changed from Hold to Buy on 14th Aug 2023 at Rs 113.90</t>
  </si>
  <si>
    <t>Marksans Pharma turned Bullish from Mildly Bullish on 30 May 2023 at Rs 81.02</t>
  </si>
  <si>
    <t>Good quality company basis long term financial performance. Size - Ranks 32nd out of 160 companies in Pharma sector</t>
  </si>
  <si>
    <t xml:space="preserve"> Mark Saldanha</t>
  </si>
  <si>
    <t>Orbimed Asia Iv Mauritius Fvci Limited</t>
  </si>
  <si>
    <t>The score changed from Buy to Hold on 07th Aug 2023 at Rs 9,523.80</t>
  </si>
  <si>
    <t>Maruti Suzuki turned Mildly Bullish from Bullish on 02 Aug 2023 at Rs 9,653.80</t>
  </si>
  <si>
    <t>Good quality company basis long term financial performance. Largest company in Auto - Cars sector</t>
  </si>
  <si>
    <t xml:space="preserve"> Suzuki Motor Corporation</t>
  </si>
  <si>
    <t>Lici Ulip-secured Fund</t>
  </si>
  <si>
    <t>The score changed from Hold to Buy on 02nd Aug 2023 at Rs 1,058.45</t>
  </si>
  <si>
    <t>Metro Brands turned Bullish from Mildly Bullish on 02 Aug 2023 at Rs 1,058.45</t>
  </si>
  <si>
    <t xml:space="preserve"> Aziza Malik Family Trust</t>
  </si>
  <si>
    <t>trustee - Farah Malik Bhanji</t>
  </si>
  <si>
    <t>Rekha Rakesh Jhunjhunwala</t>
  </si>
  <si>
    <t>The score changed from Sell to Hold on 18th Aug 2023 at Rs 316.10</t>
  </si>
  <si>
    <t>Minda Corp turned Bullish from Mildly Bullish on 18 Aug 2023 at Rs 316.10</t>
  </si>
  <si>
    <t>Average quality company basis long term financial performance. Size - Ranks 8th out of 89 companies in Auto Anc sector</t>
  </si>
  <si>
    <t xml:space="preserve"> Mr. Ashok Minda</t>
  </si>
  <si>
    <t>Phi Capital Trust - Phi Capital Growth Fund - I</t>
  </si>
  <si>
    <t>The score changed from Buy to Hold on 18th Aug 2023 at Rs 3,349.35</t>
  </si>
  <si>
    <t>Eicher Motors turned Sideways from Mildly Bullish on 18 Aug 2023 at Rs 3,349.35</t>
  </si>
  <si>
    <t>Good quality company basis long term financial performance. Second largest company in Auto - 2 &amp;3 Wheel sector</t>
  </si>
  <si>
    <t xml:space="preserve"> The Simran Siddhartha Tara Benefit Trust</t>
  </si>
  <si>
    <t>name Of Trustees Are Mentioned In Note-4</t>
  </si>
  <si>
    <t>The score changed from Sell to Hold on 31st Jul 2023 at Rs 2,294.00</t>
  </si>
  <si>
    <t>Mphasis turned Mildly Bullish from Bullish on 14 Aug 2023 at Rs 2,367.00</t>
  </si>
  <si>
    <t>Excellent quality company basis long term financial performance. Size - Ranks 8th out of 149 companies in IT - Software sector</t>
  </si>
  <si>
    <t xml:space="preserve"> Bcp Topco Ix Pte. Ltd</t>
  </si>
  <si>
    <t xml:space="preserve">including Other Lic Funds Consolidated Based On Pan </t>
  </si>
  <si>
    <t>The score changed from Buy to Hold on 17th Aug 2023 at Rs 1,255.05</t>
  </si>
  <si>
    <t>Muthoot Finance turned Mildly Bullish from Bullish on 16 Aug 2023 at Rs 1,255.90</t>
  </si>
  <si>
    <t xml:space="preserve"> George Thomas Muthoot</t>
  </si>
  <si>
    <t>The score changed from Sell to Hold on 03rd Apr 2023 at Rs 79.50</t>
  </si>
  <si>
    <t>Natl. Aluminium turned Mildly Bullish from Bullish on 17 Aug 2023 at Rs 87.77</t>
  </si>
  <si>
    <t>Good quality company basis long term financial performance. Second largest company in Aluminium sector</t>
  </si>
  <si>
    <t>Lici Gratuity Plus Balanced Fund</t>
  </si>
  <si>
    <t>The score changed from Sell to Hold on 12th Jun 2023 at Rs 4,269.00</t>
  </si>
  <si>
    <t>Info Edg.(India) turned Mildly Bullish from Bullish on 11 Aug 2023 at Rs 4,458.90</t>
  </si>
  <si>
    <t>Average quality company basis long term financial performance. Size - Ranks 6th out of 149 companies in IT - Software sector</t>
  </si>
  <si>
    <t xml:space="preserve"> Sanjeev Bikhchandani</t>
  </si>
  <si>
    <t>Netweb Technolog turned Sideways from on 27 Jul 2023 at Rs 910.50</t>
  </si>
  <si>
    <t xml:space="preserve"> Sanjay Lodha</t>
  </si>
  <si>
    <t>The score changed from Sell to Hold on 12th Aug 2022 at Rs 33.95</t>
  </si>
  <si>
    <t>NHPC Ltd turned Bullish from Mildly Bullish on 11 Apr 2023 at Rs 41.22</t>
  </si>
  <si>
    <t>Average quality company basis long term financial performance. Size - Ranks 7th out of 33 companies in Power sector</t>
  </si>
  <si>
    <t>The score changed from Buy to Hold on 17th Aug 2023 at Rs 2,452.35</t>
  </si>
  <si>
    <t>Nilkamal Ltd turned Mildly Bullish from Bullish on 17 Aug 2023 at Rs 2,452.35</t>
  </si>
  <si>
    <t>Good quality company basis long term financial performance. Size - Ranks 6th out of 88 companies in Plastic Products sector</t>
  </si>
  <si>
    <t xml:space="preserve"> Nayan S. Parekh</t>
  </si>
  <si>
    <t>The score changed from Hold to Buy on 20th May 2023 at Rs 85.45</t>
  </si>
  <si>
    <t>NLC India turned Bullish from Mildly Bullish on 27 Apr 2023 at Rs 80.11</t>
  </si>
  <si>
    <t>Average quality company basis long term financial performance. Size - Ranks 10th out of 33 companies in Power sector</t>
  </si>
  <si>
    <t>Nippon Life India Trustee Ltd</t>
  </si>
  <si>
    <t xml:space="preserve">under Different Sub Accounts </t>
  </si>
  <si>
    <t>The score changed from Hold to Buy on 29th Jul 2023 at Rs 210.00</t>
  </si>
  <si>
    <t>NTPC turned Bullish from Mildly Bullish on 08 Jun 2023 at Rs 182.05</t>
  </si>
  <si>
    <t>Average quality company basis long term financial performance. Largest company in Power sector</t>
  </si>
  <si>
    <t>Icici Prudential Value Discovery Fund</t>
  </si>
  <si>
    <t>The score changed from Strong Sell to Sell on 07th Aug 2023 at Rs 147.05</t>
  </si>
  <si>
    <t>FSN E-Commerce turned Mildly Bearish from Sideways on 08 Aug 2023 at Rs 146.80</t>
  </si>
  <si>
    <t xml:space="preserve"> Sanjay Nayar Famiy Trust</t>
  </si>
  <si>
    <t>sanjay Nayar And Falguni Nayar</t>
  </si>
  <si>
    <t>Harindarpal Singh Banga</t>
  </si>
  <si>
    <t>The score changed from Sell to Hold on 29th May 2023 at Rs 929.00</t>
  </si>
  <si>
    <t>Oberoi Realty turned Bullish from Mildly Bullish on 11 Jul 2023 at Rs 1,038.60</t>
  </si>
  <si>
    <t>Average quality company basis long term financial performance. Size - Ranks 3rd out of 137 companies in Real Estate sector</t>
  </si>
  <si>
    <t xml:space="preserve"> Vikas Ranvir Oberoi</t>
  </si>
  <si>
    <t>Invesco Developing Markets Fund</t>
  </si>
  <si>
    <t>The score changed from Hold to Strong Buy on 12th Aug 2023 at Rs 177.15</t>
  </si>
  <si>
    <t>ONGC turned Bullish from Mildly Bullish on 21 Jul 2023 at Rs 170.40</t>
  </si>
  <si>
    <t>Good quality company basis long term financial performance. Second largest company in Oil Exploration/Refineries sector</t>
  </si>
  <si>
    <t>The score changed from Sell to Hold on 11th Aug 2023 at Rs 565.20</t>
  </si>
  <si>
    <t>Orchid Pharma turned Bullish from Mildly Bullish on 09 Aug 2023 at Rs 609.65</t>
  </si>
  <si>
    <t>Below Average quality company basis long term financial performance. Size - Ranks 40th out of 160 companies in Pharma sector</t>
  </si>
  <si>
    <t xml:space="preserve"> Dhanuka Laboratories Limited</t>
  </si>
  <si>
    <t>Massachusetts Institute Of Technology</t>
  </si>
  <si>
    <t>The score changed from Hold to Sell on 11th Apr 2023 at Rs 228.90</t>
  </si>
  <si>
    <t>Orient Electric turned Mildly Bearish from Bearish on 30 May 2023 at Rs 241.70</t>
  </si>
  <si>
    <t xml:space="preserve"> Central India Industries Limited</t>
  </si>
  <si>
    <t>Nippon Life India Trustee Ltd-a/c Nippon India Gro</t>
  </si>
  <si>
    <t>https://www.marketsmojo.com/Stocks?StockId=1003863&amp;Exchange=0</t>
  </si>
  <si>
    <t>https://www.marketsmojo.com/Stocks?StockId=399834&amp;Exchange=0</t>
  </si>
  <si>
    <t>https://www.marketsmojo.com/Stocks?StockId=950228&amp;Exchange=0</t>
  </si>
  <si>
    <t>https://www.marketsmojo.com/Stocks?StockId=461857&amp;Exchange=0</t>
  </si>
  <si>
    <t>https://www.marketsmojo.com/Stocks?StockId=338854&amp;Exchange=0</t>
  </si>
  <si>
    <t>https://www.marketsmojo.com/Stocks?StockId=915452&amp;Exchange=1</t>
  </si>
  <si>
    <t>https://www.marketsmojo.com/Stocks?StockId=187323&amp;Exchange=0</t>
  </si>
  <si>
    <t>https://www.marketsmojo.com/Stocks?StockId=522321&amp;Exchange=0</t>
  </si>
  <si>
    <t>https://www.marketsmojo.com/Stocks?StockId=973634&amp;Exchange=0</t>
  </si>
  <si>
    <t>https://www.marketsmojo.com/Stocks?StockId=482661&amp;Exchange=0</t>
  </si>
  <si>
    <t>https://www.marketsmojo.com/Stocks?StockId=613539&amp;Exchange=0</t>
  </si>
  <si>
    <t>https://www.marketsmojo.com/Stocks?StockId=1003747&amp;Exchange=0</t>
  </si>
  <si>
    <t>https://www.marketsmojo.com/Stocks?StockId=562014&amp;Exchange=0</t>
  </si>
  <si>
    <t>https://www.marketsmojo.com/Stocks?StockId=422062&amp;Exchange=0</t>
  </si>
  <si>
    <t>https://www.marketsmojo.com/Stocks?StockId=621403&amp;Exchange=0</t>
  </si>
  <si>
    <t>https://www.marketsmojo.com/Stocks?StockId=549544&amp;Exchange=0</t>
  </si>
  <si>
    <t>https://www.marketsmojo.com/Stocks?StockId=1002699&amp;Exchange=0</t>
  </si>
  <si>
    <t>https://www.marketsmojo.com/Stocks?StockId=1002964&amp;Exchange=0</t>
  </si>
  <si>
    <t>https://www.marketsmojo.com/Stocks?StockId=1003490&amp;Exchange=0</t>
  </si>
  <si>
    <t>https://www.marketsmojo.com/Stocks?StockId=845805&amp;Exchange=0</t>
  </si>
  <si>
    <t>https://www.marketsmojo.com/Stocks?StockId=441024&amp;Exchange=0</t>
  </si>
  <si>
    <t>https://www.marketsmojo.com/Stocks?StockId=604869&amp;Exchange=0</t>
  </si>
  <si>
    <t>https://www.marketsmojo.com/Stocks?StockId=984862&amp;Exchange=1</t>
  </si>
  <si>
    <t>https://www.marketsmojo.com/Stocks?StockId=1003582&amp;Exchange=0</t>
  </si>
  <si>
    <t>https://www.marketsmojo.com/Stocks?StockId=989109&amp;Exchange=0</t>
  </si>
  <si>
    <t>https://www.marketsmojo.com/Stocks?StockId=501249&amp;Exchange=0</t>
  </si>
  <si>
    <t>https://www.marketsmojo.com/Stocks?StockId=569237&amp;Exchange=0</t>
  </si>
  <si>
    <t>https://www.marketsmojo.com/Stocks?StockId=751972&amp;Exchange=0</t>
  </si>
  <si>
    <t>https://www.marketsmojo.com/Stocks?StockId=359296&amp;Exchange=0</t>
  </si>
  <si>
    <t>https://www.marketsmojo.com/Stocks?StockId=925707&amp;Exchange=0</t>
  </si>
  <si>
    <t>https://www.marketsmojo.com/Stocks?StockId=10038956&amp;Exchange=0</t>
  </si>
  <si>
    <t>https://www.marketsmojo.com/Stocks?StockId=424557&amp;Exchange=0</t>
  </si>
  <si>
    <t>https://www.marketsmojo.com/Stocks?StockId=889867&amp;Exchange=0</t>
  </si>
  <si>
    <t>https://www.marketsmojo.com/Stocks?StockId=659194&amp;Exchange=0</t>
  </si>
  <si>
    <t>https://www.marketsmojo.com/Stocks?StockId=166797&amp;Exchange=0</t>
  </si>
  <si>
    <t>https://www.marketsmojo.com/Stocks?StockId=1003558&amp;Exchange=0</t>
  </si>
  <si>
    <t>https://www.marketsmojo.com/Stocks?StockId=373168&amp;Exchange=0</t>
  </si>
  <si>
    <t>https://www.marketsmojo.com/Stocks?StockId=640830&amp;Exchange=0</t>
  </si>
  <si>
    <t>https://www.marketsmojo.com/Stocks?StockId=653435&amp;Exchange=0</t>
  </si>
  <si>
    <t>https://www.marketsmojo.com/Stocks?StockId=1002987&amp;Exchange=0</t>
  </si>
  <si>
    <t>https://www.marketsmojo.com/Stocks?StockId=288379&amp;Exchange=0</t>
  </si>
  <si>
    <t>The score changed from Sell to Hold on 14th Aug 2023 at Rs 636.10</t>
  </si>
  <si>
    <t>Paras Defence turned Bullish from Mildly Bullish on 14 Aug 2023 at Rs 636.10</t>
  </si>
  <si>
    <t xml:space="preserve"> Munjal Sharad Shah</t>
  </si>
  <si>
    <t>Nippon Life India Trustee Ltd-a/c Nippon India Small Cap Fund</t>
  </si>
  <si>
    <t>The score changed from Hold to Sell on 09th Feb 2023 at Rs 3,868.85</t>
  </si>
  <si>
    <t>Pfizer turned Mildly Bearish from Bearish on 13 Apr 2023 at Rs 3,751.00</t>
  </si>
  <si>
    <t>Good quality company basis long term financial performance. Size - Ranks 19th out of 160 companies in Pharma sector</t>
  </si>
  <si>
    <t xml:space="preserve"> Pfizer East India B.v</t>
  </si>
  <si>
    <t>since 4 months 27 days</t>
  </si>
  <si>
    <t>The score changed from Hold to Buy on 22nd Feb 2023 at Rs 4,574.85</t>
  </si>
  <si>
    <t>P &amp; G Health Ltd turned Mildly Bullish from Bullish on 14 Aug 2023 at Rs 5,272.20</t>
  </si>
  <si>
    <t>Excellent quality company basis long term financial performance. Size - Ranks 25th out of 160 companies in Pharma sector</t>
  </si>
  <si>
    <t xml:space="preserve"> Procter And Gamble Overseas India B.v.</t>
  </si>
  <si>
    <t>Nippon Life India Trustee Ltd-a/c Nippon India Sma</t>
  </si>
  <si>
    <t>since 2 months 7 days</t>
  </si>
  <si>
    <t>The score changed from Strong Buy to Buy on 18th Aug 2023 at Rs 3,759.80</t>
  </si>
  <si>
    <t>P I Industries turned Mildly Bullish from Bullish on 18 Aug 2023 at Rs 3,759.80</t>
  </si>
  <si>
    <t>Excellent quality company basis long term financial performance. Largest company in Pesticides &amp; Agrochem sector</t>
  </si>
  <si>
    <t xml:space="preserve"> Mayank Singhal</t>
  </si>
  <si>
    <t>Axis Mutual Fund Trustee Limited A/c Axis Mutual F</t>
  </si>
  <si>
    <t>The score changed from Sell to Hold on 15th May 2023 at Rs 906.75</t>
  </si>
  <si>
    <t>Pix Transmission turned Bullish from Mildly Bullish on 13 Jul 2023 at Rs 1,006.65</t>
  </si>
  <si>
    <t>Average quality company basis long term financial performance. Second largest company in Rubber Products sector</t>
  </si>
  <si>
    <t xml:space="preserve"> Sonepal Singh Sethi</t>
  </si>
  <si>
    <t>Investor Education And Protection Fund Authority Ministry Of Corporate Affairs</t>
  </si>
  <si>
    <t>The score changed from Sell to Hold on 06th Mar 2023 at Rs 594.70</t>
  </si>
  <si>
    <t>PB Fintech. turned Bullish from Mildly Bullish on 04 Aug 2023 at Rs 781.40</t>
  </si>
  <si>
    <t>Makesense Technologies Ltd</t>
  </si>
  <si>
    <t>The score changed from Hold to Buy on 20th Jul 2023 at Rs 372.25</t>
  </si>
  <si>
    <t>Poonawalla Fin turned Bullish from Mildly Bullish on 20 Jul 2023 at Rs 372.25</t>
  </si>
  <si>
    <t>Average quality company basis long term financial performance. Size - Ranks 15th out of 565 companies in Finance/NBFC sector</t>
  </si>
  <si>
    <t xml:space="preserve"> Rising Sun Holdings Private Limited</t>
  </si>
  <si>
    <t>The score changed from Buy to Hold on 01st Aug 2023 at Rs 251.75</t>
  </si>
  <si>
    <t>Power Grid Corpn turned Mildly Bullish from Bullish on 07 Aug 2023 at Rs 248.00</t>
  </si>
  <si>
    <t>Good quality company basis long term financial performance. Second largest company in Power sector</t>
  </si>
  <si>
    <t>Nippon Life India Trustee Ltd-a/c Nippon India Ind</t>
  </si>
  <si>
    <t>The score changed from Sell to Strong Sell on 02nd Aug 2023 at Rs 103.05</t>
  </si>
  <si>
    <t>Piramal Pharma turned Sideways from Mildly Bearish on 16 Aug 2023 at Rs 101.15</t>
  </si>
  <si>
    <t xml:space="preserve"> The Sri Krishna Trust Through Its Trustee Mr. Ajay G Piramal And Dr.</t>
  </si>
  <si>
    <t>mrs. Swati A Piramal</t>
  </si>
  <si>
    <t>Ca Alchemy Investments</t>
  </si>
  <si>
    <t>The score changed from Strong Buy to Buy on 26th Jul 2023 at Rs 404.55</t>
  </si>
  <si>
    <t>Praj Industries turned Bullish from Sideways on 10 Jul 2023 at Rs 409.15</t>
  </si>
  <si>
    <t>Good quality company basis long term financial performance. Size - Ranks 4th out of 48 companies in Engg - Industrial Equipments sector</t>
  </si>
  <si>
    <t xml:space="preserve"> Dr Pramod Chaudhari</t>
  </si>
  <si>
    <t>Nippon Life India Trustee Ltd-a/c Nippon India</t>
  </si>
  <si>
    <t>The score changed from Strong Sell to Sell on 14th Aug 2023 at Rs 1,713.90</t>
  </si>
  <si>
    <t>PVR Inox turned Mildly Bullish from Sideways on 14 Aug 2023 at Rs 1,713.90</t>
  </si>
  <si>
    <t xml:space="preserve"> Gfl Limited</t>
  </si>
  <si>
    <t>Icici Prudential Regular Savings Fund</t>
  </si>
  <si>
    <t>The score changed from Hold to Buy on 06th Jun 2023 at Rs 127.65</t>
  </si>
  <si>
    <t>Railtel Corpn. turned Bullish from Mildly Bullish on 12 Jul 2023 at Rs 138.30</t>
  </si>
  <si>
    <t>https://www.marketsmojo.com/Stocks?StockId=1003539&amp;Exchange=0</t>
  </si>
  <si>
    <t>https://www.marketsmojo.com/Stocks?StockId=970356&amp;Exchange=0</t>
  </si>
  <si>
    <t>https://www.marketsmojo.com/Stocks?StockId=346859&amp;Exchange=0</t>
  </si>
  <si>
    <t>https://www.marketsmojo.com/Stocks?StockId=927973&amp;Exchange=0</t>
  </si>
  <si>
    <t>https://www.marketsmojo.com/Stocks?StockId=794146&amp;Exchange=0</t>
  </si>
  <si>
    <t>https://www.marketsmojo.com/Stocks?StockId=1003562&amp;Exchange=0</t>
  </si>
  <si>
    <t>https://www.marketsmojo.com/Stocks?StockId=348058&amp;Exchange=0</t>
  </si>
  <si>
    <t>https://www.marketsmojo.com/Stocks?StockId=417663&amp;Exchange=0</t>
  </si>
  <si>
    <t>https://www.marketsmojo.com/Stocks?StockId=1003728&amp;Exchange=0</t>
  </si>
  <si>
    <t>https://www.marketsmojo.com/Stocks?StockId=107182&amp;Exchange=0</t>
  </si>
  <si>
    <t>https://www.marketsmojo.com/Stocks?StockId=333539&amp;Exchange=0</t>
  </si>
  <si>
    <t>https://www.marketsmojo.com/Stocks?StockId=1003463&amp;Exchange=0</t>
  </si>
  <si>
    <t>since 5 months 29 days</t>
  </si>
  <si>
    <t>The score changed from Hold to Buy on 31st Jan 2023 at Rs 2,221.15</t>
  </si>
  <si>
    <t>Ratnamani Metals turned Bullish from Mildly Bullish on 17 Jul 2023 at Rs 2,623.50</t>
  </si>
  <si>
    <t>Good quality company basis long term financial performance. Size - Ranks 7th out of 104 companies in Iron and Steel sector</t>
  </si>
  <si>
    <t xml:space="preserve"> Prakash M. Sanghvi &amp; Reshmi Sanghvi</t>
  </si>
  <si>
    <t>Nalanda India Fund Limited</t>
  </si>
  <si>
    <t>The score changed from Sell to Hold on 07th Aug 2023 at Rs 2,523.45</t>
  </si>
  <si>
    <t>Reliance Industr turned Bullish from Mildly Bullish on 09 Aug 2023 at Rs 2,523.55</t>
  </si>
  <si>
    <t>Average quality company basis long term financial performance. Largest company in Oil Exploration/Refineries sector</t>
  </si>
  <si>
    <t xml:space="preserve"> Srichakra Commercials Llp</t>
  </si>
  <si>
    <t>The score changed from Buy to Hold on 10th Nov 2022 at Rs 380.80</t>
  </si>
  <si>
    <t>Rites turned Bullish from Mildly Bullish on 13 Jul 2023 at Rs 386.30</t>
  </si>
  <si>
    <t>Good quality company basis long term financial performance. Largest company in Railways sector</t>
  </si>
  <si>
    <t>The score changed from Strong Sell to Sell on 05th Jun 2023 at Rs 525.50</t>
  </si>
  <si>
    <t>Keystone Realtor turned Sideways from Mildly Bullish on 14 Aug 2023 at Rs 586.20</t>
  </si>
  <si>
    <t xml:space="preserve"> Boman Rustom Irani</t>
  </si>
  <si>
    <t>Tata Mutual Fund - Tata Small Cap Fund</t>
  </si>
  <si>
    <t>The score changed from Strong Sell to Sell on 04th Aug 2023 at Rs 236.55</t>
  </si>
  <si>
    <t>Sagar Cements turned Bullish from Sideways on 04 Aug 2023 at Rs 236.55</t>
  </si>
  <si>
    <t>Below Average quality company basis long term financial performance. Size - Ranks 16th out of 36 companies in Cement sector</t>
  </si>
  <si>
    <t xml:space="preserve"> R V Consulting Services Private Limited</t>
  </si>
  <si>
    <t>Avh Resources India Private Limited</t>
  </si>
  <si>
    <t>The score changed from Sell to Hold on 11th Jul 2023 at Rs 90.02</t>
  </si>
  <si>
    <t>SAIL turned Mildly Bullish from Bullish on 14 Aug 2023 at Rs 87.06</t>
  </si>
  <si>
    <t>Average quality company basis long term financial performance. Size - Ranks 4th out of 104 companies in Iron and Steel sector</t>
  </si>
  <si>
    <t>The score changed from Hold to Buy on 16th Aug 2023 at Rs 7,005.10</t>
  </si>
  <si>
    <t>Sanofi India turned Bullish from Mildly Bullish on 04 Aug 2023 at Rs 6,970.70</t>
  </si>
  <si>
    <t>Good quality company basis long term financial performance. Size - Ranks 20th out of 160 companies in Pharma sector</t>
  </si>
  <si>
    <t xml:space="preserve"> Hoescht Gmbh</t>
  </si>
  <si>
    <t>Life Insurance Corporation Of India - P &amp; Gs Fund</t>
  </si>
  <si>
    <t>since 11 days</t>
  </si>
  <si>
    <t>The score changed from Hold to Buy on 07th Jul 2023 at Rs 1,293.45</t>
  </si>
  <si>
    <t>SBI Life Insuran turned Mildly Bullish from Bullish on 17 Aug 2023 at Rs 1,283.40</t>
  </si>
  <si>
    <t>Good quality company basis long term financial performance. Size - Ranks 4th out of 565 companies in Finance/NBFC sector</t>
  </si>
  <si>
    <t xml:space="preserve"> State Bank Of India</t>
  </si>
  <si>
    <t>Government Of Singapore</t>
  </si>
  <si>
    <t>The score changed from Hold to Buy on 04th Aug 2023 at Rs 573.25</t>
  </si>
  <si>
    <t>St Bk of India turned Mildly Bullish from Bullish on 04 Aug 2023 at Rs 573.25</t>
  </si>
  <si>
    <t>Good quality company basis long term financial performance. Largest company in Public Banks sector</t>
  </si>
  <si>
    <t>Senco Gold turned Sideways from on 14 Jul 2023 at Rs 404.95</t>
  </si>
  <si>
    <t xml:space="preserve"> Jai Hanuman Shri Siddhivinayak Trust - Trustee Mr. Suvankar Sen &amp; Mrs. Joita Sen</t>
  </si>
  <si>
    <t>Saif Partners India IV Limited</t>
  </si>
  <si>
    <t>The score changed from Hold to Sell on 18th Aug 2023 at Rs 1,089.85</t>
  </si>
  <si>
    <t>Bearish</t>
  </si>
  <si>
    <t>Sheela Foam turned Bearish from Mildly Bearish on 18 Aug 2023 at Rs 1,089.85</t>
  </si>
  <si>
    <t>Good quality company basis long term financial performance. Size - Ranks 5th out of 15 companies in Consumer durables sector</t>
  </si>
  <si>
    <t xml:space="preserve"> Tushaar Gautam</t>
  </si>
  <si>
    <t>The score changed from Strong Buy to Buy on 21st Jul 2023 at Rs 181.90</t>
  </si>
  <si>
    <t>Ashok Leyland turned Bullish from Mildly Bullish on 12 Jul 2023 at Rs 169.75</t>
  </si>
  <si>
    <t xml:space="preserve"> Hinduja Automotive Limited</t>
  </si>
  <si>
    <t>Government Pension Fund Global</t>
  </si>
  <si>
    <t>The score changed from Buy to Hold on 10th Aug 2023 at Rs 3,667.70</t>
  </si>
  <si>
    <t>Siemens turned Mildly Bullish from Bullish on 10 Aug 2023 at Rs 3,667.70</t>
  </si>
  <si>
    <t>Good quality company basis long term financial performance. Second largest company in Capital Goods sector</t>
  </si>
  <si>
    <t xml:space="preserve"> Siemens International Holding B.v.</t>
  </si>
  <si>
    <t>The score changed from Sell to Hold on 09th Aug 2023 at Rs 3,953.50</t>
  </si>
  <si>
    <t>Solar Industries turned Mildly Bullish from Sideways on 16 Aug 2023 at Rs 4,259.15</t>
  </si>
  <si>
    <t>Good quality company basis long term financial performance. Largest company in Chemicals sector</t>
  </si>
  <si>
    <t xml:space="preserve"> Manish Satyanarayan Nuwal</t>
  </si>
  <si>
    <t>Sbi Focused Equity Fund</t>
  </si>
  <si>
    <t>The score changed from Buy to Hold on 27th Jul 2023 at Rs 449.65</t>
  </si>
  <si>
    <t>Supreme Petroch. turned Mildly Bullish from Bullish on 26 Jun 2023 at Rs 459.60</t>
  </si>
  <si>
    <t>Good quality company basis long term financial performance. Size - Ranks 13th out of 141 companies in Chemicals sector</t>
  </si>
  <si>
    <t xml:space="preserve"> The Supreme Industries Ltd</t>
  </si>
  <si>
    <t>Hsbc Value Fund</t>
  </si>
  <si>
    <t>The score changed from Buy to Hold on 14th Aug 2023 at Rs 2,589.45</t>
  </si>
  <si>
    <t>Sundaram Finance turned Mildly Bullish from Bullish on 14 Aug 2023 at Rs 2,589.45</t>
  </si>
  <si>
    <t>Good quality company basis long term financial performance. Size - Ranks 18th out of 565 companies in Finance/NBFC sector</t>
  </si>
  <si>
    <t xml:space="preserve"> M/s. India Motor Parts &amp; Accessories Limited</t>
  </si>
  <si>
    <t>Axis Mutual Fund Trustee Nlimited A/c Axis Mutual Fund</t>
  </si>
  <si>
    <t>The score changed from Sell to Hold on 10th Jul 2023 at Rs 1,046.05</t>
  </si>
  <si>
    <t>Sun Pharma.Inds. turned Bullish from Mildly Bullish on 28 Jul 2023 at Rs 1,137.75</t>
  </si>
  <si>
    <t>Good quality company basis long term financial performance. Largest company in Pharma sector</t>
  </si>
  <si>
    <t xml:space="preserve"> Shanghvi Finance Private Limited</t>
  </si>
  <si>
    <t>The score changed from Buy to Hold on 29th Apr 2023 at Rs 2,718.75</t>
  </si>
  <si>
    <t>Supreme Inds. turned Bullish from Mildly Bullish on 03 May 2023 at Rs 2,757.35</t>
  </si>
  <si>
    <t>Good quality company basis long term financial performance. Largest company in Plastic Products sector</t>
  </si>
  <si>
    <t xml:space="preserve"> Jovial Investment And Trading Company Privatelimited</t>
  </si>
  <si>
    <t>The score changed from Buy to Hold on 26th Jul 2023 at Rs 761.65</t>
  </si>
  <si>
    <t>Syngene Intl. turned Bullish from Mildly Bullish on 25 Apr 2023 at Rs 625.90</t>
  </si>
  <si>
    <t>Good quality company basis long term financial performance. Size - Ranks 11th out of 160 companies in Pharma sector</t>
  </si>
  <si>
    <t xml:space="preserve"> Biocon Limited</t>
  </si>
  <si>
    <t>The score changed from Sell to Hold on 29th May 2023 at Rs 1,277.90</t>
  </si>
  <si>
    <t>Tata Comm turned Bullish from Mildly Bullish on 01 Jun 2023 at Rs 1,330.80</t>
  </si>
  <si>
    <t>Good quality company basis long term financial performance. Second largest company in Telecom - Provider sector</t>
  </si>
  <si>
    <t xml:space="preserve"> Panatone Finvest Limited</t>
  </si>
  <si>
    <t>East Bridge Capital Master Fund I Ltd</t>
  </si>
  <si>
    <t>The score changed from Strong Buy to Buy on 18th Aug 2023 at Rs 3,367.65</t>
  </si>
  <si>
    <t>TCS turned Mildly Bullish from Bullish on 18 Aug 2023 at Rs 3,367.65</t>
  </si>
  <si>
    <t>Excellent quality company basis long term financial performance. Largest company in IT - Software sector</t>
  </si>
  <si>
    <t xml:space="preserve"> Tata Sons Private Limited</t>
  </si>
  <si>
    <t>Tata Motors - DVR turned Mildly Bullish from Bullish on 17 Aug 2023 at Rs 400.60</t>
  </si>
  <si>
    <t>Icici Prudential Equity &amp; Debt Fund</t>
  </si>
  <si>
    <t>The score changed from Sell to Hold on 14th Aug 2023 at Rs 462.80</t>
  </si>
  <si>
    <t>Techno Elec.Engg turned Bullish from Mildly Bullish on 11 Jul 2023 at Rs 407.50</t>
  </si>
  <si>
    <t>Average quality company basis long term financial performance. Size - Ranks 10th out of 76 companies in Capital Goods sector</t>
  </si>
  <si>
    <t xml:space="preserve"> Varanasi Commercial Ltd.</t>
  </si>
  <si>
    <t>Dsp India T.i.g.e.r. Fund</t>
  </si>
  <si>
    <t>The score changed from Buy to Hold on 17th Aug 2023 at Rs 2,576.25</t>
  </si>
  <si>
    <t>Thermax turned Mildly Bullish from Bullish on 17 Aug 2023 at Rs 2,576.25</t>
  </si>
  <si>
    <t>Good quality company basis long term financial performance. Largest company in Engg - Industrial Equipments sector</t>
  </si>
  <si>
    <t xml:space="preserve"> Rda Holdings Private Ltd</t>
  </si>
  <si>
    <t>Kotak Infrastructure &amp; Economic Reform Fund</t>
  </si>
  <si>
    <t>The score changed from Hold to Sell on 14th Aug 2023 at Rs 3,216.25</t>
  </si>
  <si>
    <t>Timken India turned Mildly Bearish from Sideways on 17 Aug 2023 at Rs 3,213.00</t>
  </si>
  <si>
    <t>Good quality company basis long term financial performance. Size - Ranks 3rd out of 12 companies in Bearings sector</t>
  </si>
  <si>
    <t xml:space="preserve"> Timken Singapore Pte Ltd</t>
  </si>
  <si>
    <t>Sbi Tax Advantage Fund Series Iii</t>
  </si>
  <si>
    <t>The score changed from Strong Buy to Buy on 16th Aug 2023 at Rs 633.55</t>
  </si>
  <si>
    <t>Torrent Power turned Mildly Bullish from Bullish on 16 Aug 2023 at Rs 633.55</t>
  </si>
  <si>
    <t>Good quality company basis long term financial performance. Size - Ranks 8th out of 33 companies in Power sector</t>
  </si>
  <si>
    <t xml:space="preserve"> Torrent Investments Private Limited</t>
  </si>
  <si>
    <t>Gujarat State Financial Services Ltd</t>
  </si>
  <si>
    <t>The score changed from Hold to Sell on 10th Aug 2023 at Rs 1,537.65</t>
  </si>
  <si>
    <t>United Breweries turned Mildly Bearish from Sideways on 18 Aug 2023 at Rs 1,517.80</t>
  </si>
  <si>
    <t>Average quality company basis long term financial performance. Second largest company in Breweries sector</t>
  </si>
  <si>
    <t xml:space="preserve"> Scottish And Newcastle India Limited</t>
  </si>
  <si>
    <t>Derive Trading And Resorts Private Limited</t>
  </si>
  <si>
    <t>The score changed from Sell to Hold on 03rd Oct 2022 at Rs 6,240.70</t>
  </si>
  <si>
    <t>UltraTech Cem. turned Mildly Bullish from Bullish on 01 Aug 2023 at Rs 8,281.55</t>
  </si>
  <si>
    <t>Good quality company basis long term financial performance. Largest company in Cement sector</t>
  </si>
  <si>
    <t xml:space="preserve"> Grasim Industries Limited</t>
  </si>
  <si>
    <t>The score changed from Hold to Buy on 16th Aug 2023 at Rs 614.10</t>
  </si>
  <si>
    <t>Uno Minda turned Bullish from Mildly Bullish on 16 Aug 2023 at Rs 614.10</t>
  </si>
  <si>
    <t xml:space="preserve"> Minda Investments Limited</t>
  </si>
  <si>
    <t>Canara Robeco Mutual Fund A/c Canara Robeco Emerging Equities</t>
  </si>
  <si>
    <t>The score changed from Sell to Hold on 11th Nov 2022 at Rs 135.10</t>
  </si>
  <si>
    <t>Usha Martin turned Bullish from Mildly Bullish on 06 Jun 2023 at Rs 249.75</t>
  </si>
  <si>
    <t>Average quality company basis long term financial performance. Size - Ranks 8th out of 104 companies in Iron and Steel sector</t>
  </si>
  <si>
    <t xml:space="preserve"> Umil Share &amp; Stock Broking Services Ltd.</t>
  </si>
  <si>
    <t>India Opportunities Growth Fund Ltd - Pinewood Strategy</t>
  </si>
  <si>
    <t>The score changed from Buy to Hold on 03rd Jan 2023 at Rs 262.15</t>
  </si>
  <si>
    <t>V-Guard Industri turned Bullish from Mildly Bullish on 16 Jun 2023 at Rs 254.45</t>
  </si>
  <si>
    <t>Good quality company basis long term financial performance. Size - Ranks 3rd out of 15 companies in Consumer durables sector</t>
  </si>
  <si>
    <t xml:space="preserve"> Mithun Kochouseph Chittilappilly</t>
  </si>
  <si>
    <t>The score changed from Hold to Buy on 12th Jul 2023 at Rs 408.70</t>
  </si>
  <si>
    <t>Vimta Labs turned Bullish from Mildly Bullish on 07 Aug 2023 at Rs 460.25</t>
  </si>
  <si>
    <t>Good quality company basis long term financial performance. Second largest company in Medical Equipments sector</t>
  </si>
  <si>
    <t xml:space="preserve"> Sivalinga Prasad Vasireddi</t>
  </si>
  <si>
    <t>Eurofins Analytical Services India Pvt Ltd</t>
  </si>
  <si>
    <t>The score changed from Sell to Hold on 17th Aug 2023 at Rs 694.75</t>
  </si>
  <si>
    <t>V I P Inds. turned Mildly Bullish from Sideways on 17 Aug 2023 at Rs 694.75</t>
  </si>
  <si>
    <t>Good quality company basis long term financial performance. Size - Ranks 6th out of 15 companies in Consumer durables sector</t>
  </si>
  <si>
    <t xml:space="preserve"> D G P Securities Limited</t>
  </si>
  <si>
    <t>Aditya Birla Sun Life Trustee Private Limited A/c Aditya Birla Sun Life Small Cap Fund</t>
  </si>
  <si>
    <t>The score changed from Strong Sell to Sell on 29th Mar 2023 at Rs 811.65</t>
  </si>
  <si>
    <t>Voltas turned Mildly Bearish from Bearish on 01 Aug 2023 at Rs 797.35</t>
  </si>
  <si>
    <t>Average quality company basis long term financial performance. Largest company in Air Conditioners sector</t>
  </si>
  <si>
    <t xml:space="preserve"> Tata Sons Private Ltd</t>
  </si>
  <si>
    <t>The score changed from Sell to Hold on 25th Apr 2023 at Rs 629.65</t>
  </si>
  <si>
    <t>VRL Logistics turned Mildly Bullish from Bullish on 01 Aug 2023 at Rs 733.20</t>
  </si>
  <si>
    <t>Average quality company basis long term financial performance. Size - Ranks 6th out of 44 companies in Logistics sector</t>
  </si>
  <si>
    <t xml:space="preserve"> Anand Vijay Sankeshwar</t>
  </si>
  <si>
    <t>Bandhan Transportation And Logistics Fund</t>
  </si>
  <si>
    <t>The score changed from Sell to Hold on 07th Aug 2023 at Rs 1,471.35</t>
  </si>
  <si>
    <t>Whirlpool India turned Bullish from Mildly Bullish on 07 Aug 2023 at Rs 1,471.35</t>
  </si>
  <si>
    <t>Good quality company basis long term financial performance. Largest company in Domestic Appliances sector</t>
  </si>
  <si>
    <t xml:space="preserve"> Whirlpool Mauritius Ltd</t>
  </si>
  <si>
    <t>Kotak Emerging Equity Scheme</t>
  </si>
  <si>
    <t>https://www.marketsmojo.com/Stocks?StockId=493089&amp;Exchange=0</t>
  </si>
  <si>
    <t>https://www.marketsmojo.com/Stocks?StockId=605152&amp;Exchange=0</t>
  </si>
  <si>
    <t>https://www.marketsmojo.com/Stocks?StockId=1003009&amp;Exchange=0</t>
  </si>
  <si>
    <t>https://www.marketsmojo.com/Stocks?StockId=1003749&amp;Exchange=0</t>
  </si>
  <si>
    <t>https://www.marketsmojo.com/Stocks?StockId=793828&amp;Exchange=0</t>
  </si>
  <si>
    <t>https://www.marketsmojo.com/Stocks?StockId=816180&amp;Exchange=0</t>
  </si>
  <si>
    <t>https://www.marketsmojo.com/Stocks?StockId=664761&amp;Exchange=0</t>
  </si>
  <si>
    <t>https://www.marketsmojo.com/Stocks?StockId=1002829&amp;Exchange=0</t>
  </si>
  <si>
    <t>https://www.marketsmojo.com/Stocks?StockId=347516&amp;Exchange=0</t>
  </si>
  <si>
    <t>https://www.marketsmojo.com/Stocks?StockId=1003887&amp;Exchange=0</t>
  </si>
  <si>
    <t>https://www.marketsmojo.com/Stocks?StockId=1002694&amp;Exchange=0</t>
  </si>
  <si>
    <t>https://www.marketsmojo.com/Stocks?StockId=972470&amp;Exchange=0</t>
  </si>
  <si>
    <t>https://www.marketsmojo.com/Stocks?StockId=172368&amp;Exchange=0</t>
  </si>
  <si>
    <t>https://www.marketsmojo.com/Stocks?StockId=736279&amp;Exchange=0</t>
  </si>
  <si>
    <t>https://www.marketsmojo.com/Stocks?StockId=910193&amp;Exchange=0</t>
  </si>
  <si>
    <t>https://www.marketsmojo.com/Stocks?StockId=932267&amp;Exchange=0</t>
  </si>
  <si>
    <t>https://www.marketsmojo.com/Stocks?StockId=948699&amp;Exchange=0</t>
  </si>
  <si>
    <t>https://www.marketsmojo.com/Stocks?StockId=778316&amp;Exchange=0</t>
  </si>
  <si>
    <t>https://www.marketsmojo.com/Stocks?StockId=197397&amp;Exchange=0</t>
  </si>
  <si>
    <t>https://www.marketsmojo.com/Stocks?StockId=952728&amp;Exchange=0</t>
  </si>
  <si>
    <t>https://www.marketsmojo.com/Stocks?StockId=513374&amp;Exchange=0</t>
  </si>
  <si>
    <t>https://www.marketsmojo.com/Stocks?StockId=302622&amp;Exchange=0</t>
  </si>
  <si>
    <t>https://www.marketsmojo.com/Stocks?StockId=585342&amp;Exchange=0</t>
  </si>
  <si>
    <t>https://www.marketsmojo.com/Stocks?StockId=685105&amp;Exchange=0</t>
  </si>
  <si>
    <t>https://www.marketsmojo.com/Stocks?StockId=789133&amp;Exchange=0</t>
  </si>
  <si>
    <t>https://www.marketsmojo.com/Stocks?StockId=257504&amp;Exchange=0</t>
  </si>
  <si>
    <t>https://www.marketsmojo.com/Stocks?StockId=477933&amp;Exchange=0</t>
  </si>
  <si>
    <t>https://www.marketsmojo.com/Stocks?StockId=504759&amp;Exchange=0</t>
  </si>
  <si>
    <t>https://www.marketsmojo.com/Stocks?StockId=824163&amp;Exchange=0</t>
  </si>
  <si>
    <t>https://www.marketsmojo.com/Stocks?StockId=604024&amp;Exchange=0</t>
  </si>
  <si>
    <t>https://www.marketsmojo.com/Stocks?StockId=258069&amp;Exchange=0</t>
  </si>
  <si>
    <t>https://www.marketsmojo.com/Stocks?StockId=179255&amp;Exchange=0</t>
  </si>
  <si>
    <t>https://www.marketsmojo.com/Stocks?StockId=275976&amp;Exchange=0</t>
  </si>
  <si>
    <t>https://www.marketsmojo.com/Stocks?StockId=226565&amp;Exchange=0</t>
  </si>
  <si>
    <t>https://www.marketsmojo.com/Stocks?StockId=392774&amp;Exchange=0</t>
  </si>
  <si>
    <t>https://www.marketsmojo.com/Stocks?StockId=958236&amp;Exchange=0</t>
  </si>
  <si>
    <t>https://www.marketsmojo.com/Stocks?StockId=10038962&amp;Exchange=0</t>
  </si>
  <si>
    <t>Yatharth Hospit. turned Sideways from on 07 Aug 2023 at Rs 333.75</t>
  </si>
  <si>
    <t>Score 0</t>
  </si>
  <si>
    <t xml:space="preserve"> Ajay Kumar Tyagi</t>
  </si>
  <si>
    <t>Krishna Tyagi</t>
  </si>
  <si>
    <t>The score changed from Strong Sell to Sell on 08th Aug 2023 at Rs 238.25</t>
  </si>
  <si>
    <t>Zee Entertainmen turned Mildly Bullish from Sideways on 10 Aug 2023 at Rs 285.55</t>
  </si>
  <si>
    <t>Average quality company basis long term financial performance. Largest company in TV Broadcasting &amp; Software sector</t>
  </si>
  <si>
    <t xml:space="preserve"> Essel Media Ventures Limited</t>
  </si>
  <si>
    <t>The score changed from Hold to Buy on 14th Aug 2023 at Rs 502.25</t>
  </si>
  <si>
    <t>Zensar Tech. turned Bullish from Mildly Bullish on 10 Aug 2023 at Rs 514.10</t>
  </si>
  <si>
    <t>Good quality company basis long term financial performance. Size - Ranks 16th out of 149 companies in IT - Software sector</t>
  </si>
  <si>
    <t>Nippon Life India Trustee Ltd-a/c Nippon India Nif</t>
  </si>
  <si>
    <t>since 6 months 12 days</t>
  </si>
  <si>
    <t>The score changed from Strong Buy to Buy on 24th May 2023 at Rs 10,526.80</t>
  </si>
  <si>
    <t>ZF Commercial turned Bullish from Mildly Bullish on 18 May 2023 at Rs 10,445.60</t>
  </si>
  <si>
    <t>Good quality company basis long term financial performance. Size - Ranks 3rd out of 89 companies in Auto Anc sector</t>
  </si>
  <si>
    <t xml:space="preserve"> Wabco Asia Private Limited</t>
  </si>
  <si>
    <t>https://www.marketsmojo.com/Stocks?StockId=643071&amp;Exchange=0</t>
  </si>
  <si>
    <t>https://www.marketsmojo.com/Stocks?StockId=713730&amp;Exchange=0</t>
  </si>
  <si>
    <t>https://www.marketsmojo.com/Stocks?StockId=681461&amp;Exchange=0</t>
  </si>
  <si>
    <t>The score changed from Strong Sell to Sell on 05th Jun 2023 at Rs 166.20</t>
  </si>
  <si>
    <t>Indian Hume Pipe turned Bullish from Mildly Bullish on 04 Aug 2023 at Rs 276.65</t>
  </si>
  <si>
    <t>Below Average quality company basis long term financial performance. Size - Ranks 5th out of 10 companies in Construction Material sector</t>
  </si>
  <si>
    <t xml:space="preserve"> Ihp Finvest Ltd</t>
  </si>
  <si>
    <t>Ymsh Management Consultants Llp</t>
  </si>
  <si>
    <t>The score changed from Sell to Hold on 10th May 2023 at Rs 2,223.85</t>
  </si>
  <si>
    <t>Interglobe Aviat turned Mildly Bullish from Bullish on 14 Aug 2023 at Rs 2,548.35</t>
  </si>
  <si>
    <t>Score 39</t>
  </si>
  <si>
    <t xml:space="preserve"> Interglobe Enterprises Private Limited</t>
  </si>
  <si>
    <t>Jwalamukhi Investment Holdings</t>
  </si>
  <si>
    <t>https://www.marketsmojo.com/Stocks?StockId=942521&amp;Exchange=0</t>
  </si>
  <si>
    <t>https://www.marketsmojo.com/Stocks?StockId=455546&amp;Exchange=0</t>
  </si>
  <si>
    <t>The Ramco Cements Ltd.'s share price target is above the current price, with an upside of 2.4%</t>
  </si>
  <si>
    <t>https://trendlyne.com/equity/1103/RAMCOCEM/the-ramco-cements-ltd/</t>
  </si>
  <si>
    <t>Ideaforge Tech turned Sideways from on 07 Jul 2023 at Rs 1,295.50</t>
  </si>
  <si>
    <t xml:space="preserve"> Ankit Mehta</t>
  </si>
  <si>
    <t>Florintree Enterprises Llp</t>
  </si>
  <si>
    <t>The score changed from Buy to Strong Buy on 11th May 2023 at Rs 1,187.55</t>
  </si>
  <si>
    <t>IndusInd Bank turned Bullish from Mildly Bullish on 14 Aug 2023 at Rs 1,388.85</t>
  </si>
  <si>
    <t>Excellent quality company basis long term financial performance. Size - Ranks 5th out of 18 companies in Private Banks sector</t>
  </si>
  <si>
    <t xml:space="preserve"> Indusind International Holdings Ltd</t>
  </si>
  <si>
    <t>Route One Offshore Master Fund, L.p.</t>
  </si>
  <si>
    <t>The score changed from Sell to Hold on 29th May 2023 at Rs 155.55</t>
  </si>
  <si>
    <t>Indus Towers turned Mildly Bearish from Bearish on 25 May 2023 at Rs 147.60</t>
  </si>
  <si>
    <t>Good quality company basis long term financial performance. Largest company in Telecom - Equipment sector</t>
  </si>
  <si>
    <t xml:space="preserve"> Bharti Airtel Limited</t>
  </si>
  <si>
    <t>Silverview Portfolio Investments Pte. Ltd.</t>
  </si>
  <si>
    <t>The score changed from Sell to Strong Sell on 12th Nov 2022 at Rs 2,715.00</t>
  </si>
  <si>
    <t>Orissa Minerals turned Bullish from Mildly Bullish on 27 Jun 2023 at Rs 3,407.30</t>
  </si>
  <si>
    <t>Score -21</t>
  </si>
  <si>
    <t xml:space="preserve"> Eastern Investments Limited</t>
  </si>
  <si>
    <t>Lic Asm Non Par</t>
  </si>
  <si>
    <t>The score changed from Hold to Sell on 18th Aug 2023 at Rs 852.70</t>
  </si>
  <si>
    <t>The Ramco Cement turned Sideways from Mildly Bullish on 18 Aug 2023 at Rs 852.70</t>
  </si>
  <si>
    <t>Average quality company basis long term financial performance. Size - Ranks 8th out of 36 companies in Cement sector</t>
  </si>
  <si>
    <t xml:space="preserve"> Ramco Industries Limited</t>
  </si>
  <si>
    <t>Life Insurance Corporation Of India And Other Account</t>
  </si>
  <si>
    <t>https://www.marketsmojo.com/Stocks?StockId=1003880&amp;Exchange=0</t>
  </si>
  <si>
    <t>https://www.marketsmojo.com/Stocks?StockId=250217&amp;Exchange=0</t>
  </si>
  <si>
    <t>https://www.marketsmojo.com/Stocks?StockId=433635&amp;Exchange=0</t>
  </si>
  <si>
    <t>https://www.marketsmojo.com/Stocks?StockId=345424&amp;Exchange=0</t>
  </si>
  <si>
    <t>&gt;35</t>
  </si>
  <si>
    <t>&gt;30</t>
  </si>
  <si>
    <t>&gt;55</t>
  </si>
  <si>
    <t>&gt;50</t>
  </si>
  <si>
    <t>&gt;60</t>
  </si>
  <si>
    <t>Forecast Consensus</t>
  </si>
  <si>
    <t>Financial Trend</t>
  </si>
  <si>
    <t>IndusInd Bank Ltd.'s share price target is above the current price, with an upside of 15.0%</t>
  </si>
  <si>
    <t>Comment Status</t>
  </si>
  <si>
    <t>Company</t>
  </si>
  <si>
    <t>Fund</t>
  </si>
  <si>
    <t>No. of Shares 2</t>
  </si>
  <si>
    <t>No. of Shares 4</t>
  </si>
  <si>
    <t>Change</t>
  </si>
  <si>
    <t>Preferred Rank</t>
  </si>
  <si>
    <t>Status</t>
  </si>
  <si>
    <t>Narayana Hrudayalaya Limited</t>
  </si>
  <si>
    <t>Krishna Institute Of Medical Sciences Limited</t>
  </si>
  <si>
    <t>RHI Magnesita India Limited</t>
  </si>
  <si>
    <t>MTAR Technologies Limited</t>
  </si>
  <si>
    <t>Mas Financial Services Limited</t>
  </si>
  <si>
    <t>Cholamandalam Investment and Finance Company Ltd</t>
  </si>
  <si>
    <t>Multi Commodity Exchange of India Limited</t>
  </si>
  <si>
    <t>TeamLease Services Limited</t>
  </si>
  <si>
    <t>HDFC Bank Ltd</t>
  </si>
  <si>
    <t>ICICI Bank Ltd</t>
  </si>
  <si>
    <t>Reliance Industries Ltd</t>
  </si>
  <si>
    <t>Infosys Ltd</t>
  </si>
  <si>
    <t>Larsen &amp; Toubro Ltd</t>
  </si>
  <si>
    <t>ITC Ltd</t>
  </si>
  <si>
    <t>Tata Consultancy Services Ltd</t>
  </si>
  <si>
    <t>Bajaj Finance Ltd</t>
  </si>
  <si>
    <t>Sun Pharmaceutical Industries Ltd</t>
  </si>
  <si>
    <t>Maruti Suzuki India Ltd</t>
  </si>
  <si>
    <t>Kotak Mahindra Bank Ltd</t>
  </si>
  <si>
    <t>NTPC Ltd</t>
  </si>
  <si>
    <t>Tata Motors Ltd</t>
  </si>
  <si>
    <t>Cholamandalam Investment and Finance Co Ltd</t>
  </si>
  <si>
    <t>HCL Technologies Ltd</t>
  </si>
  <si>
    <t>Titan Co Ltd</t>
  </si>
  <si>
    <t>IndusInd Bank Ltd</t>
  </si>
  <si>
    <t>Bharat Electronics Ltd</t>
  </si>
  <si>
    <t>United Spirits Ltd</t>
  </si>
  <si>
    <t>Siemens Ltd</t>
  </si>
  <si>
    <t>Bajaj Auto Ltd</t>
  </si>
  <si>
    <t>Interglobe Aviation Ltd</t>
  </si>
  <si>
    <t>Tata Steel Ltd</t>
  </si>
  <si>
    <t>Max Healthcare Institute Ltd</t>
  </si>
  <si>
    <t>SBI Life Insurance Co Ltd</t>
  </si>
  <si>
    <t>Abbott India Ltd</t>
  </si>
  <si>
    <t>PI Industries Ltd</t>
  </si>
  <si>
    <t>Sona Blw Precision Forgings Ltd</t>
  </si>
  <si>
    <t>Avenue Supermarts Ltd</t>
  </si>
  <si>
    <t>Page Industries Ltd</t>
  </si>
  <si>
    <t>Jio Financial Services Ltd</t>
  </si>
  <si>
    <t>Tata Consumer Products Ltd</t>
  </si>
  <si>
    <t>Dr. Reddy's Laboratories Ltd</t>
  </si>
  <si>
    <t>Hindalco Industries Ltd</t>
  </si>
  <si>
    <t>HDFC Bank Ltd.</t>
  </si>
  <si>
    <t>ITC Ltd.</t>
  </si>
  <si>
    <t>Tech Mahindra Ltd.</t>
  </si>
  <si>
    <t>Lupin Ltd.</t>
  </si>
  <si>
    <t>HCL Technologies Ltd.</t>
  </si>
  <si>
    <t>ICICI Prudential Life Insurance Company Ltd.</t>
  </si>
  <si>
    <t>Bharat Petroleum Corporation Ltd.</t>
  </si>
  <si>
    <t>Procter &amp; Gamble Hygiene and Health Care Ltd.</t>
  </si>
  <si>
    <t>United Breweries Ltd.</t>
  </si>
  <si>
    <t>State Bank Of India</t>
  </si>
  <si>
    <t>Kotak Mahindra Bank Ltd.</t>
  </si>
  <si>
    <t>Grasim Industries Ltd.</t>
  </si>
  <si>
    <t>Mahindra &amp; Mahindra Ltd.</t>
  </si>
  <si>
    <t>Wells Fargo &amp; Co</t>
  </si>
  <si>
    <t>Cummins India Ltd.</t>
  </si>
  <si>
    <t>ICICI Lombard General Insurance Company Ltd.</t>
  </si>
  <si>
    <t>Titan Company Ltd.</t>
  </si>
  <si>
    <t>Cognizant Tech Solutions</t>
  </si>
  <si>
    <t>Trent Ltd.</t>
  </si>
  <si>
    <t>Max Financial Services Ltd.</t>
  </si>
  <si>
    <t>Jm Financial Ltd.</t>
  </si>
  <si>
    <t>Life Insurance Corporation of India</t>
  </si>
  <si>
    <t>Bajaj Auto Ltd.</t>
  </si>
  <si>
    <t>Cipla Ltd.</t>
  </si>
  <si>
    <t>Gujarat Pipavav Port Ltd.</t>
  </si>
  <si>
    <t>Glaxosmithkline Pharmaceuticals Ltd.</t>
  </si>
  <si>
    <t>Gillette India Ltd.</t>
  </si>
  <si>
    <t>Mphasis Ltd.</t>
  </si>
  <si>
    <t>Birla Corporation Ltd.</t>
  </si>
  <si>
    <t>Power Grid Corporation Of India Ltd.</t>
  </si>
  <si>
    <t>Ambuja Cements Ltd.</t>
  </si>
  <si>
    <t>EPL Ltd.</t>
  </si>
  <si>
    <t>Rolex Rings Ltd.</t>
  </si>
  <si>
    <t>Cholamandalam Financial Holdings Ltd.</t>
  </si>
  <si>
    <t>V-Mart Retail Ltd.</t>
  </si>
  <si>
    <t>Multi Commodity Exchange Of India Ltd.</t>
  </si>
  <si>
    <t>Mahindra Lifespace Developers Ltd.</t>
  </si>
  <si>
    <t>Tarsons Products Ltd.</t>
  </si>
  <si>
    <t>Arvind Fashions Ltd.</t>
  </si>
  <si>
    <t>PNC Infratech Ltd.</t>
  </si>
  <si>
    <t>Vijaya Diagnostic Centre Pvt Ltd.</t>
  </si>
  <si>
    <t>Sapphire Foods India Ltd</t>
  </si>
  <si>
    <t>Brigade Enterprises Ltd.</t>
  </si>
  <si>
    <t>Jamna Auto Industries Ltd.</t>
  </si>
  <si>
    <t>Jyothy Laboratories Ltd.</t>
  </si>
  <si>
    <t>Aster DM Healthcare Ltd.</t>
  </si>
  <si>
    <t>VRL Logistics Ltd.</t>
  </si>
  <si>
    <t>Sansera Engineering Ltd.</t>
  </si>
  <si>
    <t>Gateway Distriparks Ltd</t>
  </si>
  <si>
    <t>Sudarshan Chemical Industries Ltd.</t>
  </si>
  <si>
    <t>TD Power Systems Ltd.</t>
  </si>
  <si>
    <t>Camlin Fine Sciences Ltd.</t>
  </si>
  <si>
    <t>Kalpataru Power Transmission Ltd.</t>
  </si>
  <si>
    <t>Equitas Small Finance Bank Ltd.</t>
  </si>
  <si>
    <t>V.S.T Tillers Tractors Ltd.</t>
  </si>
  <si>
    <t>Finolex Cables Ltd.</t>
  </si>
  <si>
    <t>Go Fashion India Ltd.</t>
  </si>
  <si>
    <t>FDC Ltd.</t>
  </si>
  <si>
    <t>Dixon Technologies (India) Ltd.</t>
  </si>
  <si>
    <t>Archean Chemicals Ltd.</t>
  </si>
  <si>
    <t>Indoco Remedies Ltd.</t>
  </si>
  <si>
    <t>Barbeque Nation Hospitality</t>
  </si>
  <si>
    <t>EIH Ltd.</t>
  </si>
  <si>
    <t>DCB Bank Ltd.</t>
  </si>
  <si>
    <t>Windlas Biotech Ltd.</t>
  </si>
  <si>
    <t>Matrimony.com Ltd.</t>
  </si>
  <si>
    <t>S. P. Apparels Ltd.</t>
  </si>
  <si>
    <t>Krsnaa Diagnostics Ltd.</t>
  </si>
  <si>
    <t>Teamlease Services Ltd.</t>
  </si>
  <si>
    <t>SKF India Ltd</t>
  </si>
  <si>
    <t>Thermax Ltd.</t>
  </si>
  <si>
    <t>P I Industries Ltd</t>
  </si>
  <si>
    <t>IPCA Laboratories Ltd.</t>
  </si>
  <si>
    <t>AU Small Finance Bank Ltd.</t>
  </si>
  <si>
    <t>ICICI BANK LTD.</t>
  </si>
  <si>
    <t>SRF Ltd.</t>
  </si>
  <si>
    <t>BLUE STAR LTD.</t>
  </si>
  <si>
    <t>Mahindra &amp; Mahindra Financial Services Ltd.</t>
  </si>
  <si>
    <t>Vedant Fashions Ltd.</t>
  </si>
  <si>
    <t>AXIS BANK LTD.</t>
  </si>
  <si>
    <t>STATE BANK OF INDIA.</t>
  </si>
  <si>
    <t>Balkrishna Industries Ltd</t>
  </si>
  <si>
    <t>MRF Ltd.</t>
  </si>
  <si>
    <t>Max Financial Services Ltd</t>
  </si>
  <si>
    <t>Zydus Lifesciences Ltd.</t>
  </si>
  <si>
    <t>Emami Ltd.</t>
  </si>
  <si>
    <t>Apollo Hospitals Enterprise Ltd.</t>
  </si>
  <si>
    <t>Amber Enterprises India Ltd</t>
  </si>
  <si>
    <t>HDFC BANK LTD.</t>
  </si>
  <si>
    <t>Tata Consumer Products Ltd.</t>
  </si>
  <si>
    <t>Metro Brands Ltd.</t>
  </si>
  <si>
    <t>ZF Commercial Vehicle Control Systems India Ltd</t>
  </si>
  <si>
    <t>Shree Cement Ltd.</t>
  </si>
  <si>
    <t>SAMVARDHANA MOTHERSON INTERNATIONAL LTD</t>
  </si>
  <si>
    <t>Gujarat Gas Company Ltd.</t>
  </si>
  <si>
    <t>Hawkins Cooker Ltd</t>
  </si>
  <si>
    <t>Honeywell Automation India Ltd.</t>
  </si>
  <si>
    <t>City Union Bank Ltd.</t>
  </si>
  <si>
    <t>AMBUJA CEMENTS LTD.</t>
  </si>
  <si>
    <t>Godrej Agrovet Ltd.</t>
  </si>
  <si>
    <t>PNC Infratech</t>
  </si>
  <si>
    <t>Larsen &amp; Toubro Infotech Ltd</t>
  </si>
  <si>
    <t>PB Fintech Ltd.</t>
  </si>
  <si>
    <t>HDFC LTD.</t>
  </si>
  <si>
    <t>Carborundum Universal Ltd.</t>
  </si>
  <si>
    <t>Sansera Engineering Ltd</t>
  </si>
  <si>
    <t>Somany Ceramics Ltd.</t>
  </si>
  <si>
    <t>Shyam Metalics and Energy Limited Ltd</t>
  </si>
  <si>
    <t>Tata Chemicals Ltd.</t>
  </si>
  <si>
    <t>V.S.T Tillers Tractors Ltd</t>
  </si>
  <si>
    <t>Apollo Pipes Ltd</t>
  </si>
  <si>
    <t>Aavas Financiers Ltd</t>
  </si>
  <si>
    <t>Go Fashion (India) Ltd</t>
  </si>
  <si>
    <t>Sandhar Technologies Ltd.</t>
  </si>
  <si>
    <t>WPIL Ltd</t>
  </si>
  <si>
    <t>KNR Constructions Ltd.</t>
  </si>
  <si>
    <t>HERITAGE FOODS LTD</t>
  </si>
  <si>
    <t>Hindustan Oil Exploration Co Ltd.</t>
  </si>
  <si>
    <t>BEML Land Assets Ltd.</t>
  </si>
  <si>
    <t>Anand Rathi Wealth Ltd.</t>
  </si>
  <si>
    <t>Clean Science and Technology Ltd</t>
  </si>
  <si>
    <t>Globsyn Technologies Limited**</t>
  </si>
  <si>
    <t>Tata Consumer Products Limited</t>
  </si>
  <si>
    <t>Elantas Beck India Limited</t>
  </si>
  <si>
    <t>NIIT Learning Systems Limited</t>
  </si>
  <si>
    <t>Kirloskar Pneumatic Company Limited</t>
  </si>
  <si>
    <t>Avalon Technologies Limited</t>
  </si>
  <si>
    <t>ISGEC Heavy Engineering Limited</t>
  </si>
  <si>
    <t>SIS Limited</t>
  </si>
  <si>
    <t>Venus Pipes And Tubes Limited</t>
  </si>
  <si>
    <t>Kirloskar Ferrous Industries Limited</t>
  </si>
  <si>
    <t>Cyient Dlm Ltd</t>
  </si>
  <si>
    <t>Westlife Foodworld Limited</t>
  </si>
  <si>
    <t>Cholamandalam Investment &amp; Finance Company Ltd.</t>
  </si>
  <si>
    <t>Tube Investments Of India Ltd.</t>
  </si>
  <si>
    <t>Max Healthcare Institute Ltd.</t>
  </si>
  <si>
    <t>Abbott India Ltd.</t>
  </si>
  <si>
    <t>Indraprastha Gas Ltd.</t>
  </si>
  <si>
    <t>Navin Fluorine International Ltd.</t>
  </si>
  <si>
    <t>SKF India Ltd.</t>
  </si>
  <si>
    <t>UNO Minda Ltd.</t>
  </si>
  <si>
    <t>Gujarat Gas Ltd.</t>
  </si>
  <si>
    <t>Poonawalla Fincorp Ltd.</t>
  </si>
  <si>
    <t>Radico Khaitan Ltd.</t>
  </si>
  <si>
    <t>Creditaccess Grameen Ltd.</t>
  </si>
  <si>
    <t>Balkrishna Industries Ltd.</t>
  </si>
  <si>
    <t>Sona BLW Precision Forgings Ltd.</t>
  </si>
  <si>
    <t>Motherson Sumi Wiring India Ltd.</t>
  </si>
  <si>
    <t>Container Corporation Of India Ltd.</t>
  </si>
  <si>
    <t>Escorts Kubota Ltd.</t>
  </si>
  <si>
    <t>Supreme Industries Ltd.</t>
  </si>
  <si>
    <t>Coforge Ltd.</t>
  </si>
  <si>
    <t>The Indian Hotels Company Ltd.</t>
  </si>
  <si>
    <t>L&amp;T Technology Services Ltd.</t>
  </si>
  <si>
    <t>Solar Industries India Ltd.</t>
  </si>
  <si>
    <t>VARUN BEVERAGES LIMITED</t>
  </si>
  <si>
    <t>United Spirits Ltd.</t>
  </si>
  <si>
    <t>Vinati Organics Ltd.</t>
  </si>
  <si>
    <t>Star Health &amp; Allied Insurance Co Ltd.</t>
  </si>
  <si>
    <t>ZF Commercial Vehicle Ctrl Sys Ind Ltd.</t>
  </si>
  <si>
    <t>Central Depository Services (I) Ltd.</t>
  </si>
  <si>
    <t>CRISIL Ltd.</t>
  </si>
  <si>
    <t>Sumitomo Chemical India Ltd.</t>
  </si>
  <si>
    <t>Schaeffler India Ltd.</t>
  </si>
  <si>
    <t>Clean Science and Technology Ltd.</t>
  </si>
  <si>
    <t>Bharat Rasayan Ltd.</t>
  </si>
  <si>
    <t>Devyani International Ltd.</t>
  </si>
  <si>
    <t>Prestige Estates Projects Ltd.</t>
  </si>
  <si>
    <t>Aavas Financiers Ltd.</t>
  </si>
  <si>
    <t>Grindwell Norton Ltd.</t>
  </si>
  <si>
    <t>Coal India Ltd</t>
  </si>
  <si>
    <t>Zee Entertainment Ent Ltd</t>
  </si>
  <si>
    <t>Bharat Heavy Electricals Ltd</t>
  </si>
  <si>
    <t>Linde India Ltd.</t>
  </si>
  <si>
    <t>Bandhan Bank Ltd.</t>
  </si>
  <si>
    <t>Hindustan Petroleum Corporation Ltd</t>
  </si>
  <si>
    <t>Sundaram Finance Ltd</t>
  </si>
  <si>
    <t>Sundram Fasteners Ltd</t>
  </si>
  <si>
    <t>IPCA Laboratories Ltd</t>
  </si>
  <si>
    <t>TV18 Broadcast Ltd</t>
  </si>
  <si>
    <t>Strides Pharma Science Ltd</t>
  </si>
  <si>
    <t>Delta Corp Ltd</t>
  </si>
  <si>
    <t>Neuland Laboratories Ltd</t>
  </si>
  <si>
    <t>EID Parry (India) Ltd</t>
  </si>
  <si>
    <t>Best Agrolife Limited</t>
  </si>
  <si>
    <t>Garware Hi-Tech Films Ltd</t>
  </si>
  <si>
    <t>RITES LIMITED</t>
  </si>
  <si>
    <t>NCC Ltd</t>
  </si>
  <si>
    <t>PUNJAB ALKALIES AND CHEMICALS LTD</t>
  </si>
  <si>
    <t>Prudent Corporate Advisory Services Ltd</t>
  </si>
  <si>
    <t>Sun Pharma Advanced Research Co. Ltd</t>
  </si>
  <si>
    <t>DIVGI TORQTRANSFER SYSTEMS LIMITED</t>
  </si>
  <si>
    <t>Tube Investments of India Ltd.</t>
  </si>
  <si>
    <t>Torrent Power Ltd.</t>
  </si>
  <si>
    <t>Cholamandalam Investment &amp; Finance Co. Ltd.</t>
  </si>
  <si>
    <t>Aether Industries Ltd.</t>
  </si>
  <si>
    <t>Sheela Foam Ltd.</t>
  </si>
  <si>
    <t>Sona Blw Precision Forgings Ltd.</t>
  </si>
  <si>
    <t>Gokaldas Exports Ltd.</t>
  </si>
  <si>
    <t>Mankind Pharma Ltd.</t>
  </si>
  <si>
    <t>Endurance Technologies Ltd.</t>
  </si>
  <si>
    <t>The Ramco Cements Ltd.</t>
  </si>
  <si>
    <t>ZF Commercial Vehicle Control Systems India Ltd.</t>
  </si>
  <si>
    <t>PI Industries Ltd.</t>
  </si>
  <si>
    <t>Tatva Chintan Pharma Chem Ltd.</t>
  </si>
  <si>
    <t>HDFC Asset Management Co. Ltd.</t>
  </si>
  <si>
    <t>Pfizer Ltd.</t>
  </si>
  <si>
    <t>Sanofi India Ltd.</t>
  </si>
  <si>
    <t>National Aluminium Company Ltd.</t>
  </si>
  <si>
    <t>Natco Pharma Ltd.</t>
  </si>
  <si>
    <t>Dodla Dairy Ltd.</t>
  </si>
  <si>
    <t>G R Infra projects Ltd.</t>
  </si>
  <si>
    <t>Prism Johnson Ltd.</t>
  </si>
  <si>
    <t>Nuvoco Vistas Corporation Ltd.</t>
  </si>
  <si>
    <t>Swaraj Engines Ltd.</t>
  </si>
  <si>
    <t>Info Edge (India) Ltd.</t>
  </si>
  <si>
    <t>Mangalam Cement Ltd.</t>
  </si>
  <si>
    <t>Indigo Paints Ltd.</t>
  </si>
  <si>
    <t>Manpasand Beverages Ltd.</t>
  </si>
  <si>
    <t>Count of Company</t>
  </si>
  <si>
    <t>Name</t>
  </si>
  <si>
    <t>Total Fund</t>
  </si>
  <si>
    <t>Large Cap</t>
  </si>
  <si>
    <t>Mid Cap</t>
  </si>
  <si>
    <t>Small Cap</t>
  </si>
  <si>
    <t>Rating</t>
  </si>
  <si>
    <t>Rank</t>
  </si>
  <si>
    <t>Abbott India Limited</t>
  </si>
  <si>
    <t>Cholamandalam Investment and Finance Co Limited</t>
  </si>
  <si>
    <t>Dixon Technologies India Limited</t>
  </si>
  <si>
    <t>EID Parry (India) Limited</t>
  </si>
  <si>
    <t>Hawkins Cooker Limited</t>
  </si>
  <si>
    <t>HERITAGE FOODS Limited</t>
  </si>
  <si>
    <t>KALPATARU POWER TRANSMISSION Limited</t>
  </si>
  <si>
    <t>Larsen &amp; Toubro Infotech Limited</t>
  </si>
  <si>
    <t>P I Industries Limited</t>
  </si>
  <si>
    <t>PUNJAB ALKALIES AND CHEMICALS Limited</t>
  </si>
  <si>
    <t>SAMVARDHANA MOTHERSON INTERNATIONAL Limited</t>
  </si>
  <si>
    <t>SBI Life Insurance Co Limited</t>
  </si>
  <si>
    <t>Shyam Metalics and Energy Limited Limited</t>
  </si>
  <si>
    <t>Sona Blw Precision Forgings Limited</t>
  </si>
  <si>
    <t>Titan Co Limited</t>
  </si>
  <si>
    <t>WPIL Limited</t>
  </si>
  <si>
    <t>Archean Chemicals Limited</t>
  </si>
  <si>
    <t>BEML Land Assets Limited</t>
  </si>
  <si>
    <t>Central Depository Services (I) Limited</t>
  </si>
  <si>
    <t>Cholamandalam Investment &amp; Finance Co Limited</t>
  </si>
  <si>
    <t>Cholamandalam Investment &amp; Finance Company Limited</t>
  </si>
  <si>
    <t>Container Corporation Of India Limited</t>
  </si>
  <si>
    <t>Creditaccess Grameen Limited</t>
  </si>
  <si>
    <t>Dr Lal Path Labs Limited</t>
  </si>
  <si>
    <t>Dr Reddy's Laboratories Limited</t>
  </si>
  <si>
    <t>G R Infra projects Limited</t>
  </si>
  <si>
    <t>Glaxosmithkline Pharmaceuticals Limited</t>
  </si>
  <si>
    <t>Go Fashion India Limited</t>
  </si>
  <si>
    <t>Gujarat Gas Company Limited</t>
  </si>
  <si>
    <t>HG Infra Engineering Limited</t>
  </si>
  <si>
    <t>HDFC Asset Management Co Limited</t>
  </si>
  <si>
    <t>Hindustan Oil Exploration Co Limited</t>
  </si>
  <si>
    <t>Jm Financial Limited</t>
  </si>
  <si>
    <t>Jyothy Laboratories Limited</t>
  </si>
  <si>
    <t>KPR Mill Limited</t>
  </si>
  <si>
    <t>Matrimonycom Limited</t>
  </si>
  <si>
    <t>Minda Industries Limited</t>
  </si>
  <si>
    <t>Mphasis Limited</t>
  </si>
  <si>
    <t>Multi Commodity Exchange Of India Limited</t>
  </si>
  <si>
    <t>Power Grid Corporation Of India Limited</t>
  </si>
  <si>
    <t>S P Apparels Limited</t>
  </si>
  <si>
    <t>SJS Enterprises Limited</t>
  </si>
  <si>
    <t>SBI Cards &amp; Payment Services Limited</t>
  </si>
  <si>
    <t>Shree Cement Limited</t>
  </si>
  <si>
    <t>Star Health &amp; Allied Insurance Co Limited</t>
  </si>
  <si>
    <t>STATE BANK OF INDIA</t>
  </si>
  <si>
    <t>Sun Pharma Advanced Research Co Limited</t>
  </si>
  <si>
    <t>TCNS Clothing Co Limited</t>
  </si>
  <si>
    <t>Tube Investments Of India Limited</t>
  </si>
  <si>
    <t>VST Tillers Tractors Limited</t>
  </si>
  <si>
    <t>Vijaya Diagnostic Centre Pvt Limited</t>
  </si>
  <si>
    <t>ZF Commercial Vehicle Ctrl Sys Ind Limited</t>
  </si>
  <si>
    <t>ABBOTT INDIA</t>
  </si>
  <si>
    <t>AVALON</t>
  </si>
  <si>
    <t>BLAL</t>
  </si>
  <si>
    <t>BESTAGRO</t>
  </si>
  <si>
    <t>CTSH</t>
  </si>
  <si>
    <t>ELANTAS</t>
  </si>
  <si>
    <t>HAWKINCOOK</t>
  </si>
  <si>
    <t>KIRLPNU</t>
  </si>
  <si>
    <t>MANKIND</t>
  </si>
  <si>
    <t>MCX</t>
  </si>
  <si>
    <t>NIITMTS</t>
  </si>
  <si>
    <t>WPIL</t>
  </si>
  <si>
    <t>TCNS</t>
  </si>
  <si>
    <t>WESTLIFE</t>
  </si>
  <si>
    <t/>
  </si>
  <si>
    <t>3M India Ltd.'s share price target is above the current price, with an upside of 16.0%</t>
  </si>
  <si>
    <t>Aavas Financiers Ltd.'s share price target is above the current price, with an upside of 6.1%</t>
  </si>
  <si>
    <t>ABB India Ltd.'s share price target is above the current price, with an upside of 0.5%</t>
  </si>
  <si>
    <t>Abbott India Ltd.'s share price target is above the current price, with an upside of 1.5%</t>
  </si>
  <si>
    <t>Aether Industries Ltd.'s share price target is above the current price, with an upside of 3.4%</t>
  </si>
  <si>
    <t>Affle (India) Ltd.'s share price target is above the current price, with an upside of 10.1%</t>
  </si>
  <si>
    <t>AGS Transact Technologies Ltd.'s share price target is above the current price, with an upside of 56.0%</t>
  </si>
  <si>
    <t>Ahluwalia Contracts (India) Ltd.'s share price target is above the current price, with an upside of 10.2%</t>
  </si>
  <si>
    <t>Ajanta Pharma Ltd.'s share price target is above the current price, with an upside of 4.8%</t>
  </si>
  <si>
    <t>Alicon Castalloy Ltd.'s share price target is above the current price, with an upside of 5.8%</t>
  </si>
  <si>
    <t>Amber Enterprises India Ltd.'s share price target is below the current price, with a downside of 6.3%</t>
  </si>
  <si>
    <t>Ambuja Cements Ltd.'s share price target is above the current price, with an upside of 8.2%</t>
  </si>
  <si>
    <t>Anand Rathi Wealth Ltd.'s share price target is below the current price, with a downside of 24.6%</t>
  </si>
  <si>
    <t>Angel One Ltd.'s share price target is above the current price, with an upside of 10.7%</t>
  </si>
  <si>
    <t>Apar Industries Ltd.'s share price target is below the current price, with a downside of 36.4%</t>
  </si>
  <si>
    <t>APL Apollo Tubes Ltd.'s share price target is below the current price, with a downside of 11.4%</t>
  </si>
  <si>
    <t>Alembic Pharmaceuticals Ltd.'s share price target is below the current price, with a downside of 5.1%</t>
  </si>
  <si>
    <t>Apollo Hospitals Enterprise Ltd.'s share price target is above the current price, with an upside of 13.6%</t>
  </si>
  <si>
    <t>Apollo Pipes Ltd.'s share price target is above the current price, with an upside of 12.1%</t>
  </si>
  <si>
    <t>Arvind Fashions Ltd.'s share price target is above the current price, with an upside of 48.3%</t>
  </si>
  <si>
    <t>Asahi India Glass Ltd.'s share price target is below the current price, with a downside of 0.8%</t>
  </si>
  <si>
    <t>Ashoka Buildcon Ltd.'s share price target is above the current price, with an upside of 19.6%</t>
  </si>
  <si>
    <t>Astec Lifesciences Ltd.'s share price target is above the current price, with an upside of 0.4%</t>
  </si>
  <si>
    <t>Aster DM Healthcare Ltd.'s share price target is below the current price, with a downside of 0.4%</t>
  </si>
  <si>
    <t>Astra Microwave Products Ltd.'s share price target is above the current price, with an upside of 12.7%</t>
  </si>
  <si>
    <t>Au Small Finance Bank Ltd.'s share price target is above the current price, with an upside of 2.2%</t>
  </si>
  <si>
    <t>Automotive Axles Ltd.'s share price target is above the current price, with an upside of 43.9%</t>
  </si>
  <si>
    <t>Avalon Technologies Ltd.'s share price target is above the current price, with an upside of 41.2%</t>
  </si>
  <si>
    <t>Axis Bank Ltd.'s share price target is above the current price, with an upside of 15.3%</t>
  </si>
  <si>
    <t>Bajaj Auto Ltd.'s share price target is above the current price, with an upside of 8.9%</t>
  </si>
  <si>
    <t>Bajaj Consumer Care Ltd.'s share price target is above the current price, with an upside of 6.7%</t>
  </si>
  <si>
    <t>Bajaj Electricals Ltd.'s share price target is above the current price, with an upside of 16.7%</t>
  </si>
  <si>
    <t>Balkrishna Industries Ltd.'s share price target is below the current price, with a downside of 1.6%</t>
  </si>
  <si>
    <t>Balrampur Chini Mills Ltd.'s share price target is above the current price, with an upside of 20.9%</t>
  </si>
  <si>
    <t>Bank of Baroda's share price target is above the current price, with an upside of 16.9%</t>
  </si>
  <si>
    <t>Barbeque-Nation Hospitality Ltd.'s share price target is above the current price, with an upside of 7.1%</t>
  </si>
  <si>
    <t>Bata India Ltd.'s share price target is below the current price, with a downside of 0.5%</t>
  </si>
  <si>
    <t>Bayer Cropscience Ltd.'s share price target is above the current price, with an upside of 5.9%</t>
  </si>
  <si>
    <t>Bharat Electronics Ltd.'s share price target is above the current price, with an upside of 7.3%</t>
  </si>
  <si>
    <t>BEML Ltd.'s share price target is below the current price, with a downside of 13.0%</t>
  </si>
  <si>
    <t>Bharat Forge Ltd.'s share price target is below the current price, with a downside of 3.2%</t>
  </si>
  <si>
    <t>Bharat Heavy Electricals Ltd.'s share price target is below the current price, with a downside of 35.6%</t>
  </si>
  <si>
    <t>Bikaji Foods International Ltd.'s share price target is above the current price, with an upside of 13.7%</t>
  </si>
  <si>
    <t>Birla Corporation Ltd.'s share price target is above the current price, with an upside of 25.7%</t>
  </si>
  <si>
    <t>Blue Dart Express Ltd.'s share price target is above the current price, with an upside of 11.2%</t>
  </si>
  <si>
    <t>Blue Star Ltd.'s share price target is above the current price, with an upside of 18.1%</t>
  </si>
  <si>
    <t>Bosch Ltd.'s share price target is above the current price, with an upside of 9.6%</t>
  </si>
  <si>
    <t>Bharat Petroleum Corporation Ltd.'s share price target is above the current price, with an upside of 23.8%</t>
  </si>
  <si>
    <t>Brigade Enterprises Ltd.'s share price target is above the current price, with an upside of 10.2%</t>
  </si>
  <si>
    <t>Birlasoft Ltd.'s share price target is below the current price, with a downside of 8.6%</t>
  </si>
  <si>
    <t>Camlin Fine Sciences Ltd.'s share price target is above the current price, with an upside of 62.8%</t>
  </si>
  <si>
    <t>Campus Activewear Ltd.'s share price target is above the current price, with an upside of 9.2%</t>
  </si>
  <si>
    <t>Computer Age Management Services Ltd.'s share price target is above the current price, with an upside of 3.5%</t>
  </si>
  <si>
    <t>Can Fin Homes Ltd.'s share price target is above the current price, with an upside of 16.9%</t>
  </si>
  <si>
    <t>Capacit'e Infraprojects Ltd.'s share price target is above the current price, with an upside of 19.8%</t>
  </si>
  <si>
    <t>Carborundum Universal Ltd.'s share price target is above the current price, with an upside of 15.3%</t>
  </si>
  <si>
    <t>CARE Ratings Ltd.'s share price target is below the current price, with a downside of 8.0%</t>
  </si>
  <si>
    <t>Castrol India Ltd.'s share price target is above the current price, with an upside of 8.6%</t>
  </si>
  <si>
    <t>CCL Products India Ltd.'s share price target is above the current price, with an upside of 16.4%</t>
  </si>
  <si>
    <t>Central Depository Services (India) Ltd.'s share price target is above the current price, with an upside of 4.3%</t>
  </si>
  <si>
    <t>Century Plyboards (India) Ltd.'s share price target is above the current price, with an upside of 3.1%</t>
  </si>
  <si>
    <t>Century Textiles &amp; Industries Ltd.'s share price target is above the current price, with an upside of 24.1%</t>
  </si>
  <si>
    <t>Chemplast Sanmar Ltd.'s share price target is above the current price, with an upside of 12.4%</t>
  </si>
  <si>
    <t>Cholamandalam Investment &amp; Finance Company Ltd.'s share price target is above the current price, with an upside of 9.5%</t>
  </si>
  <si>
    <t>Cholamandalam Financial Holdings Ltd.'s share price target is above the current price, with an upside of 9.7%</t>
  </si>
  <si>
    <t>Cipla Ltd.'s share price target is below the current price, with a downside of 3.8%</t>
  </si>
  <si>
    <t>Clean Science &amp; Technology Ltd.'s share price target is above the current price, with an upside of 0.9%</t>
  </si>
  <si>
    <t>Coal India Ltd.'s share price target is above the current price, with an upside of 12.6%</t>
  </si>
  <si>
    <t>Coforge Ltd.'s share price target is below the current price, with a downside of 3.9%</t>
  </si>
  <si>
    <t>Container Corporation of India Ltd.'s share price target is above the current price, with an upside of 6.3%</t>
  </si>
  <si>
    <t>CreditAccess Grameen Ltd.'s share price target is above the current price, with an upside of 9.3%</t>
  </si>
  <si>
    <t>Crisil Ltd.'s share price target is below the current price, with a downside of 5.8%</t>
  </si>
  <si>
    <t>Crompton Greaves Consumer Electricals Ltd.'s share price target is above the current price, with an upside of 11.3%</t>
  </si>
  <si>
    <t>City Union Bank Ltd.'s share price target is above the current price, with an upside of 26.6%</t>
  </si>
  <si>
    <t>Cummins India Ltd.'s share price target is below the current price, with a downside of 1.2%</t>
  </si>
  <si>
    <t>Cyient Ltd.'s share price target is below the current price, with a downside of 6.6%</t>
  </si>
  <si>
    <t>Dabur India Ltd.'s share price target is above the current price, with an upside of 10.0%</t>
  </si>
  <si>
    <t>Dalmia Bharat Ltd.'s share price target is above the current price, with an upside of 9.8%</t>
  </si>
  <si>
    <t>Data Patterns (India) Ltd.'s share price target is below the current price, with a downside of 5.9%</t>
  </si>
  <si>
    <t>DCB Bank Ltd.'s share price target is above the current price, with an upside of 25.9%</t>
  </si>
  <si>
    <t>Deepak Fertilisers &amp; Petrochemicals Corporation Ltd.'s share price target is above the current price, with an upside of 26.2%</t>
  </si>
  <si>
    <t>Deepak Nitrite Ltd.'s share price target is above the current price, with an upside of 3.4%</t>
  </si>
  <si>
    <t>Devyani International Ltd.'s share price target is above the current price, with an upside of 5.9%</t>
  </si>
  <si>
    <t>Prataap Snacks Ltd.'s share price target is above the current price, with an upside of 26.2%</t>
  </si>
  <si>
    <t>Divi's Laboratories Ltd.'s share price target is below the current price, with a downside of 8.6%</t>
  </si>
  <si>
    <t>Dixon Technologies (India) Ltd.'s share price target is below the current price, with a downside of 13.7%</t>
  </si>
  <si>
    <t>Avenue Supermarts Ltd.'s share price target is above the current price, with an upside of 8.5%</t>
  </si>
  <si>
    <t>Dodla Dairy Ltd.'s share price target is above the current price, with an upside of 2.8%</t>
  </si>
  <si>
    <t>Dr. Reddy's Laboratories Ltd.'s share price target is below the current price, with a downside of 4.9%</t>
  </si>
  <si>
    <t>eClerx Services Ltd.'s share price target is above the current price, with an upside of 13.5%</t>
  </si>
  <si>
    <t>EID Parry (India) Ltd.'s share price target is above the current price, with an upside of 30.8%</t>
  </si>
  <si>
    <t>EIH Ltd.'s share price target is above the current price, with an upside of 6.3%</t>
  </si>
  <si>
    <t>Emami Ltd.'s share price target is above the current price, with an upside of 1.8%</t>
  </si>
  <si>
    <t>Endurance Technologies Ltd.'s share price target is above the current price, with an upside of 10.0%</t>
  </si>
  <si>
    <t>EPL Ltd.'s share price target is above the current price, with an upside of 17.7%</t>
  </si>
  <si>
    <t>Equitas Small Finance Bank Ltd.'s share price target is above the current price, with an upside of 26.1%</t>
  </si>
  <si>
    <t>Esab India Ltd.'s EPS was higher than average estimate 1 time in past 1 year</t>
  </si>
  <si>
    <t>Escorts Kubota Ltd.'s share price target is below the current price, with a downside of 24.1%</t>
  </si>
  <si>
    <t>Exide Industries Ltd.'s share price target is below the current price, with a downside of 3.9%</t>
  </si>
  <si>
    <t>FDC Ltd.'s EPS was lower than average estimate 2 times in past 2 years</t>
  </si>
  <si>
    <t>Finolex Cables Ltd.'s share price target is above the current price, with an upside of 6.4%</t>
  </si>
  <si>
    <t>Fine Organic Industries Ltd.'s share price target is below the current price, with a downside of 6.1%</t>
  </si>
  <si>
    <t>Fortis Healthcare Ltd.'s share price target is above the current price, with an upside of 12.8%</t>
  </si>
  <si>
    <t>Fusion Micro Finance Ltd.'s share price target is above the current price, with an upside of 19.2%</t>
  </si>
  <si>
    <t>Gabriel India Ltd.'s share price target is below the current price, with a downside of 13.5%</t>
  </si>
  <si>
    <t>Galaxy Surfactants Ltd.'s share price target is above the current price, with an upside of 13.1%</t>
  </si>
  <si>
    <t>Gateway Distriparks Ltd.'s share price target is above the current price, with an upside of 8.5%</t>
  </si>
  <si>
    <t>Genus Power Infrastructures Ltd.'s share price target is above the current price, with an upside of 4.2%</t>
  </si>
  <si>
    <t>GE T&amp;D India Ltd.'s share price target is below the current price, with a downside of 17.1%</t>
  </si>
  <si>
    <t>Gland Pharma Ltd.'s share price target is below the current price, with a downside of 2.2%</t>
  </si>
  <si>
    <t>GlaxoSmithKline Pharmaceuticals Ltd.'s share price target is below the current price, with a downside of 0.9%</t>
  </si>
  <si>
    <t>Go Fashion (India) Ltd.'s EPS was higher than average estimate 1 time in past 2 years</t>
  </si>
  <si>
    <t>Godrej Agrovet Ltd.'s share price target is above the current price, with an upside of 7.3%</t>
  </si>
  <si>
    <t>Godrej Consumer Products Ltd.'s share price target is above the current price, with an upside of 10.5%</t>
  </si>
  <si>
    <t>Gokaldas Exports Ltd.'s share price target is below the current price, with a downside of 1.2%</t>
  </si>
  <si>
    <t>Gujarat Pipavav Port Ltd.'s share price target is above the current price, with an upside of 6.9%</t>
  </si>
  <si>
    <t>Graphite India Ltd.'s share price target is above the current price, with an upside of 14.1%</t>
  </si>
  <si>
    <t>Grasim Industries Ltd.'s share price target is above the current price, with an upside of 8.7%</t>
  </si>
  <si>
    <t>Greenlam Industries Ltd.'s share price target is above the current price, with an upside of 9.5%</t>
  </si>
  <si>
    <t>Grindwell Norton Ltd.'s share price target is above the current price, with an upside of 2.3%</t>
  </si>
  <si>
    <t>G R Infraprojects Ltd.'s share price target is above the current price, with an upside of 16.9%</t>
  </si>
  <si>
    <t>Gujarat State Petronet Ltd.'s share price target is above the current price, with an upside of 20.7%</t>
  </si>
  <si>
    <t>Gujarat Gas Ltd.'s share price target is above the current price, with an upside of 8.0%</t>
  </si>
  <si>
    <t>Happiest Minds Technologies Ltd.'s share price target is above the current price, with an upside of 17.3%</t>
  </si>
  <si>
    <t>Harsha Engineers International Ltd.'s share price target is above the current price, with an upside of 8.5%</t>
  </si>
  <si>
    <t>Hawkins Cookers Ltd.'s EPS was lower than average estimate 1 time in past 1 year</t>
  </si>
  <si>
    <t>HCL Technologies Ltd.'s share price target is above the current price, with an upside of 2.7%</t>
  </si>
  <si>
    <t>HDFC Asset Management Company Ltd.'s share price target is below the current price, with a downside of 0.4%</t>
  </si>
  <si>
    <t>HDFC Bank Ltd.'s share price target is above the current price, with an upside of 30.7%</t>
  </si>
  <si>
    <t>HDFC Life Insurance Company Ltd.'s share price target is above the current price, with an upside of 16.7%</t>
  </si>
  <si>
    <t>Heidelberg Cement India Ltd.'s share price target is above the current price, with an upside of 1.5%</t>
  </si>
  <si>
    <t>Heritage Foods Ltd.'s share price target is above the current price, with an upside of 18.2%</t>
  </si>
  <si>
    <t>Hero MotoCorp Ltd.'s share price target is above the current price, with an upside of 9.6%</t>
  </si>
  <si>
    <t>HG Infra Engineering Ltd.'s share price target is above the current price, with an upside of 22.3%</t>
  </si>
  <si>
    <t>Hindalco Industries Ltd.'s share price target is above the current price, with an upside of 17.6%</t>
  </si>
  <si>
    <t>Hindustan Petroleum Corporation Ltd.'s share price target is above the current price, with an upside of 13.6%</t>
  </si>
  <si>
    <t>Hindustan Unilever Ltd.'s share price target is above the current price, with an upside of 12.5%</t>
  </si>
  <si>
    <t>Honeywell Automation India Ltd.'s share price target is below the current price, with a downside of 1.4%</t>
  </si>
  <si>
    <t>ICICI Bank Ltd.'s share price target is above the current price, with an upside of 20.8%</t>
  </si>
  <si>
    <t>ICICI Lombard General Insurance Company Ltd.'s share price target is above the current price, with an upside of 7.7%</t>
  </si>
  <si>
    <t>ICICI Prudential Life Insurance Company Ltd.'s share price target is above the current price, with an upside of 15.9%</t>
  </si>
  <si>
    <t>Indraprastha Gas Ltd.'s share price target is above the current price, with an upside of 20.2%</t>
  </si>
  <si>
    <t>Indian Hotels Company Ltd.'s share price target is above the current price, with an upside of 7.5%</t>
  </si>
  <si>
    <t>India Cements Ltd.'s share price target is below the current price, with a downside of 30.7%</t>
  </si>
  <si>
    <t>InterGlobe Aviation Ltd.'s share price target is above the current price, with an upside of 22.1%</t>
  </si>
  <si>
    <t>Indigo Paints Ltd.'s share price target is above the current price, with an upside of 7.9%</t>
  </si>
  <si>
    <t>Infosys Ltd.'s share price target is above the current price, with an upside of 1.6%</t>
  </si>
  <si>
    <t>Biocon Ltd.'s share price target is above the current price, with an upside of 13.6%</t>
  </si>
  <si>
    <t>Ipca Laboratories Ltd.'s share price target is below the current price, with a downside of 2.8%</t>
  </si>
  <si>
    <t>IRB Infrastructure Developers Ltd.'s share price target is above the current price, with an upside of 18.5%</t>
  </si>
  <si>
    <t>ICICI Securities Ltd.'s share price target is below the current price, with a downside of 2.8%</t>
  </si>
  <si>
    <t>ISGEC Heavy Engineering Ltd.'s share price target is above the current price, with an upside of 13.1%</t>
  </si>
  <si>
    <t>ITC Ltd.'s share price target is above the current price, with an upside of 13.9%</t>
  </si>
  <si>
    <t>Jammu &amp; Kashmir Bank Ltd.'s EPS was higher than average estimate 1 time in past 1 year</t>
  </si>
  <si>
    <t>Jamna Auto Industries Ltd.'s share price target is above the current price, with an upside of 18.2%</t>
  </si>
  <si>
    <t>J B Chemicals &amp; Pharmaceuticals Ltd.'s share price target is above the current price, with an upside of 0.1%</t>
  </si>
  <si>
    <t>Jindal Steel &amp; Power Ltd.'s share price target is above the current price, with an upside of 13.9%</t>
  </si>
  <si>
    <t>JK Cement Ltd.'s share price target is above the current price, with an upside of 5.3%</t>
  </si>
  <si>
    <t>JK Lakshmi Cement Ltd.'s share price target is above the current price, with an upside of 16.9%</t>
  </si>
  <si>
    <t>JM Financial Ltd.'s share price target is above the current price, with an upside of 41.7%</t>
  </si>
  <si>
    <t>Jindal Stainless Ltd.'s share price target is above the current price, with an upside of 1.9%</t>
  </si>
  <si>
    <t>JTEKT India Ltd.'s share price target is above the current price, with an upside of 10.0%</t>
  </si>
  <si>
    <t>Jubilant Foodworks Ltd.'s share price target is above the current price, with an upside of 4.1%</t>
  </si>
  <si>
    <t>Jubilant Ingrevia Ltd.'s share price target is above the current price, with an upside of 39.1%</t>
  </si>
  <si>
    <t>Just Dial Ltd.'s share price target is above the current price, with an upside of 13.2%</t>
  </si>
  <si>
    <t>Jyothy Labs Ltd.'s share price target is below the current price, with a downside of 8.3%</t>
  </si>
  <si>
    <t>Kajaria Ceramics Ltd.'s share price target is above the current price, with an upside of 2.2%</t>
  </si>
  <si>
    <t>Kansai Nerolac Paints Ltd.'s share price target is above the current price, with an upside of 8.7%</t>
  </si>
  <si>
    <t>Karur Vysya Bank Ltd.'s share price target is above the current price, with an upside of 37.4%</t>
  </si>
  <si>
    <t>Kaynes Technology India Ltd.'s share price target is above the current price, with an upside of 5.8%</t>
  </si>
  <si>
    <t>KFIN Technologies Ltd.'s share price target is above the current price, with an upside of 0.2%</t>
  </si>
  <si>
    <t>Krishna Institute of Medical Sciences Ltd.'s share price target is below the current price, with a downside of 2.8%</t>
  </si>
  <si>
    <t>Kirloskar Brothers Ltd.'s share price target is below the current price, with a downside of 27.3%</t>
  </si>
  <si>
    <t>Kirloskar Oil Engines Ltd.'s share price target is above the current price, with an upside of 18.2%</t>
  </si>
  <si>
    <t>Kirloskar Pneumatic Company Ltd.'s share price target is above the current price, with an upside of 20.8%</t>
  </si>
  <si>
    <t>Kewal Kiran Clothing Ltd.'s share price target is below the current price, with a downside of 3.7%</t>
  </si>
  <si>
    <t>KNR Constructions Ltd.'s share price target is above the current price, with an upside of 8.5%</t>
  </si>
  <si>
    <t>Kotak Mahindra Bank Ltd.'s share price target is above the current price, with an upside of 21.5%</t>
  </si>
  <si>
    <t>KPIT Technologies Ltd.'s share price target is below the current price, with a downside of 13.9%</t>
  </si>
  <si>
    <t>KPR Mill Ltd.'s share price target is above the current price, with an upside of 6.1%</t>
  </si>
  <si>
    <t>Krsnaa Diagnostics Ltd.'s share price target is above the current price, with an upside of 66.0%</t>
  </si>
  <si>
    <t>KSB Ltd.'s share price target is above the current price, with an upside of 4.1%</t>
  </si>
  <si>
    <t>Dr. Lal Pathlabs Ltd.'s share price target is below the current price, with a downside of 3.8%</t>
  </si>
  <si>
    <t>La Opala RG Ltd.'s share price target is above the current price, with an upside of 24.6%</t>
  </si>
  <si>
    <t>Laurus Labs Ltd.'s share price target is below the current price, with a downside of 10.7%</t>
  </si>
  <si>
    <t>LG Balakrishnan &amp; Bros Ltd.'s share price target is above the current price, with an upside of 9.1%</t>
  </si>
  <si>
    <t>LIC Housing Finance Ltd.'s share price target is above the current price, with an upside of 11.1%</t>
  </si>
  <si>
    <t>Linde India Ltd.'s share price target is below the current price, with a downside of 30.1%</t>
  </si>
  <si>
    <t>Macrotech Developers Ltd.'s share price target is above the current price, with an upside of 9.5%</t>
  </si>
  <si>
    <t>LT Foods Ltd.'s share price target is below the current price, with a downside of 27.8%</t>
  </si>
  <si>
    <t>LTIMindtree Ltd.'s share price target is above the current price, with an upside of 0.7%</t>
  </si>
  <si>
    <t>L&amp;T Technology Services Ltd.'s share price target is below the current price, with a downside of 15.3%</t>
  </si>
  <si>
    <t>Lupin Ltd.'s share price target is below the current price, with a downside of 13.6%</t>
  </si>
  <si>
    <t>Laxmi Organic Industries Ltd.'s share price target is below the current price, with a downside of 1.8%</t>
  </si>
  <si>
    <t>Mahindra &amp; Mahindra Ltd.'s share price target is above the current price, with an upside of 11.3%</t>
  </si>
  <si>
    <t>Mahindra &amp; Mahindra Financial Services Ltd.'s share price target is above the current price, with an upside of 7.8%</t>
  </si>
  <si>
    <t>Mahindra Lifespace Developers Ltd.'s share price target is above the current price, with an upside of 4.5%</t>
  </si>
  <si>
    <t>Mahindra Logistics Ltd.'s share price target is above the current price, with an upside of 7.0%</t>
  </si>
  <si>
    <t>Mangalam Cement Ltd.'s share price target is above the current price, with an upside of 22.8%</t>
  </si>
  <si>
    <t>Mankind Pharma Ltd.'s share price target is above the current price, with an upside of 2.9%</t>
  </si>
  <si>
    <t>Vedant Fashions Ltd.'s share price target is above the current price, with an upside of 10.0%</t>
  </si>
  <si>
    <t>Maruti Suzuki India Ltd.'s share price target is above the current price, with an upside of 12.2%</t>
  </si>
  <si>
    <t>Mas Financial Services Ltd.'s share price target is above the current price, with an upside of 12.6%</t>
  </si>
  <si>
    <t>Matrimony.com Ltd.'s share price target is above the current price, with an upside of 23.7%</t>
  </si>
  <si>
    <t>Max Healthcare Institute Ltd.'s share price target is above the current price, with an upside of 10.4%</t>
  </si>
  <si>
    <t>United Spirits Ltd.'s share price target is above the current price, with an upside of 1.6%</t>
  </si>
  <si>
    <t>Multi Commodity Exchange of India Ltd.'s share price target is above the current price, with an upside of 4.0%</t>
  </si>
  <si>
    <t>Global Health Ltd.'s share price target is above the current price, with an upside of 7.5%</t>
  </si>
  <si>
    <t>Metro Brands Ltd.'s share price target is above the current price, with an upside of 6.7%</t>
  </si>
  <si>
    <t>Max Financial Services Ltd.'s share price target is above the current price, with an upside of 16.0%</t>
  </si>
  <si>
    <t>Mishra Dhatu Nigam Ltd.'s share price target is below the current price, with a downside of 37.9%</t>
  </si>
  <si>
    <t>Minda Corporation Ltd.'s share price target is above the current price, with an upside of 0.2%</t>
  </si>
  <si>
    <t>Samvardhana Motherson International Ltd.'s share price target is above the current price, with an upside of 14.8%</t>
  </si>
  <si>
    <t>MphasiS Ltd.'s share price target is below the current price, with a downside of 5.6%</t>
  </si>
  <si>
    <t>MRF Ltd.'s share price target is below the current price, with a downside of 14.1%</t>
  </si>
  <si>
    <t>Motherson Sumi Wiring India Ltd.'s share price target is above the current price, with an upside of 8.3%</t>
  </si>
  <si>
    <t>MTAR Technologies Ltd.'s share price target is above the current price, with an upside of 7.1%</t>
  </si>
  <si>
    <t>Muthoot Finance Ltd.'s share price target is above the current price, with an upside of 7.7%</t>
  </si>
  <si>
    <t>Natco Pharma Ltd.'s share price target is below the current price, with a downside of 10.6%</t>
  </si>
  <si>
    <t>National Aluminium Company Ltd.'s share price target is above the current price, with an upside of 16.5%</t>
  </si>
  <si>
    <t>Info Edge (India) Ltd.'s share price target is above the current price, with an upside of 6.5%</t>
  </si>
  <si>
    <t>Navin Fluorine International Ltd.'s share price target is above the current price, with an upside of 12.2%</t>
  </si>
  <si>
    <t>Nazara Technologies Ltd.'s share price target is above the current price, with an upside of 10.1%</t>
  </si>
  <si>
    <t>NCC Ltd.'s share price target is above the current price, with an upside of 14.4%</t>
  </si>
  <si>
    <t>AXIS BANK</t>
  </si>
  <si>
    <t>;</t>
  </si>
  <si>
    <t>Neogen Chemicals Ltd.'s share price target is above the current price, with an upside of 3.4%</t>
  </si>
  <si>
    <t>Neuland Laboratories Ltd.'s share price target is below the current price, with a downside of 0.3%</t>
  </si>
  <si>
    <t>NHPC Ltd.'s share price target is above the current price, with an upside of 6.4%</t>
  </si>
  <si>
    <t>NIIT Ltd.'s share price target is above the current price, with an upside of 430.3%</t>
  </si>
  <si>
    <t>NIIT Learning Systems Ltd.'s share price target is above the current price, with an upside of 9.1%</t>
  </si>
  <si>
    <t>New 52W High in past week</t>
  </si>
  <si>
    <t>Nitin Spinners Ltd.'s share price target is above the current price, with an upside of 14.7%</t>
  </si>
  <si>
    <t>28% decr over last year</t>
  </si>
  <si>
    <t>14% decr over last year</t>
  </si>
  <si>
    <t>NMDC Ltd.'s share price target is above the current price, with an upside of 9.9%</t>
  </si>
  <si>
    <t>Very High Volatility</t>
  </si>
  <si>
    <t>NTPC Ltd.'s share price target is above the current price, with an upside of 7.6%</t>
  </si>
  <si>
    <t>Nuvoco Vistas Corporation Ltd.'s share price target is above the current price, with an upside of 15.6%</t>
  </si>
  <si>
    <t>Oberoi Realty Ltd.'s share price target is below the current price, with a downside of 4.2%</t>
  </si>
  <si>
    <t>Orient Cement Ltd.'s share price target is below the current price, with a downside of 19.2%</t>
  </si>
  <si>
    <t>Orient Electric Ltd.'s share price target is above the current price, with an upside of 10.2%</t>
  </si>
  <si>
    <t>Orient Paper &amp; Industries Ltd.'s EPS was lower than average estimate 1 time in past 1 year</t>
  </si>
  <si>
    <t>Page Industries Ltd.'s share price target is below the current price, with a downside of 1.7%</t>
  </si>
  <si>
    <t>Paradeep Phosphates Ltd.'s share price target is above the current price, with an upside of 43.1%</t>
  </si>
  <si>
    <t>Piramal Enterprises Ltd.'s share price target is above the current price, with an upside of 8.6%</t>
  </si>
  <si>
    <t>Persistent Systems Ltd.'s share price target is below the current price, with a downside of 2.4%</t>
  </si>
  <si>
    <t>Power Finance Corporation Ltd.'s share price target is above the current price, with an upside of 4.7%</t>
  </si>
  <si>
    <t>Pfizer Ltd.'s share price target is above the current price, with an upside of 12.4%</t>
  </si>
  <si>
    <t>Procter &amp; Gamble Hygiene &amp; Healthcare Ltd.'s share price target is above the current price, with an upside of 6.2%</t>
  </si>
  <si>
    <t>Phoenix Mills Ltd.'s share price target is above the current price, with an upside of 2.2%</t>
  </si>
  <si>
    <t>PI Industries Ltd.'s share price target is above the current price, with an upside of 10.9%</t>
  </si>
  <si>
    <t>Punjab National Bank's share price target is below the current price, with a downside of 4.2%</t>
  </si>
  <si>
    <t>PNC Infratech Ltd.'s share price target is above the current price, with an upside of 28.7%</t>
  </si>
  <si>
    <t>PB Fintech Ltd.'s share price target is above the current price, with an upside of 8.4%</t>
  </si>
  <si>
    <t>Polycab India Ltd.'s share price target is below the current price, with a downside of 6.9%</t>
  </si>
  <si>
    <t>Polyplex Corporation Ltd.'s share price target is above the current price, with an upside of 32.2%</t>
  </si>
  <si>
    <t>Poonawalla Fincorp Ltd.'s share price target is above the current price, with an upside of 5.7%</t>
  </si>
  <si>
    <t>Power Grid Corporation of India Ltd.'s share price target is above the current price, with an upside of 5.1%</t>
  </si>
  <si>
    <t>Prestige Estates Projects Ltd.'s share price target is above the current price, with an upside of 14.1%</t>
  </si>
  <si>
    <t>Prism Johnson Ltd.'s share price target is above the current price, with an upside of 1.5%</t>
  </si>
  <si>
    <t>Prudent Corporate Advisory Services Ltd.'s share price target is above the current price, with an upside of 1.6%</t>
  </si>
  <si>
    <t>PVR INOX Ltd.'s share price target is above the current price, with an upside of 4.1%</t>
  </si>
  <si>
    <t>Radico Khaitan Ltd.'s share price target is above the current price, with an upside of 10.0%</t>
  </si>
  <si>
    <t>Rallis India Ltd.'s share price target is below the current price, with a downside of 16.2%</t>
  </si>
  <si>
    <t>The Ramco Cements Ltd.'s share price target is above the current price, with an upside of 0.4%</t>
  </si>
  <si>
    <t>RateGain Travel Technologies Ltd.'s share price target is above the current price, with an upside of 2.0%</t>
  </si>
  <si>
    <t>RBL Bank Ltd.'s share price target is below the current price, with a downside of 15.0%</t>
  </si>
  <si>
    <t>RHI Magnesita India Ltd.'s share price target is above the current price, with an upside of 4.5%</t>
  </si>
  <si>
    <t>Ramkrishna Forgings Ltd.'s share price target is below the current price, with a downside of 11.5%</t>
  </si>
  <si>
    <t>Rolex Rings Ltd.'s share price target is above the current price, with an upside of 14.0%</t>
  </si>
  <si>
    <t>Rossari Biotech Ltd.'s share price target is above the current price, with an upside of 3.7%</t>
  </si>
  <si>
    <t>Sandhar Technologies Ltd.'s share price target is above the current price, with an upside of 24.5%</t>
  </si>
  <si>
    <t>Sanofi India Ltd.'s share price target is above the current price, with an upside of 2.1%</t>
  </si>
  <si>
    <t>Sansera Engineering Ltd.'s share price target is above the current price, with an upside of 19.2%</t>
  </si>
  <si>
    <t>Sapphire Foods India Ltd.'s share price target is above the current price, with an upside of 10.0%</t>
  </si>
  <si>
    <t>SBI Cards and Payment Services Ltd.'s share price target is above the current price, with an upside of 10.8%</t>
  </si>
  <si>
    <t>SBI Life Insurance Company Ltd.'s share price target is above the current price, with an upside of 20.9%</t>
  </si>
  <si>
    <t>State Bank of India's share price target is above the current price, with an upside of 23.6%</t>
  </si>
  <si>
    <t>Schaeffler India Ltd.'s share price target is above the current price, with an upside of 2.8%</t>
  </si>
  <si>
    <t>Sheela Foam Ltd.'s share price target is above the current price, with an upside of 22.1%</t>
  </si>
  <si>
    <t>Shree Cements Ltd.'s share price target is below the current price, with a downside of 1.7%</t>
  </si>
  <si>
    <t>Shriram Finance Ltd.'s share price target is above the current price, with an upside of 5.7%</t>
  </si>
  <si>
    <t>Shyam Metalics and Energy Ltd.'s share price target is above the current price, with an upside of 24.9%</t>
  </si>
  <si>
    <t>Siemens Ltd.'s share price target is below the current price, with a downside of 1.7%</t>
  </si>
  <si>
    <t>MphasiS Ltd.'s share price target is below the current price, with a downside of 3.4%</t>
  </si>
  <si>
    <t>SJS Enterprises Ltd.'s share price target is above the current price, with an upside of 5.2%</t>
  </si>
  <si>
    <t>SKF India Ltd.'s share price target is below the current price, with a downside of 3.9%</t>
  </si>
  <si>
    <t>Solar Industries India Ltd.'s share price target is below the current price, with a downside of 7.7%</t>
  </si>
  <si>
    <t>Somany Ceramics Ltd.'s share price target is above the current price, with an upside of 15.2%</t>
  </si>
  <si>
    <t>Sona BLW Precision Forgings Ltd.'s share price target is above the current price, with an upside of 5.6%</t>
  </si>
  <si>
    <t>Sonata Software Ltd.'s share price target is above the current price, with an upside of 3.8%</t>
  </si>
  <si>
    <t>11.5% incr over last year</t>
  </si>
  <si>
    <t>13.3% incr over last year</t>
  </si>
  <si>
    <t>S P Apparels Ltd.'s share price target is below the current price, with a downside of 10.3%</t>
  </si>
  <si>
    <t>SRF Ltd.'s share price target is above the current price, with an upside of 10.2%</t>
  </si>
  <si>
    <t>Star Health and Allied Insurance Company Ltd.'s share price target is above the current price, with an upside of 8.2%</t>
  </si>
  <si>
    <t>Subros Ltd.'s share price target is above the current price, with an upside of 12.3%</t>
  </si>
  <si>
    <t>Sudarshan Chemical Industries Ltd.'s share price target is above the current price, with an upside of 2.8%</t>
  </si>
  <si>
    <t>Sumitomo Chemical India Ltd.'s share price target is above the current price, with an upside of 3.8%</t>
  </si>
  <si>
    <t>Sundaram Finance Ltd.'s share price target is above the current price, with an upside of 9.9%</t>
  </si>
  <si>
    <t>Sundram Fasteners Ltd.'s share price target is above the current price, with an upside of 3.4%</t>
  </si>
  <si>
    <t>Sun Pharmaceutical Industries Ltd.'s share price target is above the current price, with an upside of 11.2%</t>
  </si>
  <si>
    <t>Suprajit Engineering Ltd.'s share price target is above the current price, with an upside of 6.3%</t>
  </si>
  <si>
    <t>Supreme Industries Ltd.'s share price target is below the current price, with a downside of 25.6%</t>
  </si>
  <si>
    <t>Suryoday Small Finance Bank Ltd.'s share price target is above the current price, with an upside of 10.2%</t>
  </si>
  <si>
    <t>Suven Pharmaceuticals Ltd.'s share price target is above the current price, with an upside of 18.6%</t>
  </si>
  <si>
    <t>Swaraj Engines Ltd.'s share price target is below the current price, with a downside of 1.0%</t>
  </si>
  <si>
    <t>Symphony Ltd.'s share price target is above the current price, with an upside of 15.2%</t>
  </si>
  <si>
    <t>Syngene International Ltd.'s share price target is above the current price, with an upside of 6.7%</t>
  </si>
  <si>
    <t>Tarsons Products Ltd.'s share price target is above the current price, with an upside of 35.1%</t>
  </si>
  <si>
    <t>Tata Chemicals Ltd.'s share price target is below the current price, with a downside of 5.6%</t>
  </si>
  <si>
    <t>Tata Communications Ltd.'s share price target is below the current price, with a downside of 9.4%</t>
  </si>
  <si>
    <t>Tata Consumer Products Ltd.'s share price target is above the current price, with an upside of 10.0%</t>
  </si>
  <si>
    <t>Tata Elxsi Ltd.'s share price target is below the current price, with a downside of 14.8%</t>
  </si>
  <si>
    <t>Tata Motors Ltd.'s share price target is above the current price, with an upside of 17.2%</t>
  </si>
  <si>
    <t>Tata Steel Ltd.'s share price target is above the current price, with an upside of 9.9%</t>
  </si>
  <si>
    <t>Tatva Chintan Pharma Chem Ltd.'s share price target is above the current price, with an upside of 6.3%</t>
  </si>
  <si>
    <t>TCNS Clothing Co. Ltd.'s share price target is above the current price, with an upside of 13.1%</t>
  </si>
  <si>
    <t>Tata Consultancy Services Ltd.'s share price target is above the current price, with an upside of 2.5%</t>
  </si>
  <si>
    <t>TeamLease Services Ltd.'s share price target is above the current price, with an upside of 6.1%</t>
  </si>
  <si>
    <t>Tech Mahindra Ltd.'s share price target is below the current price, with a downside of 11.8%</t>
  </si>
  <si>
    <t>Techno Electric &amp; Engineering Company Ltd.'s share price target is below the current price, with a downside of 16.2%</t>
  </si>
  <si>
    <t>Tejas Networks Ltd.'s EPS was higher than average estimate 1 time in past 1 year</t>
  </si>
  <si>
    <t>Thermax Ltd.'s share price target is below the current price, with a downside of 13.2%</t>
  </si>
  <si>
    <t>Thyrocare Technologies Ltd.'s share price target is above the current price, with an upside of 17.9%</t>
  </si>
  <si>
    <t>Tube Investments of India Ltd.'s share price target is above the current price, with an upside of 13.4%</t>
  </si>
  <si>
    <t>Timken India Ltd.'s share price target is above the current price, with an upside of 10.3%</t>
  </si>
  <si>
    <t>Titan Company Ltd.'s share price target is above the current price, with an upside of 2.0%</t>
  </si>
  <si>
    <t>Torrent Pharmaceuticals Ltd.'s share price target is above the current price, with an upside of 7.3%</t>
  </si>
  <si>
    <t>Torrent Power Ltd.'s share price target is below the current price, with a downside of 11.9%</t>
  </si>
  <si>
    <t>Trent Ltd.'s share price target is below the current price, with a downside of 8.0%</t>
  </si>
  <si>
    <t>Triveni Turbine Ltd.'s share price target is above the current price, with an upside of 12.3%</t>
  </si>
  <si>
    <t>TTK Prestige Ltd.'s share price target is above the current price, with an upside of 4.6%</t>
  </si>
  <si>
    <t>TV18 Broadcast Ltd.'s share price target is below the current price, with a downside of 45.9%</t>
  </si>
  <si>
    <t>TVS Motor Company Ltd.'s share price target is below the current price, with a downside of 3.0%</t>
  </si>
  <si>
    <t>TV Today Network Ltd.'s EPS was lower than average estimate 3 times in past 3 years</t>
  </si>
  <si>
    <t>United Breweries Ltd.'s share price target is below the current price, with a downside of 1.5%</t>
  </si>
  <si>
    <t>UltraTech Cement Ltd.'s share price target is above the current price, with an upside of 6.8%</t>
  </si>
  <si>
    <t>Uniparts India Ltd.'s share price target is above the current price, with an upside of 30.7%</t>
  </si>
  <si>
    <t>UNO Minda Ltd.'s share price target is above the current price, with an upside of 3.7%</t>
  </si>
  <si>
    <t>UTI Asset Management Company Ltd.'s share price target is above the current price, with an upside of 16.9%</t>
  </si>
  <si>
    <t>Varun Beverages Ltd.'s share price target is above the current price, with an upside of 1.2%</t>
  </si>
  <si>
    <t>Venus Pipes &amp; Tubes Ltd.'s share price target is above the current price, with an upside of 8.1%</t>
  </si>
  <si>
    <t>Vesuvius India Ltd.'s share price target is below the current price, with a downside of 18.1%</t>
  </si>
  <si>
    <t>V-Guard Industries Ltd.'s share price target is above the current price, with an upside of 0.6%</t>
  </si>
  <si>
    <t>Vijaya Diagnostic Centre Ltd.'s share price target is above the current price, with an upside of 2.7%</t>
  </si>
  <si>
    <t>Vinati Organics Ltd.'s share price target is above the current price, with an upside of 1.9%</t>
  </si>
  <si>
    <t>VIP Industries Ltd.'s share price target is above the current price, with an upside of 7.6%</t>
  </si>
  <si>
    <t>V-Mart Retail Ltd.'s share price target is above the current price, with an upside of 12.1%</t>
  </si>
  <si>
    <t>Voltamp Transformers Ltd.'s share price target is below the current price, with a downside of 15.2%</t>
  </si>
  <si>
    <t>Voltas Ltd.'s share price target is above the current price, with an upside of 3.2%</t>
  </si>
  <si>
    <t>VRL Logistics Ltd.'s share price target is above the current price, with an upside of 17.8%</t>
  </si>
  <si>
    <t>VST Industries Ltd.'s share price target is above the current price, with an upside of 0.4%</t>
  </si>
  <si>
    <t>VST Tillers Tractors Ltd.'s share price target is below the current price, with a downside of 3.7%</t>
  </si>
  <si>
    <t>Vardhman Textiles Ltd.'s share price target is above the current price, with an upside of 1.9%</t>
  </si>
  <si>
    <t>Westlife Foodworld Ltd.'s share price target is above the current price, with an upside of 2.8%</t>
  </si>
  <si>
    <t>Whirlpool of India Ltd.'s share price target is below the current price, with a downside of 15.6%</t>
  </si>
  <si>
    <t>Zee Entertainment Enterprises Ltd.'s share price target is above the current price, with an upside of 7.6%</t>
  </si>
  <si>
    <t>ZF Commercial Vehicle Control Systems India Ltd.'s share price target is above the current price, with an upside of 2.8%</t>
  </si>
  <si>
    <t>Zomato Ltd.'s share price target is above the current price, with an upside of 2.9%</t>
  </si>
  <si>
    <t>Zydus Lifesciences Ltd.'s share price target is below the current price, with a downside of 0.3%</t>
  </si>
  <si>
    <t>Zydus Wellness Ltd.'s share price target is above the current price, with an upside of 4.5%</t>
  </si>
  <si>
    <t>The score changed from Hold to Buy on 12th Aug 2023 at Rs 29,509.10</t>
  </si>
  <si>
    <t>3M India turned Bullish from Mildly Bullish on 10 Aug 2023 at Rs 28,104.70</t>
  </si>
  <si>
    <t>Good quality company basis long term financial performance. Second largest company in Diversified sector</t>
  </si>
  <si>
    <t xml:space="preserve"> 3m Company</t>
  </si>
  <si>
    <t>Nippon Life India Trustee Ltd-a/c Nippon India Lar</t>
  </si>
  <si>
    <t>The score changed from Sell to Hold on 07th Aug 2023 at Rs 339.55</t>
  </si>
  <si>
    <t>Aarti Pharma turned Mildly Bullish from Sideways on 25 Aug 2023 at Rs 390.30</t>
  </si>
  <si>
    <t xml:space="preserve"> Rashesh Chandrakant Gogri</t>
  </si>
  <si>
    <t>The score changed from Hold to Sell on 19th Sep 2022 at Rs 2,234.05</t>
  </si>
  <si>
    <t>Aavas Financiers turned Mildly Bearish from Bearish on 26 Jun 2023 at Rs 1,463.55</t>
  </si>
  <si>
    <t>Average quality company basis long term financial performance. Size - Ranks 4th out of 19 companies in Finance - Housing sector</t>
  </si>
  <si>
    <t xml:space="preserve"> Lake District Holdings Limited</t>
  </si>
  <si>
    <t>since 6 months 1 day</t>
  </si>
  <si>
    <t>The score changed from Hold to Buy on 06th Feb 2023 at Rs 2,932.85</t>
  </si>
  <si>
    <t>A B B turned Mildly Bullish from Bullish on 14 Aug 2023 at Rs 4,352.30</t>
  </si>
  <si>
    <t>Good quality company basis long term financial performance. Largest company in Electric Equipment sector</t>
  </si>
  <si>
    <t xml:space="preserve"> Abb Asea Brown Boveri Limited</t>
  </si>
  <si>
    <t>The score changed from Buy to Hold on 23rd Aug 2023 at Rs 23,232.75</t>
  </si>
  <si>
    <t>Abbott India turned Mildly Bullish from Bullish on 23 Aug 2023 at Rs 23,232.75</t>
  </si>
  <si>
    <t>Good quality company basis long term financial performance. Size - Ranks 8th out of 161 companies in Pharma sector</t>
  </si>
  <si>
    <t xml:space="preserve"> Abbott Capital India Limited</t>
  </si>
  <si>
    <t>Sbi Arbitrage Opportunities Fund</t>
  </si>
  <si>
    <t>The score changed from Sell to Hold on 29th Aug 2023 at Rs 647.25</t>
  </si>
  <si>
    <t>Archean Chemical turned Mildly Bullish from Sideways on 29 Aug 2023 at Rs 647.25</t>
  </si>
  <si>
    <t>The score changed from Hold to Sell on 28th Aug 2023 at Rs 1,044.15</t>
  </si>
  <si>
    <t>Aether Industri. turned Sideways from Mildly Bullish on 28 Aug 2023 at Rs 1,044.15</t>
  </si>
  <si>
    <t xml:space="preserve"> Purnima Ashwin Desai</t>
  </si>
  <si>
    <t>Sbi Magnum Midcap Fund And Others</t>
  </si>
  <si>
    <t>The score changed from Hold to Buy on 21st Aug 2023 at Rs 1,075.60</t>
  </si>
  <si>
    <t>Affle India turned Bullish from Mildly Bullish on 21 Aug 2023 at Rs 1,075.60</t>
  </si>
  <si>
    <t>Excellent quality company basis long term financial performance. Second largest company in Telecom - Equipment sector</t>
  </si>
  <si>
    <t xml:space="preserve"> Affle Holdings Pte Ltd</t>
  </si>
  <si>
    <t>The score changed from Strong Sell to Sell on 21st Aug 2023 at Rs 65.43</t>
  </si>
  <si>
    <t>AGS Transact turned Mildly Bullish from Sideways on 21 Aug 2023 at Rs 65.43</t>
  </si>
  <si>
    <t xml:space="preserve"> Vineha Enterprises Private Limited</t>
  </si>
  <si>
    <t>Hdfc Trustee Company Ltd.a/c Hdfc Balanced Advantage Fund</t>
  </si>
  <si>
    <t>The score changed from Hold to Buy on 16th Aug 2023 at Rs 764.05</t>
  </si>
  <si>
    <t>Ahluwalia Contr. turned Bullish from Mildly Bullish on 29 May 2023 at Rs 580.20</t>
  </si>
  <si>
    <t xml:space="preserve"> Sudershan Walia</t>
  </si>
  <si>
    <t>Good quality company basis long term financial performance. Size - Ranks 16th out of 161 companies in Pharma sector</t>
  </si>
  <si>
    <t>The score changed from Hold to Sell on 16th May 2023 at Rs 799.25</t>
  </si>
  <si>
    <t>Alicon Cast. turned Sideways from Mildly Bearish on 29 Aug 2023 at Rs 844.30</t>
  </si>
  <si>
    <t>Average quality company basis long term financial performance. Size - Ranks 32nd out of 91 companies in Auto Anc sector</t>
  </si>
  <si>
    <t xml:space="preserve"> Nastic Trading Llp</t>
  </si>
  <si>
    <t>Enkei Corporation</t>
  </si>
  <si>
    <t>The score changed from Sell to Hold on 26th Jun 2023 at Rs 2,227.40</t>
  </si>
  <si>
    <t>Amber Enterp. turned Bullish from Mildly Bullish on 04 Aug 2023 at Rs 2,505.30</t>
  </si>
  <si>
    <t xml:space="preserve"> Jasbir Singh</t>
  </si>
  <si>
    <t>Ascent Investment Holdings Pte Ltd</t>
  </si>
  <si>
    <t>The score changed from Hold to Sell on 23rd Aug 2023 at Rs 452.90</t>
  </si>
  <si>
    <t>Ambuja Cements turned Sideways from Mildly Bearish on 29 Aug 2023 at Rs 440.95</t>
  </si>
  <si>
    <t>Average quality company basis long term financial performance. Size - Ranks 3rd out of 37 companies in Cement sector</t>
  </si>
  <si>
    <t xml:space="preserve"> Holderind Investments Ltd</t>
  </si>
  <si>
    <t>The score changed from Hold to Buy on 08th Aug 2023 at Rs 1,701.00</t>
  </si>
  <si>
    <t>Angel One turned Bullish from Mildly Bullish on 08 Aug 2023 at Rs 1,701.00</t>
  </si>
  <si>
    <t xml:space="preserve"> Dinesh Dariyanumal Thakkar</t>
  </si>
  <si>
    <t>Mukesh Ramanlal Gandhi</t>
  </si>
  <si>
    <t>The score changed from Buy to Strong Buy on 09th May 2023 at Rs 2,601.15</t>
  </si>
  <si>
    <t>Apar Inds. turned Bullish from Mildly Bullish on 21 Jun 2023 at Rs 3,168.20</t>
  </si>
  <si>
    <t>Excellent quality company basis long term financial performance. Size - Ranks 3rd out of 32 companies in Electric Equipment sector</t>
  </si>
  <si>
    <t xml:space="preserve"> Kushal Narendra Desai</t>
  </si>
  <si>
    <t>Hdfc Trustee Company Ltd.</t>
  </si>
  <si>
    <t>since 1 month 4 days</t>
  </si>
  <si>
    <t>Excellent quality company basis long term financial performance. Size - Ranks 3rd out of 108 companies in Iron and Steel sector</t>
  </si>
  <si>
    <t>The score changed from Buy to Hold on 22nd Aug 2023 at Rs 765.40</t>
  </si>
  <si>
    <t>Alembic Pharma turned Mildly Bullish from Bullish on 22 Aug 2023 at Rs 765.40</t>
  </si>
  <si>
    <t>Good quality company basis long term financial performance. Size - Ranks 22nd out of 161 companies in Pharma sector</t>
  </si>
  <si>
    <t>The score changed from Hold to Sell on 11th Aug 2023 at Rs 4,901.50</t>
  </si>
  <si>
    <t>Apollo Hospitals turned Mildly Bullish from Bullish on 31 Jul 2023 at Rs 5,176.10</t>
  </si>
  <si>
    <t>Average quality company basis long term financial performance. Largest company in Healthcare Services sector</t>
  </si>
  <si>
    <t xml:space="preserve"> M/s. Pcr Investments Ltd</t>
  </si>
  <si>
    <t>Hdfc Trustee Company Limited</t>
  </si>
  <si>
    <t>The score changed from Sell to Hold on 08th May 2023 at Rs 600.10</t>
  </si>
  <si>
    <t>Apollo Pipes turned Mildly Bullish from Bullish on 08 Aug 2023 at Rs 720.25</t>
  </si>
  <si>
    <t>Average quality company basis long term financial performance. Size - Ranks 12th out of 90 companies in Plastic Products sector</t>
  </si>
  <si>
    <t xml:space="preserve"> Meenakshi Gupta</t>
  </si>
  <si>
    <t>Mukul Mahavir Agrawal</t>
  </si>
  <si>
    <t>The score changed from Sell to Hold on 25th Aug 2023 at Rs 305.10</t>
  </si>
  <si>
    <t>Arvind Fashions. turned Mildly Bullish from Mildly Bearish on 18 Jul 2023 at Rs 340.20</t>
  </si>
  <si>
    <t>Average quality company basis long term financial performance. Size - Ranks 6th out of 22 companies in Retailing sector</t>
  </si>
  <si>
    <t>Icici Prudential Smallcap Fund</t>
  </si>
  <si>
    <t>The score changed from Sell to Hold on 28th Aug 2023 at Rs 592.80</t>
  </si>
  <si>
    <t>Asahi India Glas turned Bullish from Mildly Bullish on 28 Aug 2023 at Rs 592.80</t>
  </si>
  <si>
    <t>Average quality company basis long term financial performance. Largest company in Glass sector</t>
  </si>
  <si>
    <t xml:space="preserve"> Asahi Glass Co., Ltd</t>
  </si>
  <si>
    <t>Nemish S Shah</t>
  </si>
  <si>
    <t>The score changed from Buy to Hold on 16th May 2023 at Rs 84.34</t>
  </si>
  <si>
    <t>Ashoka Buildcon turned Bullish from Mildly Bullish on 11 Jul 2023 at Rs 87.11</t>
  </si>
  <si>
    <t>Average quality company basis long term financial performance. Size - Ranks 21st out of 80 companies in Capital Goods sector</t>
  </si>
  <si>
    <t xml:space="preserve"> Shobha Parakh</t>
  </si>
  <si>
    <t>Hdfc Trustee Company Ltd. A/c Hdfc Balanced Advantage Fund</t>
  </si>
  <si>
    <t>The score changed from Sell to Hold on 26th May 2023 at Rs 270.50</t>
  </si>
  <si>
    <t>Aster DM Health. turned Bullish from Mildly Bullish on 18 Aug 2023 at Rs 318.90</t>
  </si>
  <si>
    <t>Average quality company basis long term financial performance. Size - Ranks 5th out of 34 companies in Healthcare Services sector</t>
  </si>
  <si>
    <t xml:space="preserve"> Union Investments Private Limited</t>
  </si>
  <si>
    <t>Olympus Capital Asia Investments Limited</t>
  </si>
  <si>
    <t>The score changed from Sell to Hold on 28th Aug 2023 at Rs 385.35</t>
  </si>
  <si>
    <t>Astra Microwave turned Bullish from Mildly Bullish on 28 Aug 2023 at Rs 385.35</t>
  </si>
  <si>
    <t>Good quality company basis long term financial performance. Size - Ranks 4th out of 6 companies in Defence sector</t>
  </si>
  <si>
    <t xml:space="preserve"> Prakash Anand Chitrakar</t>
  </si>
  <si>
    <t>Ratnabali Investment Private Limited</t>
  </si>
  <si>
    <t>The score changed from Buy to Hold on 24th Jul 2023 at Rs 739.45</t>
  </si>
  <si>
    <t>AU Small Finance turned Mildly Bullish from Bullish on 24 Jul 2023 at Rs 739.45</t>
  </si>
  <si>
    <t xml:space="preserve"> Sanjay Agarwal</t>
  </si>
  <si>
    <t>Smallcap World Fund, Inc</t>
  </si>
  <si>
    <t>The score changed from Hold to Sell on 03rd Aug 2023 at Rs 2,172.60</t>
  </si>
  <si>
    <t>Automotive Axles turned Bearish from Mildly Bearish on 25 Aug 2023 at Rs 2,162.30</t>
  </si>
  <si>
    <t>Average quality company basis long term financial performance. Size - Ranks 19th out of 91 companies in Auto Anc sector</t>
  </si>
  <si>
    <t xml:space="preserve"> Bf Investment Limited</t>
  </si>
  <si>
    <t>The Grade has remained Sell</t>
  </si>
  <si>
    <t>Avalon Tech turned Sideways from Mildly Bearish on 21 Aug 2023 at Rs 489.25</t>
  </si>
  <si>
    <t xml:space="preserve"> Kunhamed Bicha</t>
  </si>
  <si>
    <t>Axis Bank turned Bullish from Mildly Bullish on 23 Aug 2023 at Rs 978.80</t>
  </si>
  <si>
    <t>The score changed from Buy to Hold on 04th Aug 2023 at Rs 4,709.20</t>
  </si>
  <si>
    <t>Bajaj Auto turned Mildly Bullish from Bullish on 04 Aug 2023 at Rs 4,709.20</t>
  </si>
  <si>
    <t>Good quality company basis long term financial performance. Largest company in Auto - 2 &amp;3 Wheel sector</t>
  </si>
  <si>
    <t xml:space="preserve"> Bajaj Holdings And Investment Limited</t>
  </si>
  <si>
    <t>Lici New Pension Plus Secured Fund</t>
  </si>
  <si>
    <t>The score changed from Hold to Buy on 10th Jul 2023 at Rs 192.75</t>
  </si>
  <si>
    <t>Bajaj Consumer turned Bullish from Mildly Bullish on 05 Jul 2023 at Rs 195.45</t>
  </si>
  <si>
    <t>Good quality company basis long term financial performance. Size - Ranks 18th out of 86 companies in FMCG sector</t>
  </si>
  <si>
    <t xml:space="preserve"> Bajaj Resources Private Limited</t>
  </si>
  <si>
    <t>The score changed from Sell to Hold on 28th Aug 2023 at Rs 1,131.60</t>
  </si>
  <si>
    <t>Bajaj Electrical turned Sideways from Mildly Bullish on 29 Aug 2023 at Rs 1,129.45</t>
  </si>
  <si>
    <t>Average quality company basis long term financial performance. Size - Ranks 4th out of 15 companies in Consumer durables sector</t>
  </si>
  <si>
    <t xml:space="preserve"> Jamnalal Sons Private Limited</t>
  </si>
  <si>
    <t>The score changed from Sell to Hold on 22nd May 2023 at Rs 2,289.95</t>
  </si>
  <si>
    <t>Balkrishna Inds turned Mildly Bullish from Bullish on 07 Aug 2023 at Rs 2,370.85</t>
  </si>
  <si>
    <t>Good quality company basis long term financial performance. Second largest company in Tyres sector</t>
  </si>
  <si>
    <t xml:space="preserve"> Rajiv Poddar</t>
  </si>
  <si>
    <t>The score changed from Hold to Sell on 29th Aug 2023 at Rs 388.15</t>
  </si>
  <si>
    <t>Balrampur Chini turned Sideways from Mildly Bearish on 28 Aug 2023 at Rs 389.60</t>
  </si>
  <si>
    <t>The score changed from Strong Sell to Sell on 29th May 2023 at Rs 617.40</t>
  </si>
  <si>
    <t>Barbeque-Nation turned Sideways from Mildly Bearish on 18 Aug 2023 at Rs 687.90</t>
  </si>
  <si>
    <t xml:space="preserve"> Sayaji Housekeeping Services Limited</t>
  </si>
  <si>
    <t>Jubilant Foodworks Ltd</t>
  </si>
  <si>
    <t>The score changed from Sell to Hold on 17th Jul 2023 at Rs 1,692.95</t>
  </si>
  <si>
    <t>Bata India turned Mildly Bullish from Bullish on 08 Aug 2023 at Rs 1,755.95</t>
  </si>
  <si>
    <t>The score changed from Hold to Buy on 22nd Aug 2023 at Rs 4,748.20</t>
  </si>
  <si>
    <t>Bayer Crop Sci. turned Bullish from Mildly Bullish on 25 Aug 2023 at Rs 4,720.45</t>
  </si>
  <si>
    <t>The score changed from Sell to Hold on 26th May 2023 at Rs 1,423.95</t>
  </si>
  <si>
    <t>BEML Ltd turned Bullish from Mildly Bullish on 21 Jul 2023 at Rs 1,682.65</t>
  </si>
  <si>
    <t>Average quality company basis long term financial performance. Second largest company in Engg - Industrial Equipments sector</t>
  </si>
  <si>
    <t>The score changed from Sell to Hold on 01st Aug 2023 at Rs 1,298.90</t>
  </si>
  <si>
    <t>Best Agrolife turned Sideways from Mildly Bearish on 30 Aug 2023 at Rs 1,206.85</t>
  </si>
  <si>
    <t xml:space="preserve"> Vandana Alawadhi</t>
  </si>
  <si>
    <t>Resonance Opportunities Fund</t>
  </si>
  <si>
    <t>The score changed from Sell to Hold on 31st Jul 2023 at Rs 931.20</t>
  </si>
  <si>
    <t>Bharat Forge turned Bullish from Mildly Bullish on 31 Jul 2023 at Rs 931.20</t>
  </si>
  <si>
    <t>Average quality company basis long term financial performance. Largest company in Castings/Forgings sector</t>
  </si>
  <si>
    <t xml:space="preserve"> Kalyani Investment Company Limited</t>
  </si>
  <si>
    <t>The score changed from Strong Sell to Sell on 29th Aug 2023 at Rs 9,264.25</t>
  </si>
  <si>
    <t>Bharat Rasayan turned Mildly Bearish from Bearish on 29 Aug 2023 at Rs 9,264.25</t>
  </si>
  <si>
    <t>Good quality company basis long term financial performance. Size - Ranks 7th out of 22 companies in Pesticides &amp; Agrochem sector</t>
  </si>
  <si>
    <t xml:space="preserve"> Sat Narain Gupta</t>
  </si>
  <si>
    <t>Ritesh Stock Broking Private Limited</t>
  </si>
  <si>
    <t>The score changed from Hold to Sell on 14th Aug 2023 at Rs 1,080.15</t>
  </si>
  <si>
    <t>Birla Corpn. turned Mildly Bullish from Bullish on 09 Aug 2023 at Rs 1,217.30</t>
  </si>
  <si>
    <t>Below Average quality company basis long term financial performance. Size - Ranks 9th out of 37 companies in Cement sector</t>
  </si>
  <si>
    <t xml:space="preserve"> Hindustan Medical Institution</t>
  </si>
  <si>
    <t xml:space="preserve">shares Held In Their Various Schemes </t>
  </si>
  <si>
    <t>BEML Land Assets turned Mildly Bullish from Sideways on 29 Aug 2023 at Rs 180.85</t>
  </si>
  <si>
    <t>Score -6</t>
  </si>
  <si>
    <t>The score changed from Hold to Sell on 29th Aug 2023 at Rs 6,274.80</t>
  </si>
  <si>
    <t>Blue Dart Expres turned Sideways from Mildly Bullish on 29 Aug 2023 at Rs 6,274.80</t>
  </si>
  <si>
    <t>The score changed from Buy to Hold on 30th Aug 2023 at Rs 741.45</t>
  </si>
  <si>
    <t>Good quality company basis long term financial performance. Size - Ranks 4th out of 20 companies in Oil Exploration/Refineries sector</t>
  </si>
  <si>
    <t>The score changed from Sell to Strong Sell on 28th Aug 2023 at Rs 583.30</t>
  </si>
  <si>
    <t>Brigade Enterpr. turned Mildly Bullish from Bullish on 28 Aug 2023 at Rs 583.30</t>
  </si>
  <si>
    <t>Below Average quality company basis long term financial performance. Size - Ranks 6th out of 141 companies in Real Estate sector</t>
  </si>
  <si>
    <t xml:space="preserve"> Mysore Ramachandrasetty Jaishankar</t>
  </si>
  <si>
    <t>The score changed from Sell to Hold on 28th Aug 2023 at Rs 154.95</t>
  </si>
  <si>
    <t>Camlin Fine turned Mildly Bullish from Sideways on 28 Aug 2023 at Rs 154.95</t>
  </si>
  <si>
    <t>Average quality company basis long term financial performance. Size - Ranks 25th out of 143 companies in Chemicals sector</t>
  </si>
  <si>
    <t xml:space="preserve"> Ashish Subhash Dandekar</t>
  </si>
  <si>
    <t>Infinity Direct Holdings</t>
  </si>
  <si>
    <t>The score changed from Hold to Sell on 28th Aug 2023 at Rs 301.35</t>
  </si>
  <si>
    <t>Campus Activewe. turned Bearish from Mildly Bearish on 23 Aug 2023 at Rs 307.70</t>
  </si>
  <si>
    <t xml:space="preserve"> Hari Krishan Agarwal</t>
  </si>
  <si>
    <t>Motilal Oswal Flexi Cap Fund</t>
  </si>
  <si>
    <t>The score changed from Hold to Buy on 08th Aug 2023 at Rs 2,379.50</t>
  </si>
  <si>
    <t>Cams Services turned Bullish from Mildly Bullish on 08 Aug 2023 at Rs 2,379.50</t>
  </si>
  <si>
    <t xml:space="preserve"> Great Terrain Investment Ltd</t>
  </si>
  <si>
    <t>The score changed from Buy to Hold on 01st Aug 2023 at Rs 737.00</t>
  </si>
  <si>
    <t>Can Fin Homes turned Mildly Bullish from Bullish on 01 Aug 2023 at Rs 737.00</t>
  </si>
  <si>
    <t>Good quality company basis long term financial performance. Size - Ranks 5th out of 19 companies in Finance - Housing sector</t>
  </si>
  <si>
    <t xml:space="preserve"> Canara Bank - Mumbai</t>
  </si>
  <si>
    <t>Chhattisgarh Investmets Limited</t>
  </si>
  <si>
    <t>The score changed from Strong Buy to Hold on 11th Aug 2023 at Rs 218.60</t>
  </si>
  <si>
    <t>Capacit'e Infra. turned Mildly Bullish from Bullish on 14 Aug 2023 at Rs 200.20</t>
  </si>
  <si>
    <t>Average quality company basis long term financial performance. Size - Ranks 22nd out of 141 companies in Real Estate sector</t>
  </si>
  <si>
    <t xml:space="preserve"> Katyal Merchandise Private Limited</t>
  </si>
  <si>
    <t>Paragon Partners Growth Fund A/c Paragon Partners</t>
  </si>
  <si>
    <t>The score changed from Buy to Hold on 07th Aug 2023 at Rs 1,173.25</t>
  </si>
  <si>
    <t>Carborundum Uni. turned Mildly Bullish from Bullish on 07 Aug 2023 at Rs 1,173.25</t>
  </si>
  <si>
    <t>Good quality company basis long term financial performance. Second largest company in Abrasives sector</t>
  </si>
  <si>
    <t xml:space="preserve"> Ambadi Investments Limited</t>
  </si>
  <si>
    <t>Sbi Retirement Benefit Fund - Aggressive Plan</t>
  </si>
  <si>
    <t>The score changed from Buy to Hold on 30th Jan 2023 at Rs 607.35</t>
  </si>
  <si>
    <t>CARE Ratings turned Bullish from Mildly Bullish on 28 Jun 2023 at Rs 692.35</t>
  </si>
  <si>
    <t>Good quality company basis long term financial performance. Smallest company in Ratings sector</t>
  </si>
  <si>
    <t>The score changed from Hold to Buy on 24th Jul 2023 at Rs 134.90</t>
  </si>
  <si>
    <t>Castrol India turned Bullish from Mildly Bullish on 24 Jul 2023 at Rs 134.90</t>
  </si>
  <si>
    <t>Good quality company basis long term financial performance. Largest company in Lubricants sector</t>
  </si>
  <si>
    <t xml:space="preserve"> Castrol Limited</t>
  </si>
  <si>
    <t>The score changed from Strong Buy to Hold on 14th Jul 2023 at Rs 729.95</t>
  </si>
  <si>
    <t>CCL Products turned Mildly Bullish from Bullish on 24 Jul 2023 at Rs 621.75</t>
  </si>
  <si>
    <t>Good quality company basis long term financial performance. Second largest company in Tea/Coffee sector</t>
  </si>
  <si>
    <t xml:space="preserve"> Challa Shantha Prasad</t>
  </si>
  <si>
    <t>The score changed from Sell to Hold on 26th Jul 2023 at Rs 1,188.15</t>
  </si>
  <si>
    <t>C D S L turned Mildly Bullish from Bullish on 10 Aug 2023 at Rs 1,199.75</t>
  </si>
  <si>
    <t xml:space="preserve"> BSE Limited</t>
  </si>
  <si>
    <t>Standard Chartered Bank - Corporate Banking</t>
  </si>
  <si>
    <t>The score changed from Hold to Buy on 28th Aug 2023 at Rs 675.15</t>
  </si>
  <si>
    <t>Century Plyboard turned Bullish from Mildly Bullish on 28 Aug 2023 at Rs 675.15</t>
  </si>
  <si>
    <t>Good quality company basis long term financial performance. Largest company in Wood Products sector</t>
  </si>
  <si>
    <t>Century Textiles turned Mildly Bullish from Bullish on 29 Aug 2023 at Rs 1,030.15</t>
  </si>
  <si>
    <t>The score changed from Strong Sell to Sell on 21st Jun 2023 at Rs 279.00</t>
  </si>
  <si>
    <t>Chambal Fert. turned Mildly Bearish from Bearish on 28 Aug 2023 at Rs 274.90</t>
  </si>
  <si>
    <t>Good quality company basis long term financial performance. Size - Ranks 3rd out of 28 companies in Fertilizers sector</t>
  </si>
  <si>
    <t xml:space="preserve"> The Hindustan Times Limited</t>
  </si>
  <si>
    <t>Dsp Small Cap Fund And Its Associate Funds</t>
  </si>
  <si>
    <t>The score changed from Sell to Hold on 14th Aug 2023 at Rs 443.35</t>
  </si>
  <si>
    <t>Chemplast Sanmar turned Bullish from Mildly Bullish on 24 Aug 2023 at Rs 509.85</t>
  </si>
  <si>
    <t xml:space="preserve"> Sanmar Holdings Limited</t>
  </si>
  <si>
    <t>Sbi Nifty Smallcap 250 Index Fund</t>
  </si>
  <si>
    <t>The score changed from Hold to Buy on 30th Aug 2023 at Rs 1,116.05</t>
  </si>
  <si>
    <t>Cholaman.Inv.&amp;Fn turned Bullish from Mildly Bullish on 30 Aug 2023 at Rs 1,116.05</t>
  </si>
  <si>
    <t>Good quality company basis long term financial performance. Size - Ranks 5th out of 590 companies in Finance/NBFC sector</t>
  </si>
  <si>
    <t xml:space="preserve"> Cholamandalam Financial Holdings Limited</t>
  </si>
  <si>
    <t>formerly Tifinancial Holdings Ltd</t>
  </si>
  <si>
    <t>The score changed from Sell to Hold on 04th May 2023 at Rs 682.70</t>
  </si>
  <si>
    <t>Chola Financial turned Bullish from Mildly Bullish on 29 Aug 2023 at Rs 963.50</t>
  </si>
  <si>
    <t>Below Average quality company basis long term financial performance. Size - Ranks 25th out of 590 companies in Finance/NBFC sector</t>
  </si>
  <si>
    <t>Nippon Life India Trustee Ltd- A/c Nippon India Ba</t>
  </si>
  <si>
    <t>The score changed from Sell to Buy on 26th Jul 2023 at Rs 1,068.70</t>
  </si>
  <si>
    <t>Cipla turned Bullish from Mildly Bullish on 02 Aug 2023 at Rs 1,167.45</t>
  </si>
  <si>
    <t>Good quality company basis long term financial performance. Second largest company in Pharma sector</t>
  </si>
  <si>
    <t xml:space="preserve"> Yusuf Khwaja Hamied</t>
  </si>
  <si>
    <t>The score changed from Strong Sell to Sell on 08th Aug 2023 at Rs 1,379.60</t>
  </si>
  <si>
    <t>Clean Science turned Mildly Bearish from Bearish on 07 Aug 2023 at Rs 1,334.80</t>
  </si>
  <si>
    <t xml:space="preserve"> Ashok Ramnarayan Boob</t>
  </si>
  <si>
    <t>Anantroop Financial Advisory Services Private Limited</t>
  </si>
  <si>
    <t>The score changed from Hold to Buy on 28th Jun 2023 at Rs 4,666.10</t>
  </si>
  <si>
    <t>Coforge turned Bullish from Mildly Bullish on 26 Jun 2023 at Rs 4,612.90</t>
  </si>
  <si>
    <t>Excellent quality company basis long term financial performance. Size - Ranks 11th out of 157 companies in IT - Software sector</t>
  </si>
  <si>
    <t xml:space="preserve"> Hulst B.v.</t>
  </si>
  <si>
    <t>The score changed from Hold to Sell on 28th Aug 2023 at Rs 664.10</t>
  </si>
  <si>
    <t>Container Corpn. turned Mildly Bullish from Sideways on 29 Aug 2023 at Rs 669.80</t>
  </si>
  <si>
    <t>The score changed from Strong Buy to Buy on 21st Aug 2023 at Rs 85.92</t>
  </si>
  <si>
    <t>Confidence Petro turned Bullish from Mildly Bullish on 18 Aug 2023 at Rs 79.10</t>
  </si>
  <si>
    <t>Average quality company basis long term financial performance. Size - Ranks 3rd out of 12 companies in Industrial Gases &amp; Fuels sector</t>
  </si>
  <si>
    <t xml:space="preserve"> Gaspoint Petroleum India Limited</t>
  </si>
  <si>
    <t>Samrath Real Infra Private Limited</t>
  </si>
  <si>
    <t>The score changed from Buy to Hold on 24th Aug 2023 at Rs 1,395.55</t>
  </si>
  <si>
    <t>CreditAcc. Gram. turned Mildly Bullish from Bullish on 24 Aug 2023 at Rs 1,395.55</t>
  </si>
  <si>
    <t>Average quality company basis long term financial performance. Size - Ranks 20th out of 590 companies in Finance/NBFC sector</t>
  </si>
  <si>
    <t>The score changed from Sell to Hold on 14th Mar 2023 at Rs 3,247.65</t>
  </si>
  <si>
    <t>CRISIL turned Mildly Bullish from Bullish on 28 Aug 2023 at Rs 3,898.30</t>
  </si>
  <si>
    <t>Good quality company basis long term financial performance. Largest company in Ratings sector</t>
  </si>
  <si>
    <t xml:space="preserve"> S&amp;p India Llc</t>
  </si>
  <si>
    <t>Jhunjhunwala Rekha Rakesh</t>
  </si>
  <si>
    <t>The score changed from Buy to Hold on 28th Aug 2023 at Rs 409.15</t>
  </si>
  <si>
    <t>CG Power &amp; Indu. turned Mildly Bullish from Bullish on 28 Aug 2023 at Rs 409.15</t>
  </si>
  <si>
    <t>Good quality company basis long term financial performance. Size - Ranks 3rd out of 80 companies in Capital Goods sector</t>
  </si>
  <si>
    <t xml:space="preserve"> Tube Investments Of India Limited</t>
  </si>
  <si>
    <t>Axis Mutual Fund Trustee Limited A/c Axis Mutual Fund A/c Axis Midcap Fund</t>
  </si>
  <si>
    <t>The score changed from Buy to Hold on 07th Aug 2023 at Rs 1,743.05</t>
  </si>
  <si>
    <t>Cummins India turned Mildly Bullish from Bullish on 07 Aug 2023 at Rs 1,743.05</t>
  </si>
  <si>
    <t>Good quality company basis long term financial performance. Largest company in Diesel Engines sector</t>
  </si>
  <si>
    <t xml:space="preserve"> Cummins Inc</t>
  </si>
  <si>
    <t>Sbi Blue Chip Fund</t>
  </si>
  <si>
    <t>The score changed from Hold to Buy on 29th Aug 2023 at Rs 1,603.10</t>
  </si>
  <si>
    <t>Cyient turned Mildly Bullish from Bullish on 30 Aug 2023 at Rs 1,610.95</t>
  </si>
  <si>
    <t>Good quality company basis long term financial performance. Size - Ranks 13th out of 157 companies in IT - Software sector</t>
  </si>
  <si>
    <t>Good quality company basis long term financial performance. Size - Ranks 6th out of 86 companies in FMCG sector</t>
  </si>
  <si>
    <t>Dalmia BharatLtd turned Mildly Bullish from Sideways on 21 Aug 2023 at Rs 1,919.50</t>
  </si>
  <si>
    <t>Average quality company basis long term financial performance. Size - Ranks 5th out of 37 companies in Cement sector</t>
  </si>
  <si>
    <t>The score changed from Buy to Hold on 08th Aug 2023 at Rs 2,026.60</t>
  </si>
  <si>
    <t>Data Pattern turned Bullish from Mildly Bullish on 07 Aug 2023 at Rs 2,014.65</t>
  </si>
  <si>
    <t xml:space="preserve"> Srinivasagopalan Rangarjan</t>
  </si>
  <si>
    <t>Florintree Capital Partners Llp</t>
  </si>
  <si>
    <t>The score changed from Strong Buy to Buy on 28th Jul 2023 at Rs 128.55</t>
  </si>
  <si>
    <t>DCB Bank turned Mildly Bullish from Bullish on 02 Aug 2023 at Rs 120.95</t>
  </si>
  <si>
    <t>Good quality company basis long term financial performance. Size - Ranks 17th out of 18 companies in Private Banks sector</t>
  </si>
  <si>
    <t xml:space="preserve"> Aga Khan Fund For Economic Development Sa</t>
  </si>
  <si>
    <t>The score changed from Hold to Sell on 17th May 2023 at Rs 595.65</t>
  </si>
  <si>
    <t>Deepak Fertiliz. turned Mildly Bearish from Bearish on 22 May 2023 at Rs 547.95</t>
  </si>
  <si>
    <t>Average quality company basis long term financial performance. Size - Ranks 5th out of 28 companies in Fertilizers sector</t>
  </si>
  <si>
    <t xml:space="preserve"> Nova Synthetic Limited</t>
  </si>
  <si>
    <t>The score changed from Sell to Hold on 24th Aug 2023 at Rs 2,026.80</t>
  </si>
  <si>
    <t>Deepak Nitrite turned Bullish from Mildly Bullish on 30 Aug 2023 at Rs 2,217.15</t>
  </si>
  <si>
    <t>Excellent quality company basis long term financial performance. Size - Ranks 3rd out of 143 companies in Chemicals sector</t>
  </si>
  <si>
    <t xml:space="preserve"> Deepak Chimanlal Mehta</t>
  </si>
  <si>
    <t>The score changed from Sell to Hold on 13th Jun 2023 at Rs 192.75</t>
  </si>
  <si>
    <t>Devyani Intl. turned Mildly Bullish from Bullish on 25 Aug 2023 at Rs 191.40</t>
  </si>
  <si>
    <t xml:space="preserve"> Rj Corp Limited</t>
  </si>
  <si>
    <t>Yum Restaurants India Pvt Ltd</t>
  </si>
  <si>
    <t>The score changed from Sell to Hold on 02nd Aug 2023 at Rs 835.95</t>
  </si>
  <si>
    <t>Prataap Snacks turned Bullish from Mildly Bullish on 18 Aug 2023 at Rs 883.70</t>
  </si>
  <si>
    <t>Average quality company basis long term financial performance. Size - Ranks 23rd out of 86 companies in FMCG sector</t>
  </si>
  <si>
    <t xml:space="preserve"> Sci Growth Investments Ii</t>
  </si>
  <si>
    <t>Kotak Debt Hybrid</t>
  </si>
  <si>
    <t>The score changed from Hold to Sell on 28th Aug 2023 at Rs 875.55</t>
  </si>
  <si>
    <t>Divgi Torq turned Mildly Bullish from Sideways on 29 Aug 2023 at Rs 900.40</t>
  </si>
  <si>
    <t xml:space="preserve"> Divgi Holding Pvt Ltd</t>
  </si>
  <si>
    <t>Oman India Joint Investment Fund Ii</t>
  </si>
  <si>
    <t>The score changed from Sell to Hold on 16th Jun 2023 at Rs 3,583.60</t>
  </si>
  <si>
    <t>Divi's Lab. turned Mildly Bullish from Bullish on 24 Aug 2023 at Rs 3,657.55</t>
  </si>
  <si>
    <t>Good quality company basis long term financial performance. Size - Ranks 3rd out of 161 companies in Pharma sector</t>
  </si>
  <si>
    <t xml:space="preserve"> Nilima Prasad Divi</t>
  </si>
  <si>
    <t>The score changed from Hold to Buy on 04th Aug 2023 at Rs 4,618.50</t>
  </si>
  <si>
    <t>Dixon Technolog. turned Bullish from Mildly Bullish on 04 Aug 2023 at Rs 4,618.50</t>
  </si>
  <si>
    <t>Good quality company basis long term financial performance. Largest company in Consumer Electronics sector</t>
  </si>
  <si>
    <t xml:space="preserve"> Sunil Vachani</t>
  </si>
  <si>
    <t>Kamla Vachani</t>
  </si>
  <si>
    <t>The score changed from Sell to Hold on 30th Aug 2023 at Rs 3,736.00</t>
  </si>
  <si>
    <t>Avenue Super. turned Mildly Bullish from Mildly Bearish on 30 Aug 2023 at Rs 3,736.00</t>
  </si>
  <si>
    <t>Good quality company basis long term financial performance. Largest company in Retailing sector</t>
  </si>
  <si>
    <t xml:space="preserve"> Radhakishan Shivkishan Damani</t>
  </si>
  <si>
    <t>Axis Mutual Fund Trustee Limited A/c Axis Mutual Fund A/c</t>
  </si>
  <si>
    <t>The score changed from Sell to Hold on 14th Jun 2023 at Rs 546.80</t>
  </si>
  <si>
    <t>Dodla Dairy turned Bullish from Mildly Bullish on 14 Aug 2023 at Rs 731.10</t>
  </si>
  <si>
    <t xml:space="preserve"> Dodla Family Trust</t>
  </si>
  <si>
    <t>Sbi Long Term Advantage Fund-series Iv</t>
  </si>
  <si>
    <t>since 4 months 30 days</t>
  </si>
  <si>
    <t>Good quality company basis long term financial performance. Size - Ranks 4th out of 161 companies in Pharma sector</t>
  </si>
  <si>
    <t>The score changed from Buy to Hold on 11th Aug 2023 at Rs 1,708.80</t>
  </si>
  <si>
    <t>eClerx Services turned Mildly Bullish from Bullish on 11 Aug 2023 at Rs 1,708.80</t>
  </si>
  <si>
    <t>Good quality company basis long term financial performance. Second largest company in BPO/ITeS sector</t>
  </si>
  <si>
    <t xml:space="preserve"> Priyadarshan Mundhra</t>
  </si>
  <si>
    <t>Hdfc Large And Mid Cap Fund</t>
  </si>
  <si>
    <t>The score changed from Hold to Sell on 09th Aug 2023 at Rs 470.65</t>
  </si>
  <si>
    <t>EID Parry turned Mildly Bearish from Bearish on 21 Aug 2023 at Rs 460.85</t>
  </si>
  <si>
    <t>Hitesh Satishchandra Doshi</t>
  </si>
  <si>
    <t>The score changed from Hold to Buy on 23rd May 2023 at Rs 200.55</t>
  </si>
  <si>
    <t>EIH turned Bullish from Mildly Bullish on 21 Aug 2023 at Rs 237.05</t>
  </si>
  <si>
    <t>Average quality company basis long term financial performance. Second largest company in Hotels sector</t>
  </si>
  <si>
    <t xml:space="preserve"> Oberoi Hotels Private Limited</t>
  </si>
  <si>
    <t>The score changed from Sell to Hold on 19th Jan 2023 at Rs 4,770.15</t>
  </si>
  <si>
    <t>Elantas Beck turned Bullish from Mildly Bullish on 02 Aug 2023 at Rs 6,785.65</t>
  </si>
  <si>
    <t>Average quality company basis long term financial performance. Size - Ranks 17th out of 143 companies in Chemicals sector</t>
  </si>
  <si>
    <t xml:space="preserve"> Elantas Gmbh</t>
  </si>
  <si>
    <t>Good quality company basis long term financial performance. Size - Ranks 11th out of 86 companies in FMCG sector</t>
  </si>
  <si>
    <t>The score changed from Hold to Buy on 14th Aug 2023 at Rs 448.95</t>
  </si>
  <si>
    <t>eMudhra turned Bullish from Mildly Bullish on 14 Aug 2023 at Rs 448.95</t>
  </si>
  <si>
    <t xml:space="preserve"> Venkatraman Srinivasan</t>
  </si>
  <si>
    <t>Lakshmi Kaushik</t>
  </si>
  <si>
    <t>The score changed from Buy to Hold on 28th Aug 2023 at Rs 1,617.05</t>
  </si>
  <si>
    <t>Endurance Tech turned Bullish from Mildly Bullish on 30 Aug 2023 at Rs 1,647.40</t>
  </si>
  <si>
    <t>Good quality company basis long term financial performance. Size - Ranks 4th out of 91 companies in Auto Anc sector</t>
  </si>
  <si>
    <t xml:space="preserve"> Anurang Jain</t>
  </si>
  <si>
    <t>The score changed from Buy to Hold on 14th Aug 2023 at Rs 199.35</t>
  </si>
  <si>
    <t>Epl Ltd. turned Mildly Bullish from Bullish on 09 Aug 2023 at Rs 209.70</t>
  </si>
  <si>
    <t xml:space="preserve"> Epsilon Bidco Pte. Ltd.</t>
  </si>
  <si>
    <t>Ashok Kumar Goel - Trustee Ashok Goel Trust</t>
  </si>
  <si>
    <t>The score changed from Buy to Strong Buy on 03rd May 2023 at Rs 72.40</t>
  </si>
  <si>
    <t>Equitas Sma. Fin turned Mildly Bullish from Bullish on 02 Aug 2023 at Rs 89.81</t>
  </si>
  <si>
    <t>The score changed from Buy to Strong Buy on 12th Aug 2023 at Rs 4,882.30</t>
  </si>
  <si>
    <t>Esab India turned Bullish from Mildly Bullish on 08 Aug 2023 at Rs 4,625.25</t>
  </si>
  <si>
    <t>Excellent quality company basis long term financial performance. Second largest company in Electrodes &amp; Welding sector</t>
  </si>
  <si>
    <t xml:space="preserve"> Esab Holdings Limited</t>
  </si>
  <si>
    <t>Sbi Retirement Benefit Fund - Conservative Plan</t>
  </si>
  <si>
    <t>The score changed from Hold to Buy on 02nd Aug 2023 at Rs 2,598.35</t>
  </si>
  <si>
    <t>Escorts Kubota turned Bullish from Mildly Bullish on 10 Jul 2023 at Rs 2,285.85</t>
  </si>
  <si>
    <t>The score changed from Hold to Buy on 10th Aug 2023 at Rs 409.90</t>
  </si>
  <si>
    <t>FDC turned Bullish from Mildly Bullish on 25 May 2023 at Rs 289.70</t>
  </si>
  <si>
    <t>Average quality company basis long term financial performance. Size - Ranks 30th out of 161 companies in Pharma sector</t>
  </si>
  <si>
    <t xml:space="preserve"> Meera Ramdas Chandavarkar</t>
  </si>
  <si>
    <t>Icici Prudential Smallcap Index Fund</t>
  </si>
  <si>
    <t>The score changed from Buy to Hold on 03rd Mar 2023 at Rs 776.20</t>
  </si>
  <si>
    <t>Finolex Cables turned Bullish from Mildly Bullish on 18 Jul 2023 at Rs 895.85</t>
  </si>
  <si>
    <t>Good quality company basis long term financial performance. Size - Ranks 4th out of 26 companies in Cable sector</t>
  </si>
  <si>
    <t xml:space="preserve"> Orbit Electricals Private Limited</t>
  </si>
  <si>
    <t>The score changed from Hold to Sell on 26th Jul 2023 at Rs 4,722.50</t>
  </si>
  <si>
    <t>Fine Organic turned Mildly Bearish from Sideways on 30 Jun 2023 at Rs 4,887.60</t>
  </si>
  <si>
    <t>Excellent quality company basis long term financial performance. Size - Ranks 10th out of 143 companies in Chemicals sector</t>
  </si>
  <si>
    <t xml:space="preserve"> Jyotsna Ramesh Shah</t>
  </si>
  <si>
    <t>Fortis Health. turned Bullish from Mildly Bullish on 21 Aug 2023 at Rs 322.10</t>
  </si>
  <si>
    <t>The score changed from Buy to Strong Buy on 29th Aug 2023 at Rs 636.20</t>
  </si>
  <si>
    <t>Fusion Microfin. turned Mildly Bullish from Bullish on 30 Aug 2023 at Rs 622.70</t>
  </si>
  <si>
    <t xml:space="preserve"> Honey Rose Investment Ltd</t>
  </si>
  <si>
    <t>since 6 days</t>
  </si>
  <si>
    <t>The score changed from Hold to Buy on 16th Jun 2023 at Rs 191.25</t>
  </si>
  <si>
    <t>Gabriel India turned Bullish from Mildly Bullish on 16 Jun 2023 at Rs 191.25</t>
  </si>
  <si>
    <t>Good quality company basis long term financial performance. Size - Ranks 11th out of 91 companies in Auto Anc sector</t>
  </si>
  <si>
    <t xml:space="preserve"> Asia Investments Pvt. Ltd.</t>
  </si>
  <si>
    <t>The score changed from Sell to Hold on 22nd Aug 2023 at Rs 2,680.95</t>
  </si>
  <si>
    <t>Galaxy Surfact. turned Mildly Bullish from Sideways on 22 Aug 2023 at Rs 2,680.95</t>
  </si>
  <si>
    <t>Good quality company basis long term financial performance. Size - Ranks 13th out of 143 companies in Chemicals sector</t>
  </si>
  <si>
    <t>The score changed from Sell to Hold on 15th May 2023 at Rs 63.26</t>
  </si>
  <si>
    <t>Gateway Distri turned Bullish from Mildly Bullish on 03 Aug 2023 at Rs 79.37</t>
  </si>
  <si>
    <t xml:space="preserve"> Prism International Private Limited</t>
  </si>
  <si>
    <t>The score changed from Strong Sell to Sell on 05th Jun 2023 at Rs 97.41</t>
  </si>
  <si>
    <t>Genus Power turned Bullish from Mildly Bullish on 02 Jun 2023 at Rs 98.06</t>
  </si>
  <si>
    <t>Below Average quality company basis long term financial performance. Second largest company in Electronics - Components sector</t>
  </si>
  <si>
    <t xml:space="preserve"> Hi - Print Electromack Private Limited</t>
  </si>
  <si>
    <t>Vikas Kothari</t>
  </si>
  <si>
    <t>The score changed from Sell to Hold on 08th Aug 2023 at Rs 270.10</t>
  </si>
  <si>
    <t>GE T&amp;D India turned Bullish from Mildly Bullish on 28 Apr 2023 at Rs 176.50</t>
  </si>
  <si>
    <t>Below Average quality company basis long term financial performance. Size - Ranks 7th out of 80 companies in Capital Goods sector</t>
  </si>
  <si>
    <t xml:space="preserve"> Grid Equipments Private Limited</t>
  </si>
  <si>
    <t>Sbi Through Its Various Mutual Fund Schemes</t>
  </si>
  <si>
    <t>The score changed from Sell to Hold on 05th Jul 2023 at Rs 5,133.55</t>
  </si>
  <si>
    <t>Gillette India turned Mildly Bullish from Bullish on 14 Aug 2023 at Rs 5,467.85</t>
  </si>
  <si>
    <t>Good quality company basis long term financial performance. Size - Ranks 12th out of 86 companies in FMCG sector</t>
  </si>
  <si>
    <t>The score changed from Strong Sell to Sell on 21st Aug 2023 at Rs 1,587.55</t>
  </si>
  <si>
    <t>Gland Pharma turned Sideways from Mildly Bearish on 28 Aug 2023 at Rs 1,571.40</t>
  </si>
  <si>
    <t>Glaxosmi. Pharma turned Mildly Bullish from Bullish on 28 Aug 2023 at Rs 1,406.70</t>
  </si>
  <si>
    <t>Good quality company basis long term financial performance. Size - Ranks 13th out of 161 companies in Pharma sector</t>
  </si>
  <si>
    <t>The score changed from Hold to Buy on 31st Jul 2023 at Rs 1,183.45</t>
  </si>
  <si>
    <t>Go Fashion (I) turned Bullish from Mildly Bullish on 21 Jul 2023 at Rs 1,145.95</t>
  </si>
  <si>
    <t xml:space="preserve"> Gautam Saraogi</t>
  </si>
  <si>
    <t>Sequoia Capital India Investments Iv</t>
  </si>
  <si>
    <t>The score changed from Sell to Hold on 01st Aug 2023 at Rs 487.50</t>
  </si>
  <si>
    <t>Godrej Agrovet turned Mildly Bullish from Bullish on 04 Aug 2023 at Rs 482.50</t>
  </si>
  <si>
    <t>Average quality company basis long term financial performance. Size - Ranks 14th out of 86 companies in FMCG sector</t>
  </si>
  <si>
    <t xml:space="preserve"> Godrej Industries Limited</t>
  </si>
  <si>
    <t>V-sciences Investments Pte Ltd</t>
  </si>
  <si>
    <t>The score changed from Sell to Hold on 24th Nov 2022 at Rs 862.25</t>
  </si>
  <si>
    <t>Godrej Consumer turned Mildly Bullish from Bullish on 24 Jul 2023 at Rs 1,035.60</t>
  </si>
  <si>
    <t>Good quality company basis long term financial performance. Size - Ranks 5th out of 86 companies in FMCG sector</t>
  </si>
  <si>
    <t xml:space="preserve"> Godrej Seeds &amp; Genetics Limited</t>
  </si>
  <si>
    <t>Others</t>
  </si>
  <si>
    <t>The score changed from Sell to Hold on 07th Aug 2023 at Rs 507.75</t>
  </si>
  <si>
    <t>Gokaldas Exports turned Bullish from Mildly Bullish on 17 Aug 2023 at Rs 524.55</t>
  </si>
  <si>
    <t>Average quality company basis long term financial performance. Size - Ranks 11th out of 307 companies in Textile sector</t>
  </si>
  <si>
    <t xml:space="preserve"> Clear Wealth Consultancy Services Llp</t>
  </si>
  <si>
    <t>The score changed from Buy to Hold on 07th Jul 2023 at Rs 117.90</t>
  </si>
  <si>
    <t>Guj Pipavav Port turned Bullish from Mildly Bullish on 29 Aug 2023 at Rs 128.05</t>
  </si>
  <si>
    <t>Good quality company basis long term financial performance. Second largest company in Port sector</t>
  </si>
  <si>
    <t xml:space="preserve"> Apm Terminals Mauritius Limited</t>
  </si>
  <si>
    <t>Hdfc Mutual Fund - Hdfc Dividend Yield Fund</t>
  </si>
  <si>
    <t>The score changed from Sell to Hold on 28th Jun 2023 at Rs 395.90</t>
  </si>
  <si>
    <t>Graphite India turned Bullish from Mildly Bullish on 11 Jul 2023 at Rs 411.80</t>
  </si>
  <si>
    <t>Good quality company basis long term financial performance. Largest company in Electrodes &amp; Welding sector</t>
  </si>
  <si>
    <t xml:space="preserve"> Emerald Company Private Limited</t>
  </si>
  <si>
    <t>The score changed from Sell to Hold on 29th May 2023 at Rs 1,713.65</t>
  </si>
  <si>
    <t>Grasim Inds turned Mildly Bullish from Bullish on 21 Aug 2023 at Rs 1,808.10</t>
  </si>
  <si>
    <t>Average quality company basis long term financial performance. Second largest company in Cement sector</t>
  </si>
  <si>
    <t>The score changed from Buy to Hold on 09th Aug 2023 at Rs 435.20</t>
  </si>
  <si>
    <t>Greenlam Industr turned Mildly Bullish from Bullish on 09 Aug 2023 at Rs 435.20</t>
  </si>
  <si>
    <t>Good quality company basis long term financial performance. Size - Ranks 7th out of 137 companies in Miscellaneous sector</t>
  </si>
  <si>
    <t xml:space="preserve"> Sm Greenlam Investments Private Limited</t>
  </si>
  <si>
    <t>Hdfc Trustee Company Ltd - A/c Hdfc Mid - Capopportunities Fund</t>
  </si>
  <si>
    <t>The score changed from Buy to Hold on 14th Aug 2023 at Rs 2,226.50</t>
  </si>
  <si>
    <t>Grindwell Norton turned Mildly Bullish from Bullish on 28 Aug 2023 at Rs 2,208.95</t>
  </si>
  <si>
    <t>Good quality company basis long term financial performance. Largest company in Abrasives sector</t>
  </si>
  <si>
    <t xml:space="preserve"> Saint Gobain Abrasives Inc</t>
  </si>
  <si>
    <t>G R Infraproject turned Bullish from Mildly Bullish on 30 Aug 2023 at Rs 1,286.10</t>
  </si>
  <si>
    <t>The score changed from Sell to Hold on 02nd Jun 2023 at Rs 775.05</t>
  </si>
  <si>
    <t>Garware Hi Tech turned Bullish from Mildly Bullish on 10 Aug 2023 at Rs 1,016.00</t>
  </si>
  <si>
    <t>Average quality company basis long term financial performance. Size - Ranks 3rd out of 53 companies in Packaging sector</t>
  </si>
  <si>
    <t xml:space="preserve"> S B Garware Family Trust</t>
  </si>
  <si>
    <t>Ashish Kacholia</t>
  </si>
  <si>
    <t>The score changed from Buy to Hold on 13th May 2023 at Rs 286.90</t>
  </si>
  <si>
    <t>Guj.St.Petronet turned Mildly Bullish from Bullish on 24 Jul 2023 at Rs 290.55</t>
  </si>
  <si>
    <t>Good quality company basis long term financial performance. Size - Ranks 5th out of 7 companies in Gas Transmission/Marketing sector</t>
  </si>
  <si>
    <t xml:space="preserve"> Gujarat State Petroleum Corporation Limited</t>
  </si>
  <si>
    <t>Mirae Asset Tax Saver Fund</t>
  </si>
  <si>
    <t>The score changed from Hold to Sell on 03rd Aug 2023 at Rs 455.25</t>
  </si>
  <si>
    <t>Gujarat Gas turned Bearish from Mildly Bearish on 03 Aug 2023 at Rs 455.25</t>
  </si>
  <si>
    <t>Excellent quality company basis long term financial performance. Size - Ranks 4th out of 7 companies in Gas Transmission/Marketing sector</t>
  </si>
  <si>
    <t xml:space="preserve"> Gujarat State Petronet Limited</t>
  </si>
  <si>
    <t>The score changed from Buy to Hold on 12th May 2023 at Rs 2,974.50</t>
  </si>
  <si>
    <t>Hind.Aeronautics turned Bullish from Mildly Bullish on 21 Aug 2023 at Rs 3,818.65</t>
  </si>
  <si>
    <t>Good quality company basis long term financial performance. Largest company in Defence sector</t>
  </si>
  <si>
    <t>Hdfc Trustee Company Ltd</t>
  </si>
  <si>
    <t>The score changed from Hold to Sell on 18th Jul 2023 at Rs 935.25</t>
  </si>
  <si>
    <t>Happiest Minds turned Mildly Bullish from Bullish on 18 Jul 2023 at Rs 935.25</t>
  </si>
  <si>
    <t xml:space="preserve"> Ashok Soota</t>
  </si>
  <si>
    <t>Plutus Wealth Management Llp</t>
  </si>
  <si>
    <t>The score changed from Hold to Sell on 28th Aug 2023 at Rs 425.70</t>
  </si>
  <si>
    <t>Harsha Engg Intl turned Bullish from Mildly Bullish on 29 Aug 2023 at Rs 452.05</t>
  </si>
  <si>
    <t xml:space="preserve"> Shah Rajendra Shantilal</t>
  </si>
  <si>
    <t>The score changed from Hold to Buy on 26th Jun 2023 at Rs 6,385.55</t>
  </si>
  <si>
    <t>Hawkins Cookers turned Bullish from Mildly Bullish on 30 Jun 2023 at Rs 6,392.05</t>
  </si>
  <si>
    <t>Good quality company basis long term financial performance. Size - Ranks 5th out of 10 companies in Domestic Appliances sector</t>
  </si>
  <si>
    <t xml:space="preserve"> Neil Vasudeva</t>
  </si>
  <si>
    <t>Sbi Fund</t>
  </si>
  <si>
    <t>The score changed from Strong Buy to Buy on 28th Aug 2023 at Rs 1,147.00</t>
  </si>
  <si>
    <t>HCL Technologies turned Mildly Bullish from Bullish on 28 Aug 2023 at Rs 1,147.00</t>
  </si>
  <si>
    <t>Excellent quality company basis long term financial performance. Size - Ranks 3rd out of 157 companies in IT - Software sector</t>
  </si>
  <si>
    <t xml:space="preserve"> Vama Sundari Investments</t>
  </si>
  <si>
    <t>delhi Pvt. Ltd.</t>
  </si>
  <si>
    <t>The score changed from Hold to Buy on 12th Jul 2023 at Rs 2,326.30</t>
  </si>
  <si>
    <t>HDFC AMC turned Bullish from Mildly Bullish on 12 Jul 2023 at Rs 2,326.30</t>
  </si>
  <si>
    <t xml:space="preserve"> Housing Development Finance Corporation Limited</t>
  </si>
  <si>
    <t>since 8 months 25 days</t>
  </si>
  <si>
    <t>The score changed from Buy to Hold on 11th Aug 2023 at Rs 633.35</t>
  </si>
  <si>
    <t>HDFC Life Insur. turned Mildly Bullish from Bullish on 11 Aug 2023 at Rs 633.35</t>
  </si>
  <si>
    <t>Average quality company basis long term financial performance. Size - Ranks 3rd out of 590 companies in Finance/NBFC sector</t>
  </si>
  <si>
    <t>The score changed from Hold to Buy on 29th Aug 2023 at Rs 186.25</t>
  </si>
  <si>
    <t>Heidelberg Cem. turned Bullish from Mildly Bullish on 29 Aug 2023 at Rs 186.25</t>
  </si>
  <si>
    <t>Good quality company basis long term financial performance. Size - Ranks 14th out of 37 companies in Cement sector</t>
  </si>
  <si>
    <t xml:space="preserve"> Cementrum I B.v.</t>
  </si>
  <si>
    <t>The score changed from Sell to Hold on 03rd May 2023 at Rs 171.95</t>
  </si>
  <si>
    <t>Heritage Foods turned Bullish from Mildly Bullish on 09 Jun 2023 at Rs 210.90</t>
  </si>
  <si>
    <t>Average quality company basis long term financial performance. Size - Ranks 22nd out of 86 companies in FMCG sector</t>
  </si>
  <si>
    <t xml:space="preserve"> Nara Bhuvaneswari</t>
  </si>
  <si>
    <t>Nirvana Holdings Private Limited</t>
  </si>
  <si>
    <t>The score changed from Hold to Buy on 07th Aug 2023 at Rs 916.90</t>
  </si>
  <si>
    <t>H.G. Infra Engg. turned Bullish from Mildly Bullish on 01 Aug 2023 at Rs 933.40</t>
  </si>
  <si>
    <t xml:space="preserve"> Harendra Singh Family Trust</t>
  </si>
  <si>
    <t>harendra Singh, Nisha Singh, Girishpal Singh, Vijendra Singh</t>
  </si>
  <si>
    <t>Hsbc Small Cap Fund</t>
  </si>
  <si>
    <t>The score changed from Sell to Hold on 31st Jul 2023 at Rs 462.45</t>
  </si>
  <si>
    <t>Hindalco Inds. turned Bullish from Mildly Bullish on 29 Aug 2023 at Rs 456.10</t>
  </si>
  <si>
    <t>Average quality company basis long term financial performance. Largest company in Aluminium sector</t>
  </si>
  <si>
    <t xml:space="preserve"> Igh Holdings Private Limited</t>
  </si>
  <si>
    <t>Life Insurance Corporation Of India &amp; Its Associate Fund</t>
  </si>
  <si>
    <t>The score changed from Buy to Hold on 16th Aug 2023 at Rs 200.35</t>
  </si>
  <si>
    <t>Hind.Oil Explor. turned Mildly Bullish from Bullish on 16 Aug 2023 at Rs 200.35</t>
  </si>
  <si>
    <t>Average quality company basis long term financial performance. Size - Ranks 8th out of 20 companies in Oil Exploration/Refineries sector</t>
  </si>
  <si>
    <t>Ashok Kumar Goel</t>
  </si>
  <si>
    <t xml:space="preserve">in Capacity Of Trustee - Ashok Goel Trust </t>
  </si>
  <si>
    <t>The score changed from Hold to Buy on 03rd Aug 2023 at Rs 270.40</t>
  </si>
  <si>
    <t>HPCL turned Mildly Bullish from Bullish on 02 Aug 2023 at Rs 276.35</t>
  </si>
  <si>
    <t>Average quality company basis long term financial performance. Size - Ranks 5th out of 20 companies in Oil Exploration/Refineries sector</t>
  </si>
  <si>
    <t xml:space="preserve"> Oil And Natural Gas Corporation Limited</t>
  </si>
  <si>
    <t>The score changed from Buy to Hold on 22nd Jul 2023 at Rs 2,603.80</t>
  </si>
  <si>
    <t>Hind. Unilever turned Mildly Bullish from Mildly Bearish on 14 Aug 2023 at Rs 2,533.60</t>
  </si>
  <si>
    <t>The score changed from Buy to Hold on 11th Aug 2023 at Rs 42,045.90</t>
  </si>
  <si>
    <t>Honeywell Auto turned Mildly Bullish from Bullish on 11 Aug 2023 at Rs 42,045.90</t>
  </si>
  <si>
    <t>Good quality company basis long term financial performance. Largest company in Electronics - Components sector</t>
  </si>
  <si>
    <t xml:space="preserve"> Hail Mauritius Limited</t>
  </si>
  <si>
    <t>The score changed from Hold to Buy on 21st Aug 2023 at Rs 2,325.15</t>
  </si>
  <si>
    <t>Honda India turned Bullish from Mildly Bullish on 25 Aug 2023 at Rs 2,613.95</t>
  </si>
  <si>
    <t>Good quality company basis long term financial performance. Size - Ranks 4th out of 32 companies in Electric Equipment sector</t>
  </si>
  <si>
    <t xml:space="preserve"> Honda Motor Co., Ltd</t>
  </si>
  <si>
    <t>The score changed from Hold to Buy on 07th Aug 2023 at Rs 152.85</t>
  </si>
  <si>
    <t>Himadri Special turned Bullish from Mildly Bullish on 04 Aug 2023 at Rs 141.80</t>
  </si>
  <si>
    <t>Average quality company basis long term financial performance. Size - Ranks 12th out of 143 companies in Chemicals sector</t>
  </si>
  <si>
    <t xml:space="preserve"> Modern Hi-rise Private Limited</t>
  </si>
  <si>
    <t>Narantak Dealcomm Limited</t>
  </si>
  <si>
    <t>The score changed from Buy to Strong Buy on 14th Aug 2023 at Rs 959.05</t>
  </si>
  <si>
    <t>ICICI Bank turned Mildly Bullish from Bullish on 07 Aug 2023 at Rs 975.70</t>
  </si>
  <si>
    <t>Excellent quality company basis long term financial performance. Second largest company in Private Banks sector</t>
  </si>
  <si>
    <t>ICICI Lombard turned Mildly Bullish from Bullish on 18 Aug 2023 at Rs 1,327.15</t>
  </si>
  <si>
    <t>Score 6</t>
  </si>
  <si>
    <t xml:space="preserve"> Icici Bank Limited</t>
  </si>
  <si>
    <t>Icici Prudential Mutual Fund Through Various Schemes</t>
  </si>
  <si>
    <t>The Grade has remained Hold</t>
  </si>
  <si>
    <t>ICICI Pru Life turned Mildly Bullish from Bullish on 14 Aug 2023 at Rs 554.70</t>
  </si>
  <si>
    <t>Average quality company basis long term financial performance. Size - Ranks 7th out of 590 companies in Finance/NBFC sector</t>
  </si>
  <si>
    <t>Compassvale Investments Pte. Ltd.</t>
  </si>
  <si>
    <t>The score changed from Buy to Hold on 24th Jul 2023 at Rs 470.70</t>
  </si>
  <si>
    <t>Indraprastha Gas turned Mildly Bullish from Bullish on 24 Jul 2023 at Rs 470.70</t>
  </si>
  <si>
    <t>Good quality company basis long term financial performance. Size - Ranks 3rd out of 7 companies in Gas Transmission/Marketing sector</t>
  </si>
  <si>
    <t xml:space="preserve"> Bharat Petroleum Corporation Ltd</t>
  </si>
  <si>
    <t>The score changed from Buy to Hold on 07th Aug 2023 at Rs 394.30</t>
  </si>
  <si>
    <t>Indian Hotels Co turned Mildly Bullish from Bullish on 01 Aug 2023 at Rs 396.45</t>
  </si>
  <si>
    <t>Average quality company basis long term financial performance. Largest company in Hotels sector</t>
  </si>
  <si>
    <t>The score changed from Strong Sell to Sell on 28th Jul 2023 at Rs 214.70</t>
  </si>
  <si>
    <t>India Cements turned Bullish from Mildly Bullish on 16 Aug 2023 at Rs 246.80</t>
  </si>
  <si>
    <t>Below Average quality company basis long term financial performance. Size - Ranks 11th out of 37 companies in Cement sector</t>
  </si>
  <si>
    <t xml:space="preserve"> Ews Finance &amp; Investments Private Ltd</t>
  </si>
  <si>
    <t>Radhakishan S Damani</t>
  </si>
  <si>
    <t>The score changed from Sell to Hold on 20th Jun 2023 at Rs 1,425.75</t>
  </si>
  <si>
    <t>Indigo Paints turned Mildly Bullish from Bullish on 21 Aug 2023 at Rs 1,521.80</t>
  </si>
  <si>
    <t xml:space="preserve"> Hemant Kamala Jalan</t>
  </si>
  <si>
    <t>Sci Investments V</t>
  </si>
  <si>
    <t>The score changed from Sell to Hold on 31st May 2023 at Rs 173.05</t>
  </si>
  <si>
    <t>Indo Count Inds. turned Bullish from Mildly Bullish on 10 Jul 2023 at Rs 208.00</t>
  </si>
  <si>
    <t>Average quality company basis long term financial performance. Size - Ranks 9th out of 307 companies in Textile sector</t>
  </si>
  <si>
    <t xml:space="preserve"> Sandridge Investments Limited</t>
  </si>
  <si>
    <t>Elm Park Fund Limited</t>
  </si>
  <si>
    <t>IndusInd Bank turned Mildly Bullish from Bullish on 29 Aug 2023 at Rs 1,401.10</t>
  </si>
  <si>
    <t>The score changed from Strong Buy to Buy on 03rd Aug 2023 at Rs 93.49</t>
  </si>
  <si>
    <t>I O C L turned Mildly Bullish from Bullish on 03 Aug 2023 at Rs 93.49</t>
  </si>
  <si>
    <t>Average quality company basis long term financial performance. Size - Ranks 3rd out of 20 companies in Oil Exploration/Refineries sector</t>
  </si>
  <si>
    <t>Oil And Natural Gas Corporation Limited</t>
  </si>
  <si>
    <t>The score changed from Buy to Hold on 27th Jul 2023 at Rs 519.80</t>
  </si>
  <si>
    <t>ION Exchange turned Bullish from Mildly Bullish on 29 Aug 2023 at Rs 509.15</t>
  </si>
  <si>
    <t xml:space="preserve"> Rajesh Sharma</t>
  </si>
  <si>
    <t>The score changed from Sell to Hold on 25th Aug 2023 at Rs 882.75</t>
  </si>
  <si>
    <t>Ipca Labs. turned Bullish from Mildly Bullish on 30 Aug 2023 at Rs 891.40</t>
  </si>
  <si>
    <t>Good quality company basis long term financial performance. Size - Ranks 14th out of 161 companies in Pharma sector</t>
  </si>
  <si>
    <t>The score changed from Sell to Strong Sell on 25th Jul 2023 at Rs 25.43</t>
  </si>
  <si>
    <t>IRB Infra.Devl. turned Mildly Bearish from Bearish on 23 Aug 2023 at Rs 27.20</t>
  </si>
  <si>
    <t>Below Average quality company basis long term financial performance. Size - Ranks 5th out of 80 companies in Capital Goods sector</t>
  </si>
  <si>
    <t xml:space="preserve"> Irb Holding Private Limited</t>
  </si>
  <si>
    <t>Cintra Inr Investments B V</t>
  </si>
  <si>
    <t>The score changed from Sell to Hold on 10th Jul 2023 at Rs 610.05</t>
  </si>
  <si>
    <t>ICICI Securities turned Bullish from Mildly Bullish on 01 Aug 2023 at Rs 635.40</t>
  </si>
  <si>
    <t>Average quality company basis long term financial performance. Size - Ranks 22nd out of 590 companies in Finance/NBFC sector</t>
  </si>
  <si>
    <t>The score changed from Hold to Buy on 30th Aug 2023 at Rs 701.05</t>
  </si>
  <si>
    <t>ISGEC Heavy turned Bullish from Mildly Bullish on 29 Aug 2023 at Rs 701.95</t>
  </si>
  <si>
    <t>Average quality company basis long term financial performance. Size - Ranks 6th out of 49 companies in Engg - Industrial Equipments sector</t>
  </si>
  <si>
    <t xml:space="preserve"> The Yamuna Syndicate Ltd</t>
  </si>
  <si>
    <t>since 17 months 19 days</t>
  </si>
  <si>
    <t>The score changed from Strong Buy to Buy on 03rd Jul 2023 at Rs 462.95</t>
  </si>
  <si>
    <t>ITC turned Mildly Bullish from Bullish on 01 Aug 2023 at Rs 464.75</t>
  </si>
  <si>
    <t>Excellent quality company basis long term financial performance. Largest company in Cigarettes/Tobacco sector</t>
  </si>
  <si>
    <t>Tobacco Manufacturers</t>
  </si>
  <si>
    <t xml:space="preserve">india Limited </t>
  </si>
  <si>
    <t>The score changed from Buy to Hold on 16th Aug 2023 at Rs 79.20</t>
  </si>
  <si>
    <t>J&amp;K Bank turned Bullish from Mildly Bullish on 30 Jun 2023 at Rs 60.61</t>
  </si>
  <si>
    <t xml:space="preserve"> Chief Secretary Jammu And Kashmir Govt</t>
  </si>
  <si>
    <t>The score changed from Hold to Buy on 28th Aug 2023 at Rs 116.60</t>
  </si>
  <si>
    <t>Jamna Auto Inds. turned Bullish from Mildly Bullish on 28 Aug 2023 at Rs 116.60</t>
  </si>
  <si>
    <t>Good quality company basis long term financial performance. Size - Ranks 12th out of 91 companies in Auto Anc sector</t>
  </si>
  <si>
    <t xml:space="preserve"> Map Auto Limited</t>
  </si>
  <si>
    <t>Icici Prudential Transportation And Logistics Fund</t>
  </si>
  <si>
    <t>The score changed from Hold to Buy on 06th Jun 2023 at Rs 1,114.20</t>
  </si>
  <si>
    <t>Jash Engineering turned Bullish from Mildly Bullish on 05 Jun 2023 at Rs 1,115.15</t>
  </si>
  <si>
    <t>Good quality company basis long term financial performance. Size - Ranks 13th out of 49 companies in Engg - Industrial Equipments sector</t>
  </si>
  <si>
    <t xml:space="preserve"> Pratik Patel</t>
  </si>
  <si>
    <t>Axel Schutte</t>
  </si>
  <si>
    <t>since 21 days</t>
  </si>
  <si>
    <t>Excellent quality company basis long term financial performance. Size - Ranks 15th out of 161 companies in Pharma sector</t>
  </si>
  <si>
    <t>since 2 days</t>
  </si>
  <si>
    <t>The score changed from Sell to Hold on 30th Aug 2023 at Rs 3,290.40</t>
  </si>
  <si>
    <t>J K Cements turned Bullish from Mildly Bullish on 30 Aug 2023 at Rs 3,290.40</t>
  </si>
  <si>
    <t>Average quality company basis long term financial performance. Size - Ranks 7th out of 37 companies in Cement sector</t>
  </si>
  <si>
    <t>The score changed from Hold to Sell on 20th Jul 2023 at Rs 671.05</t>
  </si>
  <si>
    <t>JK Lakshmi Cem. turned Mildly Bearish from Bearish on 01 Aug 2023 at Rs 622.40</t>
  </si>
  <si>
    <t>Good quality company basis long term financial performance. Size - Ranks 10th out of 37 companies in Cement sector</t>
  </si>
  <si>
    <t xml:space="preserve"> Bengal &amp; Assam Company Limited</t>
  </si>
  <si>
    <t>Axis Mutual Fund Trustee Limited A/c Axis Mutual Fund A/c Axis Capital Builder Fund</t>
  </si>
  <si>
    <t>Average quality company basis long term financial performance. Size - Ranks 35th out of 590 companies in Finance/NBFC sector</t>
  </si>
  <si>
    <t>The score changed from Sell to Hold on 17th May 2023 at Rs 280.35</t>
  </si>
  <si>
    <t>Jindal Stain. turned Bullish from Mildly Bullish on 04 Jul 2023 at Rs 341.90</t>
  </si>
  <si>
    <t>Average quality company basis long term financial performance. Size - Ranks 5th out of 108 companies in Iron and Steel sector</t>
  </si>
  <si>
    <t xml:space="preserve"> Jsl Overseas Holding Ltd</t>
  </si>
  <si>
    <t>Elm Papark Fund Limited</t>
  </si>
  <si>
    <t>The score changed from Buy to Hold on 10th Aug 2023 at Rs 140.00</t>
  </si>
  <si>
    <t>JTEKT India turned Mildly Bullish from Bullish on 14 Aug 2023 at Rs 135.15</t>
  </si>
  <si>
    <t>Good quality company basis long term financial performance. Size - Ranks 18th out of 91 companies in Auto Anc sector</t>
  </si>
  <si>
    <t xml:space="preserve"> Jtekt Corporation</t>
  </si>
  <si>
    <t>The score changed from Sell to Hold on 21st Aug 2023 at Rs 484.55</t>
  </si>
  <si>
    <t>Jubilant Food. turned Mildly Bullish from Mildly Bearish on 21 Aug 2023 at Rs 484.55</t>
  </si>
  <si>
    <t>Good quality company basis long term financial performance. Second largest company in Lifestyle sector</t>
  </si>
  <si>
    <t xml:space="preserve"> Jubilant Consumer Private Limited</t>
  </si>
  <si>
    <t>The score changed from Sell to Hold on 24th Aug 2023 at Rs 484.15</t>
  </si>
  <si>
    <t>Jubilant Ingrev. turned Mildly Bullish from Sideways on 24 Aug 2023 at Rs 484.15</t>
  </si>
  <si>
    <t xml:space="preserve"> Spb Trustee Company Pl &amp; Ss Trustee Company Pl</t>
  </si>
  <si>
    <t>Average quality company basis long term financial performance. Size - Ranks 20th out of 157 companies in IT - Software sector</t>
  </si>
  <si>
    <t>Good quality company basis long term financial performance. Size - Ranks 13th out of 86 companies in FMCG sector</t>
  </si>
  <si>
    <t>The score changed from Strong Buy to Buy on 30th Aug 2023 at Rs 334.70</t>
  </si>
  <si>
    <t>Kansai Nerolac turned Mildly Bullish from Bullish on 30 Aug 2023 at Rs 334.70</t>
  </si>
  <si>
    <t>Good quality company basis long term financial performance. Size - Ranks 3rd out of 6 companies in Paints sector</t>
  </si>
  <si>
    <t xml:space="preserve"> Kansai Paint Co., Ltd., Japan</t>
  </si>
  <si>
    <t>The score changed from Buy to Strong Buy on 14th Aug 2023 at Rs 121.50</t>
  </si>
  <si>
    <t>Karur Vysya Bank turned Mildly Bullish from Bullish on 24 Aug 2023 at Rs 122.10</t>
  </si>
  <si>
    <t>Good quality company basis long term financial performance. Size - Ranks 11th out of 18 companies in Private Banks sector</t>
  </si>
  <si>
    <t xml:space="preserve"> Suriyanarayana A J</t>
  </si>
  <si>
    <t xml:space="preserve">various Funds </t>
  </si>
  <si>
    <t>The score changed from Buy to Hold on 30th Aug 2023 at Rs 1,980.95</t>
  </si>
  <si>
    <t>Kaynes Tech turned Mildly Bullish from Bullish on 30 Aug 2023 at Rs 1,980.95</t>
  </si>
  <si>
    <t>The score changed from Buy to Hold on 28th Aug 2023 at Rs 2,608.55</t>
  </si>
  <si>
    <t>KEI Industries turned Bullish from Mildly Bullish on 30 Aug 2023 at Rs 2,684.95</t>
  </si>
  <si>
    <t>Good quality company basis long term financial performance. Size - Ranks 3rd out of 26 companies in Cable sector</t>
  </si>
  <si>
    <t xml:space="preserve"> Anil Gupta</t>
  </si>
  <si>
    <t>Small Cap World Fund Inc</t>
  </si>
  <si>
    <t>The score changed from Sell to Hold on 07th Aug 2023 at Rs 382.25</t>
  </si>
  <si>
    <t>KFin Technolog. turned Bullish from Mildly Bullish on 30 Aug 2023 at Rs 429.30</t>
  </si>
  <si>
    <t xml:space="preserve"> General Atlantic Singapore Fund Pte. Ltd.</t>
  </si>
  <si>
    <t>Compar Estates And Agencies Private Limited</t>
  </si>
  <si>
    <t>The score changed from Buy to Hold on 08th Aug 2023 at Rs 1,818.70</t>
  </si>
  <si>
    <t>Krishna Institu. turned Bullish from Mildly Bullish on 09 Aug 2023 at Rs 1,882.25</t>
  </si>
  <si>
    <t xml:space="preserve"> Bhaskara Rao Bollineni</t>
  </si>
  <si>
    <t>Mirae Asset Large Cap Fund</t>
  </si>
  <si>
    <t>The score changed from Strong Buy to Buy on 01st Aug 2023 at Rs 836.10</t>
  </si>
  <si>
    <t>Kirl. Brothers turned Bullish from Mildly Bullish on 08 Mar 2023 at Rs 388.50</t>
  </si>
  <si>
    <t>Average quality company basis long term financial performance. Size - Ranks 4th out of 10 companies in Compressors / Pumps sector</t>
  </si>
  <si>
    <t xml:space="preserve"> Kirloskar Industries Limited</t>
  </si>
  <si>
    <t>The score changed from Hold to Buy on 10th Aug 2023 at Rs 441.15</t>
  </si>
  <si>
    <t>Kirloskar Oil turned Bullish from Mildly Bullish on 08 Aug 2023 at Rs 451.50</t>
  </si>
  <si>
    <t>Good quality company basis long term financial performance. Second largest company in Diesel Engines sector</t>
  </si>
  <si>
    <t xml:space="preserve"> Rahul Chandrakant Kirloskar As Individual, As A Karta Of Rahul C. Kirloskar Huf And As A Trustee Of</t>
  </si>
  <si>
    <t>Franklin India Flexi Cap Fund</t>
  </si>
  <si>
    <t>The score changed from Buy to Hold on 31st Jul 2023 at Rs 3,423.00</t>
  </si>
  <si>
    <t>Kirloskar Indus. turned Bullish from Mildly Bullish on 05 Jul 2023 at Rs 3,281.50</t>
  </si>
  <si>
    <t>Average quality company basis long term financial performance. Size - Ranks 6th out of 12 companies in Diversified sector</t>
  </si>
  <si>
    <t xml:space="preserve"> Rahul Chandrakant Kirloskar</t>
  </si>
  <si>
    <t>Gagandeep Credit Capital Pvt Ltd</t>
  </si>
  <si>
    <t>The score changed from Buy to Hold on 27th Apr 2023 at Rs 585.25</t>
  </si>
  <si>
    <t>Kirl.Pneumatic turned Mildly Bullish from Bullish on 23 Aug 2023 at Rs 649.90</t>
  </si>
  <si>
    <t>Good quality company basis long term financial performance. Size - Ranks 7th out of 49 companies in Engg - Industrial Equipments sector</t>
  </si>
  <si>
    <t>The score changed from Hold to Buy on 03rd Aug 2023 at Rs 680.60</t>
  </si>
  <si>
    <t>Kewal Kir.Cloth. turned Bullish from Mildly Bullish on 07 Jun 2023 at Rs 507.50</t>
  </si>
  <si>
    <t>Good quality company basis long term financial performance. Size - Ranks 13th out of 307 companies in Textile sector</t>
  </si>
  <si>
    <t xml:space="preserve"> Shantaben Pukhraj Jain</t>
  </si>
  <si>
    <t>The score changed from Buy to Hold on 29th Aug 2023 at Rs 267.80</t>
  </si>
  <si>
    <t>KNR Construct. turned Mildly Bullish from Sideways on 30 Aug 2023 at Rs 269.75</t>
  </si>
  <si>
    <t>Good quality company basis long term financial performance. Size - Ranks 9th out of 80 companies in Capital Goods sector</t>
  </si>
  <si>
    <t xml:space="preserve"> Kamidi Narasimha Reddy</t>
  </si>
  <si>
    <t>since 6 months 28 days</t>
  </si>
  <si>
    <t>The score changed from Strong Buy to Buy on 24th Jul 2023 at Rs 1,056.60</t>
  </si>
  <si>
    <t>KPIT Technologi. turned Mildly Bullish from Bullish on 28 Aug 2023 at Rs 1,150.55</t>
  </si>
  <si>
    <t xml:space="preserve"> Proficient Finstock Llp</t>
  </si>
  <si>
    <t>The score changed from Sell to Hold on 07th Aug 2023 at Rs 522.95</t>
  </si>
  <si>
    <t>Krsnaa Diagnost. turned Bullish from Mildly Bullish on 29 Aug 2023 at Rs 620.50</t>
  </si>
  <si>
    <t xml:space="preserve"> Rajendra Khivraj Mutha</t>
  </si>
  <si>
    <t>The score changed from Hold to Buy on 02nd Aug 2023 at Rs 2,301.80</t>
  </si>
  <si>
    <t>KSB turned Bullish from Mildly Bullish on 01 Aug 2023 at Rs 2,342.10</t>
  </si>
  <si>
    <t>Good quality company basis long term financial performance. Size - Ranks 3rd out of 10 companies in Compressors / Pumps sector</t>
  </si>
  <si>
    <t xml:space="preserve"> Canadian Kay Pump Limited</t>
  </si>
  <si>
    <t>Thyssenkrupp Industries India Private Limited</t>
  </si>
  <si>
    <t>The score changed from Buy to Hold on 01st Aug 2023 at Rs 2,347.95</t>
  </si>
  <si>
    <t>Dr Lal Pathlabs turned Mildly Bullish from Sideways on 30 Aug 2023 at Rs 2,209.50</t>
  </si>
  <si>
    <t>Good quality company basis long term financial performance. Size - Ranks 4th out of 34 companies in Healthcare Services sector</t>
  </si>
  <si>
    <t xml:space="preserve"> Arvind Lal</t>
  </si>
  <si>
    <t>Invesco Oppenheimer International Growth Fund</t>
  </si>
  <si>
    <t>The score changed from Sell to Hold on 09th Aug 2023 at Rs 716.45</t>
  </si>
  <si>
    <t>Landmark Cars turned Mildly Bullish from Sideways on 14 Aug 2023 at Rs 725.25</t>
  </si>
  <si>
    <t xml:space="preserve"> Sanjay Karsandas Thakker</t>
  </si>
  <si>
    <t>The score changed from Sell to Hold on 31st May 2023 at Rs 395.95</t>
  </si>
  <si>
    <t>La Opala RG turned Mildly Bullish from Bullish on 14 Aug 2023 at Rs 428.25</t>
  </si>
  <si>
    <t>Good quality company basis long term financial performance. Size - Ranks 3rd out of 10 companies in Glass sector</t>
  </si>
  <si>
    <t xml:space="preserve"> Genesis Export Limited</t>
  </si>
  <si>
    <t>Hdfc Mutual Fund-hdfc S&amp;p Bse 500 Etf</t>
  </si>
  <si>
    <t>Good quality company basis long term financial performance. Size - Ranks 18th out of 161 companies in Pharma sector</t>
  </si>
  <si>
    <t>The score changed from Buy to Hold on 14th Aug 2023 at Rs 1,001.05</t>
  </si>
  <si>
    <t>L G Balakrishnan turned Mildly Bullish from Bullish on 09 Aug 2023 at Rs 1,020.95</t>
  </si>
  <si>
    <t>Good quality company basis long term financial performance. Size - Ranks 10th out of 49 companies in Engg - Industrial Equipments sector</t>
  </si>
  <si>
    <t xml:space="preserve"> B Vijayakumar</t>
  </si>
  <si>
    <t>The score changed from Hold to Buy on 24th Jul 2023 at Rs 390.25</t>
  </si>
  <si>
    <t>LIC Housing Fin. turned Bullish from Mildly Bullish on 28 Jul 2023 at Rs 414.00</t>
  </si>
  <si>
    <t>Good quality company basis long term financial performance. Largest company in Finance - Housing sector</t>
  </si>
  <si>
    <t>The score changed from Sell to Hold on 10th Jul 2023 at Rs 618.90</t>
  </si>
  <si>
    <t>Life Insurance turned Bullish from Mildly Bullish on 04 Aug 2023 at Rs 658.10</t>
  </si>
  <si>
    <t>The score changed from Hold to Buy on 09th Aug 2023 at Rs 4,947.80</t>
  </si>
  <si>
    <t>Linde India turned Bullish from Mildly Bullish on 21 Jul 2023 at Rs 4,569.85</t>
  </si>
  <si>
    <t>Good quality company basis long term financial performance. Largest company in Industrial Gases &amp; Fuels sector</t>
  </si>
  <si>
    <t xml:space="preserve"> The Boc Group Ltd., U.k.</t>
  </si>
  <si>
    <t>Nippon Life India Trustee Ltd. Through Its Various Funds</t>
  </si>
  <si>
    <t>The score changed from Sell to Strong Sell on 23rd Aug 2023 at Rs 693.90</t>
  </si>
  <si>
    <t>Macrotech Devel. turned Mildly Bullish from Bullish on 25 Aug 2023 at Rs 654.65</t>
  </si>
  <si>
    <t>since 2 months 11 days</t>
  </si>
  <si>
    <t>The score changed from Strong Buy to Buy on 28th Aug 2023 at Rs 5,125.05</t>
  </si>
  <si>
    <t>LTI Mindtree turned Mildly Bullish from Bullish on 28 Aug 2023 at Rs 5,125.05</t>
  </si>
  <si>
    <t xml:space="preserve"> Larsen And Toubro Limited</t>
  </si>
  <si>
    <t>since 2 months 18 days</t>
  </si>
  <si>
    <t>The score changed from Strong Buy to Buy on 18th Jul 2023 at Rs 4,063.55</t>
  </si>
  <si>
    <t>L&amp;T Technology turned Bullish from Mildly Bullish on 03 Aug 2023 at Rs 4,200.15</t>
  </si>
  <si>
    <t>Excellent quality company basis long term financial performance. Size - Ranks 7th out of 157 companies in IT - Software sector</t>
  </si>
  <si>
    <t>The score changed from Hold to Buy on 04th Aug 2023 at Rs 1,063.60</t>
  </si>
  <si>
    <t>Lupin turned Bullish from Mildly Bullish on 06 Jul 2023 at Rs 905.15</t>
  </si>
  <si>
    <t>Average quality company basis long term financial performance. Size - Ranks 7th out of 161 companies in Pharma sector</t>
  </si>
  <si>
    <t xml:space="preserve"> Lupin Investments Pvt Ltd</t>
  </si>
  <si>
    <t>The score changed from Sell to Hold on 29th Aug 2023 at Rs 295.35</t>
  </si>
  <si>
    <t>Laxmi Organic turned Mildly Bullish from Sideways on 29 Aug 2023 at Rs 295.35</t>
  </si>
  <si>
    <t xml:space="preserve"> Ravi Vasudeo Goenka</t>
  </si>
  <si>
    <t>Malabar India Fund Limited</t>
  </si>
  <si>
    <t>The score changed from Buy to Hold on 02nd May 2023 at Rs 266.30</t>
  </si>
  <si>
    <t>M &amp; M Fin. Serv. turned Mildly Bullish from Bullish on 28 Jul 2023 at Rs 299.35</t>
  </si>
  <si>
    <t>Average quality company basis long term financial performance. Size - Ranks 14th out of 590 companies in Finance/NBFC sector</t>
  </si>
  <si>
    <t xml:space="preserve"> Mahindra And Mahindra Ltd</t>
  </si>
  <si>
    <t>Life Insurance Corporation Of India, Lic-p &amp; Gs Fund</t>
  </si>
  <si>
    <t>The score changed from Buy to Hold on 23rd Feb 2023 at Rs 387.40</t>
  </si>
  <si>
    <t>CIE Automotive turned Mildly Bullish from Bullish on 01 Aug 2023 at Rs 500.00</t>
  </si>
  <si>
    <t>Average quality company basis long term financial performance. Second largest company in Castings/Forgings sector</t>
  </si>
  <si>
    <t xml:space="preserve"> Participaciones Internacionales Autometal, Dos S.l</t>
  </si>
  <si>
    <t>Axis Mutual Fund Trustee Limited A/c Axis Mutual F Under Axis Small Cap Fund, Axis Multicap Fund, Ax</t>
  </si>
  <si>
    <t>The score changed from Hold to Sell on 26th Jul 2023 at Rs 491.35</t>
  </si>
  <si>
    <t>Mahindra Life. turned Bullish from Mildly Bullish on 28 Jun 2023 at Rs 470.35</t>
  </si>
  <si>
    <t>Average quality company basis long term financial performance. Size - Ranks 8th out of 141 companies in Real Estate sector</t>
  </si>
  <si>
    <t>Kotak Mahindra Trustee Co Ltd A/c Kotak Business Alongwith Sub Accounts</t>
  </si>
  <si>
    <t>The score changed from Sell to Strong Sell on 24th Jul 2023 at Rs 398.85</t>
  </si>
  <si>
    <t>Mahindra Logis. turned Mildly Bearish from Bearish on 11 Aug 2023 at Rs 372.65</t>
  </si>
  <si>
    <t>Average quality company basis long term financial performance. Size - Ranks 8th out of 44 companies in Logistics sector</t>
  </si>
  <si>
    <t xml:space="preserve"> Mahindra &amp; Mahindra Limited</t>
  </si>
  <si>
    <t>Nippon Life India Trustee Ltd-a/c-small Cap Fd,multi Cap Fd,nifty Small Cap 250 Index Fd</t>
  </si>
  <si>
    <t>The score changed from Sell to Hold on 21st Jul 2023 at Rs 286.60</t>
  </si>
  <si>
    <t>Mangalam Cement turned Mildly Bullish from Bullish on 14 Aug 2023 at Rs 341.05</t>
  </si>
  <si>
    <t>Average quality company basis long term financial performance. Size - Ranks 22nd out of 37 companies in Cement sector</t>
  </si>
  <si>
    <t xml:space="preserve"> Vidula Consultancy Services Limited</t>
  </si>
  <si>
    <t>Finquest Financial Solutions Pvt. Ltd.</t>
  </si>
  <si>
    <t>The score changed from Buy to Strong Buy on 24th Jul 2023 at Rs 121.70</t>
  </si>
  <si>
    <t>Man Infra turned Bullish from Mildly Bullish on 19 Jul 2023 at Rs 114.30</t>
  </si>
  <si>
    <t xml:space="preserve"> Parag K Shah</t>
  </si>
  <si>
    <t>Suketu Ramesh Shah</t>
  </si>
  <si>
    <t>The score changed from Hold to Sell on 28th Aug 2023 at Rs 1,772.05</t>
  </si>
  <si>
    <t>Mankind Pharma turned Sideways from Mildly Bearish on 29 Aug 2023 at Rs 1,782.95</t>
  </si>
  <si>
    <t xml:space="preserve"> Ramesh Juneja Family Trust</t>
  </si>
  <si>
    <t>held In The Name Of Ramesh Juneja, Managing Trustee</t>
  </si>
  <si>
    <t>Beige Limited</t>
  </si>
  <si>
    <t>The score changed from Hold to Sell on 14th Aug 2023 at Rs 1,265.60</t>
  </si>
  <si>
    <t>Vedant Fashions turned Mildly Bearish from Bearish on 30 Aug 2023 at Rs 1,260.55</t>
  </si>
  <si>
    <t xml:space="preserve"> Ravi Modi Family Trust</t>
  </si>
  <si>
    <t>acting Through Its Trustee, Modi Fiduciary Services Private Limited</t>
  </si>
  <si>
    <t>The score changed from Buy to Hold on 07th Aug 2023 at Rs 9,515.60</t>
  </si>
  <si>
    <t>Maruti Suzuki turned Mildly Bullish from Bullish on 02 Aug 2023 at Rs 9,650.40</t>
  </si>
  <si>
    <t>The score changed from Buy to Hold on 26th Jun 2023 at Rs 768.45</t>
  </si>
  <si>
    <t>MAS FINANC SER turned Mildly Bullish from Sideways on 09 Aug 2023 at Rs 809.55</t>
  </si>
  <si>
    <t>Average quality company basis long term financial performance. Size - Ranks 41st out of 590 companies in Finance/NBFC sector</t>
  </si>
  <si>
    <t xml:space="preserve"> Shweta Kamlesh Gandhi</t>
  </si>
  <si>
    <t>The score changed from Buy to Hold on 11th Aug 2023 at Rs 639.85</t>
  </si>
  <si>
    <t>Matrimony.com turned Mildly Bullish from Bullish on 11 Aug 2023 at Rs 639.85</t>
  </si>
  <si>
    <t>Good quality company basis long term financial performance. Size - Ranks 38th out of 157 companies in IT - Software sector</t>
  </si>
  <si>
    <t xml:space="preserve"> J Murugavel</t>
  </si>
  <si>
    <t>The score changed from Buy to Hold on 31st Jul 2023 at Rs 593.50</t>
  </si>
  <si>
    <t>Max Healthcare turned Mildly Bullish from Bullish on 31 Jul 2023 at Rs 593.50</t>
  </si>
  <si>
    <t xml:space="preserve"> Abhay Soi</t>
  </si>
  <si>
    <t>The score changed from Hold to Buy on 21st Jul 2023 at Rs 1,038.70</t>
  </si>
  <si>
    <t>United Spirits turned Bullish from Mildly Bullish on 04 Jul 2023 at Rs 917.40</t>
  </si>
  <si>
    <t>Good quality company basis long term financial performance. Largest company in Breweries sector</t>
  </si>
  <si>
    <t xml:space="preserve"> Diageo Relay Bv</t>
  </si>
  <si>
    <t>formerly Known As Relay B V</t>
  </si>
  <si>
    <t>The score changed from Sell to Hold on 12th Jun 2023 at Rs 1,565.95</t>
  </si>
  <si>
    <t>Multi Comm. Exc. turned Bullish from Mildly Bullish on 28 Aug 2023 at Rs 1,603.30</t>
  </si>
  <si>
    <t>Good quality company basis long term financial performance. Size - Ranks 32nd out of 590 companies in Finance/NBFC sector</t>
  </si>
  <si>
    <t>The score changed from Hold to Buy on 23rd Aug 2023 at Rs 709.00</t>
  </si>
  <si>
    <t>Global Health turned Mildly Bullish from Sideways on 23 Aug 2023 at Rs 709.00</t>
  </si>
  <si>
    <t xml:space="preserve"> Naresh Trehan</t>
  </si>
  <si>
    <t>Dunearn Investments</t>
  </si>
  <si>
    <t xml:space="preserve">mauritius Pte Ltd </t>
  </si>
  <si>
    <t>The score changed from Buy to Hold on 28th Aug 2023 at Rs 1,031.60</t>
  </si>
  <si>
    <t>Metro Brands turned Bullish from Mildly Bullish on 29 Aug 2023 at Rs 1,046.60</t>
  </si>
  <si>
    <t>The score changed from Sell to Hold on 10th Aug 2023 at Rs 857.15</t>
  </si>
  <si>
    <t>Max Financial turned Bullish from Mildly Bullish on 01 Aug 2023 at Rs 809.70</t>
  </si>
  <si>
    <t>Below Average quality company basis long term financial performance. Size - Ranks 15th out of 590 companies in Finance/NBFC sector</t>
  </si>
  <si>
    <t xml:space="preserve"> Max Ventures Investment Holdings Private Limited</t>
  </si>
  <si>
    <t>Mitsui Sumitomo Insurance Company Limited</t>
  </si>
  <si>
    <t>The score changed from Sell to Hold on 03rd May 2023 at Rs 210.15</t>
  </si>
  <si>
    <t>Mishra Dhatu Nig turned Bullish from Mildly Bullish on 19 Jun 2023 at Rs 283.95</t>
  </si>
  <si>
    <t>Good quality company basis long term financial performance. Size - Ranks 12th out of 108 companies in Iron and Steel sector</t>
  </si>
  <si>
    <t>The score changed from Sell to Hold on 30th Aug 2023 at Rs 325.65</t>
  </si>
  <si>
    <t>Minda Corp turned Bullish from Mildly Bullish on 28 Aug 2023 at Rs 324.35</t>
  </si>
  <si>
    <t>Average quality company basis long term financial performance. Size - Ranks 8th out of 91 companies in Auto Anc sector</t>
  </si>
  <si>
    <t>The score changed from Hold to Buy on 16th Aug 2023 at Rs 96.45</t>
  </si>
  <si>
    <t>Samvardh. Mothe. turned Bullish from Mildly Bullish on 11 Aug 2023 at Rs 97.70</t>
  </si>
  <si>
    <t>Average quality company basis long term financial performance. Largest company in Auto Anc sector</t>
  </si>
  <si>
    <t xml:space="preserve"> Sumitomo Wiring Systems Limited</t>
  </si>
  <si>
    <t>Icici Prudential Multi-asset Fund</t>
  </si>
  <si>
    <t>Mphasis turned Mildly Bullish from Bullish on 28 Aug 2023 at Rs 2,328.85</t>
  </si>
  <si>
    <t>Excellent quality company basis long term financial performance. Size - Ranks 8th out of 157 companies in IT - Software sector</t>
  </si>
  <si>
    <t>The score changed from Hold to Buy on 03rd Aug 2023 at Rs 106,923.10</t>
  </si>
  <si>
    <t>MRF turned Bullish from Mildly Bullish on 17 May 2023 at Rs 97,662.70</t>
  </si>
  <si>
    <t>Average quality company basis long term financial performance. Largest company in Tyres sector</t>
  </si>
  <si>
    <t xml:space="preserve"> Comprehensive Investment And Finance Company Pvt. Ltd.</t>
  </si>
  <si>
    <t>Mowi Foundation</t>
  </si>
  <si>
    <t>The score changed from Hold to Buy on 28th Aug 2023 at Rs 59.96</t>
  </si>
  <si>
    <t>Motherson Wiring turned Mildly Bullish from Bullish on 29 Aug 2023 at Rs 59.18</t>
  </si>
  <si>
    <t xml:space="preserve"> Samvardhana Motherson International Limited</t>
  </si>
  <si>
    <t>The score changed from Buy to Hold on 10th Aug 2023 at Rs 2,290.85</t>
  </si>
  <si>
    <t>MTAR Technologie turned Bullish from Mildly Bullish on 04 Aug 2023 at Rs 2,208.70</t>
  </si>
  <si>
    <t xml:space="preserve"> K Shalini</t>
  </si>
  <si>
    <t>The score changed from Hold to Buy on 28th Aug 2023 at Rs 1,286.95</t>
  </si>
  <si>
    <t>Muthoot Finance turned Bullish from Mildly Bullish on 28 Aug 2023 at Rs 1,286.95</t>
  </si>
  <si>
    <t>The score changed from Sell to Strong Sell on 14th Aug 2023 at Rs 80.47</t>
  </si>
  <si>
    <t>NACL Industries turned Bearish from Mildly Bearish on 14 Aug 2023 at Rs 80.47</t>
  </si>
  <si>
    <t>Average quality company basis long term financial performance. Size - Ranks 11th out of 22 companies in Pesticides &amp; Agrochem sector</t>
  </si>
  <si>
    <t xml:space="preserve"> Klr Products Limited</t>
  </si>
  <si>
    <t>Krishi Rasayan Exports Private Limited</t>
  </si>
  <si>
    <t>The score changed from Sell to Strong Sell on 10th Aug 2023 at Rs 242.60</t>
  </si>
  <si>
    <t>Nahar Spinning turned Mildly Bearish from Bearish on 22 Aug 2023 at Rs 265.25</t>
  </si>
  <si>
    <t>Below Average quality company basis long term financial performance. Size - Ranks 33rd out of 307 companies in Textile sector</t>
  </si>
  <si>
    <t xml:space="preserve"> Nahar Capital And Financial Services Ltd.</t>
  </si>
  <si>
    <t>Anil Kumar Goel</t>
  </si>
  <si>
    <t>since 1 month 27 days</t>
  </si>
  <si>
    <t>The score changed from Hold to Strong Buy on 30th May 2023 at Rs 619.95</t>
  </si>
  <si>
    <t>Natco Pharma turned Bullish from Mildly Bullish on 26 Jun 2023 at Rs 695.85</t>
  </si>
  <si>
    <t>Good quality company basis long term financial performance. Size - Ranks 20th out of 161 companies in Pharma sector</t>
  </si>
  <si>
    <t xml:space="preserve"> V C Nannapaneni</t>
  </si>
  <si>
    <t>Life Insurance Corporation Of Inida</t>
  </si>
  <si>
    <t>Natl. Aluminium turned Bullish from Mildly Bullish on 28 Aug 2023 at Rs 90.45</t>
  </si>
  <si>
    <t>Average quality company basis long term financial performance. Size - Ranks 6th out of 157 companies in IT - Software sector</t>
  </si>
  <si>
    <t>The score changed from Sell to Hold on 22nd Aug 2023 at Rs 4,485.60</t>
  </si>
  <si>
    <t>Navin Fluo.Intl. turned Mildly Bullish from Sideways on 21 Aug 2023 at Rs 4,462.05</t>
  </si>
  <si>
    <t>Good quality company basis long term financial performance. Size - Ranks 4th out of 143 companies in Chemicals sector</t>
  </si>
  <si>
    <t xml:space="preserve"> Mafatlal Impex Private Limited</t>
  </si>
  <si>
    <t>mafatlal Exim Private Limited Amalgamated With Mafatlal Impex Privat</t>
  </si>
  <si>
    <t>Qualified Institutional Buyers</t>
  </si>
  <si>
    <t>The score changed from Hold to Buy on 28th Aug 2023 at Rs 722.75</t>
  </si>
  <si>
    <t>Nazara Technolo. turned Bullish from Mildly Bullish on 22 Aug 2023 at Rs 700.35</t>
  </si>
  <si>
    <t xml:space="preserve"> Mitter Infotech Llp</t>
  </si>
  <si>
    <t>Arpit Khandelwal</t>
  </si>
  <si>
    <t>The score changed from Strong Buy to Buy on 10th Aug 2023 at Rs 157.65</t>
  </si>
  <si>
    <t>NCC turned Bullish from Mildly Bullish on 06 Jul 2023 at Rs 129.00</t>
  </si>
  <si>
    <t>Average quality company basis long term financial performance. Size - Ranks 6th out of 80 companies in Capital Goods sector</t>
  </si>
  <si>
    <t xml:space="preserve"> A V S R Holdings Private Ltd</t>
  </si>
  <si>
    <t>The score changed from Sell to Hold on 29th Aug 2023 at Rs 1,597.70</t>
  </si>
  <si>
    <t>Neogen Chemicals turned Mildly Bullish from Sideways on 29 Aug 2023 at Rs 1,597.70</t>
  </si>
  <si>
    <t>Good quality company basis long term financial performance. Size - Ranks 20th out of 143 companies in Chemicals sector</t>
  </si>
  <si>
    <t xml:space="preserve"> Haridas Thakarshi Kanani</t>
  </si>
  <si>
    <t>The score changed from Strong Buy to Buy on 27th Jun 2023 at Rs 2,876.35</t>
  </si>
  <si>
    <t>Neuland Labs. turned Bullish from Mildly Bullish on 22 Mar 2023 at Rs 1,653.75</t>
  </si>
  <si>
    <t>Average quality company basis long term financial performance. Size - Ranks 33rd out of 161 companies in Pharma sector</t>
  </si>
  <si>
    <t xml:space="preserve"> Ramamohan Rao Davuluri</t>
  </si>
  <si>
    <t>The score changed from Sell to Strong Sell on 14th Aug 2023 at Rs 78.97</t>
  </si>
  <si>
    <t>NIIT turned Bearish from Mildly Bearish on 28 Aug 2023 at Rs 80.14</t>
  </si>
  <si>
    <t>Average quality company basis long term financial performance. Second largest company in IT - Education sector</t>
  </si>
  <si>
    <t xml:space="preserve"> Vijay Kumar Thadani As Trustee Of Thadani Family Trust</t>
  </si>
  <si>
    <t>Nippon Life India Trustee Ltd-a/c Nippon India Small Cap</t>
  </si>
  <si>
    <t>NIIT Learning turned Sideways from on 08 Aug 2023 at Rs 373.75</t>
  </si>
  <si>
    <t>The score changed from Hold to Sell on 28th Aug 2023 at Rs 284.00</t>
  </si>
  <si>
    <t>Nitin Spinners turned Bullish from Mildly Bullish on 29 Aug 2023 at Rs 314.15</t>
  </si>
  <si>
    <t>Average quality company basis long term financial performance. Size - Ranks 21st out of 307 companies in Textile sector</t>
  </si>
  <si>
    <t xml:space="preserve"> Redial Trading And Investment Private Limited</t>
  </si>
  <si>
    <t>Quant Mutual Fund-quant Small Cap Fund And Active Fund</t>
  </si>
  <si>
    <t>The score changed from Sell to Hold on 16th Aug 2023 at Rs 117.20</t>
  </si>
  <si>
    <t>NMDC turned Mildly Bullish from Sideways on 22 Aug 2023 at Rs 120.90</t>
  </si>
  <si>
    <t>Good quality company basis long term financial performance. Second largest company in Mining &amp; Minerals sector</t>
  </si>
  <si>
    <t>Lici Annuity Non-par</t>
  </si>
  <si>
    <t>NMDC Steel turned Mildly Bullish from Sideways on 30 Aug 2023 at Rs 54.81</t>
  </si>
  <si>
    <t>The score changed from Strong Sell to Sell on 30th Aug 2023 at Rs 339.75</t>
  </si>
  <si>
    <t>Nuvoco Vistas turned Mildly Bearish from Mildly Bullish on 11 Aug 2023 at Rs 349.50</t>
  </si>
  <si>
    <t xml:space="preserve"> Niyogi Enterprise Private Limited</t>
  </si>
  <si>
    <t>Sbi Flexicap Fund</t>
  </si>
  <si>
    <t>Average quality company basis long term financial performance. Size - Ranks 3rd out of 141 companies in Real Estate sector</t>
  </si>
  <si>
    <t>The score changed from Hold to Sell on 30th Aug 2023 at Rs 533.20</t>
  </si>
  <si>
    <t>Orchid Pharma turned Mildly Bullish from Bullish on 30 Aug 2023 at Rs 533.20</t>
  </si>
  <si>
    <t>Below Average quality company basis long term financial performance. Size - Ranks 41st out of 161 companies in Pharma sector</t>
  </si>
  <si>
    <t>The score changed from Sell to Hold on 06th Jul 2023 at Rs 135.50</t>
  </si>
  <si>
    <t>Orient Cement turned Bullish from Mildly Bullish on 04 Aug 2023 at Rs 157.50</t>
  </si>
  <si>
    <t>Good quality company basis long term financial performance. Size - Ranks 15th out of 37 companies in Cement sector</t>
  </si>
  <si>
    <t>The score changed from Strong Sell to Sell on 10th Jul 2023 at Rs 619.65</t>
  </si>
  <si>
    <t>RHI Magnesita turned Mildly Bearish from Sideways on 30 Aug 2023 at Rs 717.05</t>
  </si>
  <si>
    <t>Good quality company basis long term financial performance. Largest company in Refractories sector</t>
  </si>
  <si>
    <t xml:space="preserve"> Dutch Us Holding Bv</t>
  </si>
  <si>
    <t>Dalmia Bharat Refractories Limited</t>
  </si>
  <si>
    <t>Page Industries turned Mildly Bearish from Bearish on 31 Jul 2023 at Rs 37,836.10</t>
  </si>
  <si>
    <t xml:space="preserve"> </t>
  </si>
  <si>
    <t xml:space="preserve"> Sunder Genomal</t>
  </si>
  <si>
    <t>The score changed from Sell to Hold on 17th Jul 2023 at Rs 62.92</t>
  </si>
  <si>
    <t>Paradeep Phospha turned Bullish from Mildly Bullish on 13 Jul 2023 at Rs 63.92</t>
  </si>
  <si>
    <t xml:space="preserve"> Zuari Maroc Phosphates Private Limited</t>
  </si>
  <si>
    <t>The score changed from Sell to Hold on 25th Jul 2023 at Rs 1,004.00</t>
  </si>
  <si>
    <t>Piramal Enterp. turned Bullish from Mildly Bullish on 14 Aug 2023 at Rs 1,025.25</t>
  </si>
  <si>
    <t>The score changed from Buy to Strong Buy on 30th Aug 2023 at Rs 5,177.40</t>
  </si>
  <si>
    <t>Persistent Sys turned Bullish from Mildly Bullish on 30 Aug 2023 at Rs 5,177.40</t>
  </si>
  <si>
    <t>Excellent quality company basis long term financial performance. Size - Ranks 9th out of 157 companies in IT - Software sector</t>
  </si>
  <si>
    <t xml:space="preserve"> Anand Suresh Deshpande</t>
  </si>
  <si>
    <t>Hdfc Mutual Fund-hdfc Arbitrage Fund</t>
  </si>
  <si>
    <t>Good quality company basis long term financial performance. Size - Ranks 19th out of 161 companies in Pharma sector</t>
  </si>
  <si>
    <t>The score changed from Hold to Buy on 28th Aug 2023 at Rs 16,457.75</t>
  </si>
  <si>
    <t>P&amp;G Hygiene turned Bullish from Mildly Bullish on 21 Aug 2023 at Rs 15,395.15</t>
  </si>
  <si>
    <t>Good quality company basis long term financial performance. Size - Ranks 9th out of 86 companies in FMCG sector</t>
  </si>
  <si>
    <t>The score changed from Hold to Buy on 10th Jul 2023 at Rs 1,576.85</t>
  </si>
  <si>
    <t>Phoenix Mills turned Bullish from Mildly Bullish on 06 Jul 2023 at Rs 1,564.10</t>
  </si>
  <si>
    <t>Average quality company basis long term financial performance. Size - Ranks 4th out of 141 companies in Real Estate sector</t>
  </si>
  <si>
    <t xml:space="preserve"> Ruia International Holding Company Private Limited</t>
  </si>
  <si>
    <t>Punjab Natl.Bank turned Bullish from Mildly Bullish on 07 Aug 2023 at Rs 60.40</t>
  </si>
  <si>
    <t>Average quality company basis long term financial performance. Size - Ranks 3rd out of 13 companies in Public Banks sector</t>
  </si>
  <si>
    <t xml:space="preserve"> Central Government</t>
  </si>
  <si>
    <t>through President Of India</t>
  </si>
  <si>
    <t>The score changed from Sell to Hold on 02nd May 2023 at Rs 286.00</t>
  </si>
  <si>
    <t>PNC Infratech turned Mildly Bullish from Bullish on 21 Aug 2023 at Rs 326.90</t>
  </si>
  <si>
    <t>Good quality company basis long term financial performance. Size - Ranks 7th out of 106 companies in Engineering sector</t>
  </si>
  <si>
    <t xml:space="preserve"> Ncj Infrsturcture Private Limited</t>
  </si>
  <si>
    <t>The score changed from Sell to Hold on 30th Aug 2023 at Rs 504.70</t>
  </si>
  <si>
    <t>Pokarna turned Bullish from Mildly Bullish on 30 Aug 2023 at Rs 504.70</t>
  </si>
  <si>
    <t>Average quality company basis long term financial performance. Size - Ranks 5th out of 24 companies in Ceramics and Allied sector</t>
  </si>
  <si>
    <t xml:space="preserve"> K Gautam Chand Jain</t>
  </si>
  <si>
    <t>since 2 months 2 days</t>
  </si>
  <si>
    <t>The score changed from Hold to Buy on 17th Apr 2023 at Rs 3,099.45</t>
  </si>
  <si>
    <t>Polycab India turned Bullish from Mildly Bullish on 11 Jul 2023 at Rs 3,780.05</t>
  </si>
  <si>
    <t>Excellent quality company basis long term financial performance. Second largest company in Cable sector</t>
  </si>
  <si>
    <t xml:space="preserve"> Inder T Jaisinghani</t>
  </si>
  <si>
    <t>Anil Hariram Hariani</t>
  </si>
  <si>
    <t>The score changed from Sell to Strong Sell on 10th Aug 2023 at Rs 1,253.85</t>
  </si>
  <si>
    <t>Polyplex Corpn turned Bearish from Mildly Bearish on 21 Jul 2023 at Rs 1,285.65</t>
  </si>
  <si>
    <t>Average quality company basis long term financial performance. Size - Ranks 6th out of 90 companies in Plastic Products sector</t>
  </si>
  <si>
    <t xml:space="preserve"> Mahalaxmi Trading And Investment Company Limited</t>
  </si>
  <si>
    <t>Nippon Life India Trustee Ltd A/c Nippon India Small Cap Fund And Nifty Small Cap 250 Index Fund</t>
  </si>
  <si>
    <t>Average quality company basis long term financial performance. Size - Ranks 16th out of 590 companies in Finance/NBFC sector</t>
  </si>
  <si>
    <t>The score changed from Buy to Hold on 01st Aug 2023 at Rs 581.10</t>
  </si>
  <si>
    <t>Prestige Estates turned Mildly Bullish from Bullish on 10 Aug 2023 at Rs 556.50</t>
  </si>
  <si>
    <t>Average quality company basis long term financial performance. Size - Ranks 5th out of 141 companies in Real Estate sector</t>
  </si>
  <si>
    <t xml:space="preserve"> Razack Family Trust</t>
  </si>
  <si>
    <t>irfan Razack</t>
  </si>
  <si>
    <t>The score changed from Hold to Sell on 28th Aug 2023 at Rs 128.25</t>
  </si>
  <si>
    <t>Prism Johnson turned Mildly Bullish from Bullish on 28 Aug 2023 at Rs 128.25</t>
  </si>
  <si>
    <t>Below Average quality company basis long term financial performance. Size - Ranks 12th out of 37 companies in Cement sector</t>
  </si>
  <si>
    <t xml:space="preserve"> Hathway Investments Private Limited</t>
  </si>
  <si>
    <t>Sbi Long Term Equity Fund</t>
  </si>
  <si>
    <t>The score changed from Sell to Hold on 29th Aug 2023 at Rs 1,187.55</t>
  </si>
  <si>
    <t>Punjab Chemicals turned Bullish from Sideways on 29 Aug 2023 at Rs 1,187.55</t>
  </si>
  <si>
    <t>Average quality company basis long term financial performance. Size - Ranks 13th out of 22 companies in Pesticides &amp; Agrochem sector</t>
  </si>
  <si>
    <t xml:space="preserve"> Hemsil Trading And Manufacturing Pvt. Ltd.</t>
  </si>
  <si>
    <t>Gowal Consulting Services Private Limited</t>
  </si>
  <si>
    <t>The score changed from Strong Sell to Sell on 14th Aug 2023 at Rs 1,713.55</t>
  </si>
  <si>
    <t>PVR Inox turned Mildly Bullish from Sideways on 24 Aug 2023 at Rs 1,733.95</t>
  </si>
  <si>
    <t>The score changed from Buy to Hold on 14th Aug 2023 at Rs 1,333.65</t>
  </si>
  <si>
    <t>Radico Khaitan turned Mildly Bullish from Bullish on 14 Aug 2023 at Rs 1,333.65</t>
  </si>
  <si>
    <t>Good quality company basis long term financial performance. Size - Ranks 3rd out of 14 companies in Breweries sector</t>
  </si>
  <si>
    <t xml:space="preserve"> Sapphire Intrex Limited</t>
  </si>
  <si>
    <t>Timf Holdings</t>
  </si>
  <si>
    <t>The score changed from Buy to Hold on 28th Aug 2023 at Rs 1,038.50</t>
  </si>
  <si>
    <t>Rainbow Child. turned Mildly Bullish from Bullish on 28 Aug 2023 at Rs 1,038.50</t>
  </si>
  <si>
    <t xml:space="preserve"> Ramesh Kancharla</t>
  </si>
  <si>
    <t>The score changed from Sell to Hold on 14th Aug 2023 at Rs 218.95</t>
  </si>
  <si>
    <t>Rallis India turned Bullish from Mildly Bullish on 30 Aug 2023 at Rs 235.35</t>
  </si>
  <si>
    <t>Good quality company basis long term financial performance. Size - Ranks 5th out of 22 companies in Pesticides &amp; Agrochem sector</t>
  </si>
  <si>
    <t xml:space="preserve"> Tata Chemicals Limited</t>
  </si>
  <si>
    <t>The score changed from Sell to Hold on 23rd Aug 2023 at Rs 850.65</t>
  </si>
  <si>
    <t>The Ramco Cement turned Mildly Bullish from Sideways on 21 Aug 2023 at Rs 855.45</t>
  </si>
  <si>
    <t>Average quality company basis long term financial performance. Size - Ranks 8th out of 37 companies in Cement sector</t>
  </si>
  <si>
    <t>The score changed from Hold to Buy on 06th Jun 2023 at Rs 400.25</t>
  </si>
  <si>
    <t>Rategain Travel turned Bullish from Mildly Bullish on 02 Jun 2023 at Rs 383.80</t>
  </si>
  <si>
    <t xml:space="preserve"> Bhanu Chopra</t>
  </si>
  <si>
    <t>Nippon Life India Trustee Ltd-a/c Nippon India Fle</t>
  </si>
  <si>
    <t>The score changed from Hold to Buy on 30th May 2023 at Rs 162.95</t>
  </si>
  <si>
    <t>RBL Bank turned Bullish from Mildly Bullish on 30 May 2023 at Rs 162.95</t>
  </si>
  <si>
    <t>Average quality company basis long term financial performance. Size - Ranks 10th out of 18 companies in Private Banks sector</t>
  </si>
  <si>
    <t>Maple Ii B.v.</t>
  </si>
  <si>
    <t>The score changed from Hold to Sell on 21st Aug 2023 at Rs 2,518.25</t>
  </si>
  <si>
    <t>Reliance Industr turned Mildly Bullish from Bullish on 28 Aug 2023 at Rs 2,442.55</t>
  </si>
  <si>
    <t>The score changed from Buy to Hold on 17th Jul 2023 at Rs 482.85</t>
  </si>
  <si>
    <t>Ramkrishna Forg. turned Bullish from Mildly Bullish on 04 Jul 2023 at Rs 447.20</t>
  </si>
  <si>
    <t>Average quality company basis long term financial performance. Size - Ranks 3rd out of 31 companies in Castings/Forgings sector</t>
  </si>
  <si>
    <t xml:space="preserve"> Riddhi Portfolio Private Limited</t>
  </si>
  <si>
    <t>The score changed from Buy to Hold on 31st Jul 2023 at Rs 2,221.90</t>
  </si>
  <si>
    <t>Rolex Rings turned Mildly Bullish from Bullish on 27 Jul 2023 at Rs 2,212.20</t>
  </si>
  <si>
    <t xml:space="preserve"> Pinakin Dayashankar Madeka</t>
  </si>
  <si>
    <t>The score changed from Buy to Hold on 16th Aug 2023 at Rs 821.75</t>
  </si>
  <si>
    <t>Rossari Biotech turned Mildly Bullish from Bullish on 11 Aug 2023 at Rs 846.75</t>
  </si>
  <si>
    <t xml:space="preserve"> Edward Menezes</t>
  </si>
  <si>
    <t>The score changed from Hold to Buy on 09th Aug 2023 at Rs 358.00</t>
  </si>
  <si>
    <t>Sandhar Tech turned Bullish from Mildly Bullish on 09 Jun 2023 at Rs 287.15</t>
  </si>
  <si>
    <t>Average quality company basis long term financial performance. Size - Ranks 25th out of 91 companies in Auto Anc sector</t>
  </si>
  <si>
    <t xml:space="preserve"> Jayant Davar</t>
  </si>
  <si>
    <t>Good quality company basis long term financial performance. Size - Ranks 21st out of 161 companies in Pharma sector</t>
  </si>
  <si>
    <t>The score changed from Sell to Hold on 10th May 2023 at Rs 741.55</t>
  </si>
  <si>
    <t>Sansera Enginee. turned Bullish from Mildly Bullish on 05 Jul 2023 at Rs 908.20</t>
  </si>
  <si>
    <t xml:space="preserve"> Sekhar Vasan</t>
  </si>
  <si>
    <t>Client Ebene Limited</t>
  </si>
  <si>
    <t>The score changed from Sell to Hold on 28th Jun 2023 at Rs 1,415.30</t>
  </si>
  <si>
    <t>Sapphire Foods turned Bullish from Mildly Bullish on 29 Aug 2023 at Rs 1,377.65</t>
  </si>
  <si>
    <t xml:space="preserve"> Sapphire Foods Mauritius Limited</t>
  </si>
  <si>
    <t>The score changed from Buy to Hold on 28th Jul 2023 at Rs 856.50</t>
  </si>
  <si>
    <t>SBI Cards turned Sideways from Mildly Bearish on 28 Aug 2023 at Rs 825.90</t>
  </si>
  <si>
    <t>since 22 days</t>
  </si>
  <si>
    <t>SBI Life Insuran turned Bullish from Mildly Bullish on 29 Aug 2023 at Rs 1,298.85</t>
  </si>
  <si>
    <t>Good quality company basis long term financial performance. Size - Ranks 4th out of 590 companies in Finance/NBFC sector</t>
  </si>
  <si>
    <t>The score changed from Sell to Hold on 28th Aug 2023 at Rs 3,026.00</t>
  </si>
  <si>
    <t>Schaeffler India turned Mildly Bullish from Sideways on 28 Aug 2023 at Rs 3,026.00</t>
  </si>
  <si>
    <t>Good quality company basis long term financial performance. Largest company in Bearings sector</t>
  </si>
  <si>
    <t xml:space="preserve"> Schaeffler Schweinfurt Beteiligungs Gmbh</t>
  </si>
  <si>
    <t>The score changed from Hold to Sell on 30th Aug 2023 at Rs 1,104.25</t>
  </si>
  <si>
    <t>Sheela Foam turned Bearish from Mildly Bearish on 30 Aug 2023 at Rs 1,104.25</t>
  </si>
  <si>
    <t>The score changed from Hold to Sell on 21st Aug 2023 at Rs 23,610.20</t>
  </si>
  <si>
    <t>Shree Cement turned Mildly Bearish from Mildly Bullish on 21 Aug 2023 at Rs 23,610.20</t>
  </si>
  <si>
    <t>Average quality company basis long term financial performance. Size - Ranks 4th out of 37 companies in Cement sector</t>
  </si>
  <si>
    <t xml:space="preserve"> Shree Capital Services Ltd</t>
  </si>
  <si>
    <t>Flt Limited</t>
  </si>
  <si>
    <t>The score changed from Hold to Buy on 29th May 2023 at Rs 1,408.05</t>
  </si>
  <si>
    <t>Shriram Finance turned Bullish from Mildly Bullish on 26 May 2023 at Rs 1,383.20</t>
  </si>
  <si>
    <t>Good quality company basis long term financial performance. Size - Ranks 9th out of 590 companies in Finance/NBFC sector</t>
  </si>
  <si>
    <t xml:space="preserve"> Shriram Capital Private Limited</t>
  </si>
  <si>
    <t>The score changed from Sell to Hold on 06th Jun 2023 at Rs 311.65</t>
  </si>
  <si>
    <t>Shyam Metalics turned Bullish from Mildly Bullish on 03 Aug 2023 at Rs 399.75</t>
  </si>
  <si>
    <t xml:space="preserve"> Subham Buildwell Pvt. Ltd.</t>
  </si>
  <si>
    <t>Kotak Equity Hybrid</t>
  </si>
  <si>
    <t>The score changed from Hold to Buy on 29th Aug 2023 at Rs 3,865.15</t>
  </si>
  <si>
    <t>Siemens turned Bullish from Mildly Bullish on 29 Aug 2023 at Rs 3,865.15</t>
  </si>
  <si>
    <t>The score changed from Sell to Hold on 09th May 2023 at Rs 474.80</t>
  </si>
  <si>
    <t>SJS Enterprises turned Bullish from Mildly Bullish on 09 Jun 2023 at Rs 530.65</t>
  </si>
  <si>
    <t xml:space="preserve"> Evergraph Holdings Pte. Ltd.</t>
  </si>
  <si>
    <t>The score changed from Buy to Hold on 28th Aug 2023 at Rs 5,081.20</t>
  </si>
  <si>
    <t>SKF India turned Bullish from Mildly Bullish on 29 Aug 2023 at Rs 5,087.00</t>
  </si>
  <si>
    <t>The score changed from Hold to Buy on 30th Aug 2023 at Rs 4,898.25</t>
  </si>
  <si>
    <t>Solar Industries turned Bullish from Mildly Bullish on 30 Aug 2023 at Rs 4,898.25</t>
  </si>
  <si>
    <t>The score changed from Sell to Hold on 05th Jun 2023 at Rs 652.35</t>
  </si>
  <si>
    <t>Somany Ceramics turned Mildly Bullish from Bullish on 11 Aug 2023 at Rs 672.75</t>
  </si>
  <si>
    <t>Average quality company basis long term financial performance. Size - Ranks 4th out of 24 companies in Ceramics and Allied sector</t>
  </si>
  <si>
    <t xml:space="preserve"> Abhishek Somany- Trustee Of Shakthi Family Trust</t>
  </si>
  <si>
    <t>since 1 month 24 days</t>
  </si>
  <si>
    <t>The score changed from Hold to Buy on 29th May 2023 at Rs 536.75</t>
  </si>
  <si>
    <t>Sona BLW Precis. turned Bullish from Mildly Bullish on 21 Aug 2023 at Rs 590.85</t>
  </si>
  <si>
    <t xml:space="preserve"> Aureus Investment Private Limited</t>
  </si>
  <si>
    <t>Axis Mutual Fund</t>
  </si>
  <si>
    <t>The score changed from Hold to Buy on 07th Aug 2023 at Rs 1,035.40</t>
  </si>
  <si>
    <t>Sonata Software turned Mildly Bullish from Bullish on 01 Aug 2023 at Rs 1,045.60</t>
  </si>
  <si>
    <t>Excellent quality company basis long term financial performance. Size - Ranks 14th out of 157 companies in IT - Software sector</t>
  </si>
  <si>
    <t xml:space="preserve"> Viren Rajan Raheja</t>
  </si>
  <si>
    <t>Hemendra M Kothari</t>
  </si>
  <si>
    <t>The score changed from Sell to Hold on 17th Jul 2023 at Rs 490.15</t>
  </si>
  <si>
    <t>SP Apparels turned Bullish from Mildly Bullish on 18 Aug 2023 at Rs 477.35</t>
  </si>
  <si>
    <t>Average quality company basis long term financial performance. Size - Ranks 27th out of 307 companies in Textile sector</t>
  </si>
  <si>
    <t xml:space="preserve"> Perumal Sundararajan</t>
  </si>
  <si>
    <t>The score changed from Strong Sell to Sell on 14th Aug 2023 at Rs 2,292.25</t>
  </si>
  <si>
    <t>SRF turned Mildly Bearish from Bearish on 21 Aug 2023 at Rs 2,301.30</t>
  </si>
  <si>
    <t xml:space="preserve"> Kama Holdings Limited</t>
  </si>
  <si>
    <t>Kotak Equity Opportunities Fund</t>
  </si>
  <si>
    <t>The score changed from Sell to Hold on 09th Aug 2023 at Rs 635.50</t>
  </si>
  <si>
    <t>Star Health Insu turned Bullish from Mildly Bullish on 29 Aug 2023 at Rs 626.65</t>
  </si>
  <si>
    <t xml:space="preserve"> Safecrop Investments India Llp</t>
  </si>
  <si>
    <t>Apis Growth 6 Limited</t>
  </si>
  <si>
    <t>The score changed from Sell to Hold on 29th Aug 2023 at Rs 1,128.05</t>
  </si>
  <si>
    <t>Styrenix Perfor. turned Mildly Bullish from Bullish on 30 Aug 2023 at Rs 1,111.95</t>
  </si>
  <si>
    <t>Average quality company basis long term financial performance. Size - Ranks 13th out of 90 companies in Plastic Products sector</t>
  </si>
  <si>
    <t xml:space="preserve"> Shiva Performance Materials Private Limited</t>
  </si>
  <si>
    <t>The score changed from Sell to Hold on 19th Jun 2023 at Rs 362.10</t>
  </si>
  <si>
    <t>Subros turned Mildly Bullish from Bullish on 10 Aug 2023 at Rs 409.55</t>
  </si>
  <si>
    <t>Average quality company basis long term financial performance. Size - Ranks 24th out of 91 companies in Auto Anc sector</t>
  </si>
  <si>
    <t xml:space="preserve"> Deeksha Holding Limited</t>
  </si>
  <si>
    <t>Denso Corporation</t>
  </si>
  <si>
    <t>The score changed from Sell to Hold on 09th Aug 2023 at Rs 532.50</t>
  </si>
  <si>
    <t>Sudarshan Chem. turned Bullish from Mildly Bullish on 03 Aug 2023 at Rs 519.10</t>
  </si>
  <si>
    <t>Average quality company basis long term financial performance. Largest company in Dyes &amp; Pigments sector</t>
  </si>
  <si>
    <t xml:space="preserve"> Anuj Narayandas Rathi</t>
  </si>
  <si>
    <t>Akash Bhanshali</t>
  </si>
  <si>
    <t>The score changed from Sell to Hold on 12th Jul 2023 at Rs 492.45</t>
  </si>
  <si>
    <t>Sula Vineyards turned Mildly Bullish from Bullish on 28 Aug 2023 at Rs 506.20</t>
  </si>
  <si>
    <t xml:space="preserve"> Rajeev Suresh Samant</t>
  </si>
  <si>
    <t>Verlinvest Asia Pte. Ltd.</t>
  </si>
  <si>
    <t>The score changed from Sell to Hold on 29th Aug 2023 at Rs 431.85</t>
  </si>
  <si>
    <t>Sumitomo Chemi. turned Mildly Bullish from Mildly Bearish on 29 Aug 2023 at Rs 431.85</t>
  </si>
  <si>
    <t>Good quality company basis long term financial performance. Size - Ranks 5th out of 143 companies in Chemicals sector</t>
  </si>
  <si>
    <t xml:space="preserve"> Sumitomo Chemical Company, Limited, Japan</t>
  </si>
  <si>
    <t>Lici Asm Non Par</t>
  </si>
  <si>
    <t>The score changed from Buy to Hold on 28th Aug 2023 at Rs 2,590.95</t>
  </si>
  <si>
    <t>Sundaram Finance turned Mildly Bullish from Bullish on 28 Aug 2023 at Rs 2,590.95</t>
  </si>
  <si>
    <t>Good quality company basis long term financial performance. Size - Ranks 18th out of 590 companies in Finance/NBFC sector</t>
  </si>
  <si>
    <t>The score changed from Sell to Hold on 10th Jul 2023 at Rs 100.55</t>
  </si>
  <si>
    <t>Sundaram Fin.Hol turned Bullish from Mildly Bullish on 06 Jul 2023 at Rs 96.95</t>
  </si>
  <si>
    <t>Below Average quality company basis long term financial performance. Size - Ranks 48th out of 590 companies in Finance/NBFC sector</t>
  </si>
  <si>
    <t xml:space="preserve"> Sundaram Finance Limited</t>
  </si>
  <si>
    <t>The score changed from Buy to Hold on 27th Jul 2023 at Rs 1,214.95</t>
  </si>
  <si>
    <t>Sundram Fasten. turned Bullish from Mildly Bullish on 30 Aug 2023 at Rs 1,253.00</t>
  </si>
  <si>
    <t>Good quality company basis long term financial performance. Largest company in Fasteners sector</t>
  </si>
  <si>
    <t xml:space="preserve"> Tvs Sundram Fasteners Private Limited</t>
  </si>
  <si>
    <t>The score changed from Hold to Buy on 23rd Aug 2023 at Rs 1,122.85</t>
  </si>
  <si>
    <t>Sun Pharma.Inds. turned Bullish from Mildly Bullish on 25 Aug 2023 at Rs 1,107.65</t>
  </si>
  <si>
    <t>The score changed from Sell to Hold on 17th Feb 2023 at Rs 359.30</t>
  </si>
  <si>
    <t>Suprajit Engg. turned Mildly Bullish from Bullish on 17 Aug 2023 at Rs 401.50</t>
  </si>
  <si>
    <t>Good quality company basis long term financial performance. Size - Ranks 10th out of 91 companies in Auto Anc sector</t>
  </si>
  <si>
    <t xml:space="preserve"> Supriyajith Family Trust</t>
  </si>
  <si>
    <t>Dsp Small Cap Fund - Various Schemes</t>
  </si>
  <si>
    <t>The score changed from Buy to Hold on 29th Apr 2023 at Rs 2,721.80</t>
  </si>
  <si>
    <t>Supreme Inds. turned Bullish from Mildly Bullish on 03 May 2023 at Rs 2,758.25</t>
  </si>
  <si>
    <t>The score changed from Buy to Strong Buy on 16th May 2023 at Rs 127.15</t>
  </si>
  <si>
    <t>Suryoday Small turned Mildly Bullish from Bullish on 28 Aug 2023 at Rs 180.65</t>
  </si>
  <si>
    <t xml:space="preserve"> Baskar Babu Ramachandran</t>
  </si>
  <si>
    <t>Axis Mutual Fund Trustee Limited</t>
  </si>
  <si>
    <t>The score changed from Buy to Hold on 01st Aug 2023 at Rs 490.00</t>
  </si>
  <si>
    <t>Suven Pharma turned Bullish from Mildly Bullish on 09 Aug 2023 at Rs 492.60</t>
  </si>
  <si>
    <t xml:space="preserve"> Jasti Property And Equity Holdings Private Limited(initscapacityassoletrusteeofjastifamilytrust)</t>
  </si>
  <si>
    <t>Uti Small Cap Fund</t>
  </si>
  <si>
    <t>The score changed from Strong Buy to Buy on 14th Aug 2023 at Rs 2,059.10</t>
  </si>
  <si>
    <t>Swaraj Engines turned Mildly Bullish from Bullish on 08 Aug 2023 at Rs 2,081.65</t>
  </si>
  <si>
    <t>Good quality company basis long term financial performance. Smallest company in Diesel Engines sector</t>
  </si>
  <si>
    <t>The score changed from Hold to Sell on 08th Jun 2023 at Rs 881.55</t>
  </si>
  <si>
    <t>Symphony turned Mildly Bearish from Bearish on 11 Aug 2023 at Rs 888.80</t>
  </si>
  <si>
    <t>Good quality company basis long term financial performance. Size - Ranks 3rd out of 10 companies in Domestic Appliances sector</t>
  </si>
  <si>
    <t xml:space="preserve"> Achal Anil Bakeri</t>
  </si>
  <si>
    <t>Syngene Intl. turned Mildly Bullish from Bullish on 25 Aug 2023 at Rs 766.00</t>
  </si>
  <si>
    <t>Good quality company basis long term financial performance. Size - Ranks 12th out of 161 companies in Pharma sector</t>
  </si>
  <si>
    <t>The score changed from Buy to Hold on 20th Jul 2023 at Rs 270.60</t>
  </si>
  <si>
    <t>TajGVK Hotels turned Mildly Bullish from Bullish on 14 Aug 2023 at Rs 234.95</t>
  </si>
  <si>
    <t>Below Average quality company basis long term financial performance. Size - Ranks 9th out of 54 companies in Hotels sector</t>
  </si>
  <si>
    <t xml:space="preserve"> G Indiria Krishna Reddy</t>
  </si>
  <si>
    <t>Damani Estate And Finance Pvt Ltd</t>
  </si>
  <si>
    <t>The score changed from Hold to Sell on 07th Aug 2023 at Rs 599.85</t>
  </si>
  <si>
    <t>Tarsons Products turned Mildly Bearish from Sideways on 01 Aug 2023 at Rs 610.35</t>
  </si>
  <si>
    <t xml:space="preserve"> Sanjive Sehgal</t>
  </si>
  <si>
    <t>Clear Vision Investment Holdings Pte Limited</t>
  </si>
  <si>
    <t>The score changed from Sell to Hold on 14th Aug 2023 at Rs 1,001.50</t>
  </si>
  <si>
    <t>Tata Chemicals turned Bullish from Mildly Bullish on 28 Aug 2023 at Rs 1,035.75</t>
  </si>
  <si>
    <t>Average quality company basis long term financial performance. Size - Ranks 3rd out of 12 companies in Diversified sector</t>
  </si>
  <si>
    <t>The score changed from Sell to Hold on 25th May 2023 at Rs 227.00</t>
  </si>
  <si>
    <t>Tata Coffee turned Mildly Bullish from Bullish on 18 Aug 2023 at Rs 245.30</t>
  </si>
  <si>
    <t>Average quality company basis long term financial performance. Size - Ranks 3rd out of 29 companies in Tea/Coffee sector</t>
  </si>
  <si>
    <t xml:space="preserve"> Tata Consumer Products Limited</t>
  </si>
  <si>
    <t>The score changed from Buy to Hold on 31st Jul 2023 at Rs 859.20</t>
  </si>
  <si>
    <t>Tata Consumer turned Mildly Bullish from Sideways on 25 Aug 2023 at Rs 832.15</t>
  </si>
  <si>
    <t>Good quality company basis long term financial performance. Largest company in Tea/Coffee sector</t>
  </si>
  <si>
    <t>The score changed from Hold to Buy on 28th Aug 2023 at Rs 7,371.70</t>
  </si>
  <si>
    <t>Tata Elxsi turned Mildly Bullish from Sideways on 28 Aug 2023 at Rs 7,371.70</t>
  </si>
  <si>
    <t>Axis Mutual Fund Trustee Limited A/c Axis Mutual Fund A/c Axis Growth Opportunities Fund</t>
  </si>
  <si>
    <t>The score changed from Strong Buy to Buy on 07th Aug 2023 at Rs 609.55</t>
  </si>
  <si>
    <t>Tata Motors turned Mildly Bullish from Bullish on 11 Aug 2023 at Rs 611.70</t>
  </si>
  <si>
    <t>Average quality company basis long term financial performance. Second largest company in Auto - Cars sector</t>
  </si>
  <si>
    <t>The score changed from Sell to Hold on 21st Aug 2023 at Rs 116.85</t>
  </si>
  <si>
    <t>Tata Steel turned Bullish from Mildly Bullish on 21 Aug 2023 at Rs 116.85</t>
  </si>
  <si>
    <t>The score changed from Strong Sell to Sell on 03rd Jul 2023 at Rs 684.25</t>
  </si>
  <si>
    <t>Tata Steel Long turned Bullish from Mildly Bullish on 03 Jul 2023 at Rs 684.25</t>
  </si>
  <si>
    <t>Score -5</t>
  </si>
  <si>
    <t xml:space="preserve"> Tata Steel Limited</t>
  </si>
  <si>
    <t>The score changed from Strong Sell to Sell on 25th Aug 2023 at Rs 1,739.10</t>
  </si>
  <si>
    <t>Tatva Chintan turned Sideways from Mildly Bearish on 30 Aug 2023 at Rs 1,758.60</t>
  </si>
  <si>
    <t xml:space="preserve"> Shekhar Rasiklal Somani</t>
  </si>
  <si>
    <t>Nippon Life India Trustee Ltd-a/c Nippon India Tax Saver</t>
  </si>
  <si>
    <t xml:space="preserve">elss Fund </t>
  </si>
  <si>
    <t>The score changed from Sell to Strong Sell on 29th May 2023 at Rs 413.05</t>
  </si>
  <si>
    <t>TCNS Clothing Co. turned Mildly Bearish from Bearish on 30 Aug 2023 at Rs 414.35</t>
  </si>
  <si>
    <t>Average quality company basis long term financial performance. Size - Ranks 16th out of 307 companies in Textile sector</t>
  </si>
  <si>
    <t xml:space="preserve"> Arvinder Singh Pasricha</t>
  </si>
  <si>
    <t>Wagner Limited</t>
  </si>
  <si>
    <t>The score changed from Hold to Buy on 28th Aug 2023 at Rs 260.35</t>
  </si>
  <si>
    <t>TD Power Systems turned Bullish from Mildly Bullish on 25 Aug 2023 at Rs 261.25</t>
  </si>
  <si>
    <t>Good quality company basis long term financial performance. Size - Ranks 16th out of 80 companies in Capital Goods sector</t>
  </si>
  <si>
    <t xml:space="preserve"> Saphire Finman Services Llp</t>
  </si>
  <si>
    <t>The score changed from Sell to Hold on 29th Aug 2023 at Rs 2,331.60</t>
  </si>
  <si>
    <t>Team Lease Serv. turned Mildly Bullish from Mildly Bearish on 29 Aug 2023 at Rs 2,331.60</t>
  </si>
  <si>
    <t>Average quality company basis long term financial performance. Size - Ranks 10th out of 137 companies in Miscellaneous sector</t>
  </si>
  <si>
    <t xml:space="preserve"> Hr Offshoring Ventures Pte Ltd</t>
  </si>
  <si>
    <t>Franklin India Balanced Advantage Fund</t>
  </si>
  <si>
    <t>The score changed from Sell to Hold on 15th May 2023 at Rs 1,066.05</t>
  </si>
  <si>
    <t>Tech Mahindra turned Bullish from Mildly Bullish on 25 Aug 2023 at Rs 1,189.50</t>
  </si>
  <si>
    <t>Good quality company basis long term financial performance. Size - Ranks 5th out of 157 companies in IT - Software sector</t>
  </si>
  <si>
    <t>Average quality company basis long term financial performance. Size - Ranks 11th out of 80 companies in Capital Goods sector</t>
  </si>
  <si>
    <t>The score changed from Strong Sell to Sell on 07th Aug 2023 at Rs 832.65</t>
  </si>
  <si>
    <t>Tejas Networks turned Bullish from Mildly Bullish on 07 Aug 2023 at Rs 832.65</t>
  </si>
  <si>
    <t>Below Average quality company basis long term financial performance. Largest company in IT - Hardware sector</t>
  </si>
  <si>
    <t>The score changed from Sell to Hold on 06th Jun 2023 at Rs 60.35</t>
  </si>
  <si>
    <t>Texmaco Rail turned Bullish from Mildly Bullish on 05 Jun 2023 at Rs 59.53</t>
  </si>
  <si>
    <t>Below Average quality company basis long term financial performance. Size - Ranks 3rd out of 4 companies in Railways sector</t>
  </si>
  <si>
    <t xml:space="preserve"> Zuari International Limited</t>
  </si>
  <si>
    <t>The score changed from Hold to Buy on 22nd Aug 2023 at Rs 2,721.90</t>
  </si>
  <si>
    <t>Thermax turned Bullish from Mildly Bullish on 21 Aug 2023 at Rs 2,770.35</t>
  </si>
  <si>
    <t>The score changed from Sell to Hold on 11th Aug 2023 at Rs 568.55</t>
  </si>
  <si>
    <t>Thyrocare Tech. turned Mildly Bullish from Mildly Bearish on 11 Aug 2023 at Rs 568.55</t>
  </si>
  <si>
    <t>Good quality company basis long term financial performance. Size - Ranks 9th out of 34 companies in Healthcare Services sector</t>
  </si>
  <si>
    <t xml:space="preserve"> Docon Technologies Private Limited</t>
  </si>
  <si>
    <t>The score changed from Buy to Hold on 09th Aug 2023 at Rs 2,932.90</t>
  </si>
  <si>
    <t>Tube Investments turned Mildly Bullish from Bullish on 07 Aug 2023 at Rs 3,060.65</t>
  </si>
  <si>
    <t>Good quality company basis long term financial performance. Largest company in Engineering sector</t>
  </si>
  <si>
    <t>The score changed from Hold to Sell on 29th Aug 2023 at Rs 3,189.00</t>
  </si>
  <si>
    <t>Timken India turned Sideways from Mildly Bullish on 25 Aug 2023 at Rs 3,204.15</t>
  </si>
  <si>
    <t>The score changed from Buy to Hold on 28th Aug 2023 at Rs 3,049.30</t>
  </si>
  <si>
    <t>Titan Company turned Bullish from Mildly Bullish on 29 Aug 2023 at Rs 3,079.00</t>
  </si>
  <si>
    <t>Excellent quality company basis long term financial performance. Largest company in Jewellery sector</t>
  </si>
  <si>
    <t xml:space="preserve"> Tamilnadu Industrial Development Corporation Ltd</t>
  </si>
  <si>
    <t>The score changed from Sell to Hold on 03rd May 2023 at Rs 1,654.00</t>
  </si>
  <si>
    <t>Torrent Pharma turned Bullish from Mildly Bullish on 28 Aug 2023 at Rs 1,957.20</t>
  </si>
  <si>
    <t>Good quality company basis long term financial performance. Size - Ranks 5th out of 161 companies in Pharma sector</t>
  </si>
  <si>
    <t>Kotak Mahindra Trustee Co Ltd A/c Kotak Nifty Next</t>
  </si>
  <si>
    <t>The score changed from Strong Buy to Buy on 28th Aug 2023 at Rs 667.60</t>
  </si>
  <si>
    <t>Torrent Power turned Mildly Bullish from Bullish on 30 Aug 2023 at Rs 661.20</t>
  </si>
  <si>
    <t>The score changed from Sell to Hold on 14th Aug 2023 at Rs 75.22</t>
  </si>
  <si>
    <t>Tracxn Technolo. turned Mildly Bullish from Sideways on 08 Aug 2023 at Rs 74.71</t>
  </si>
  <si>
    <t xml:space="preserve"> Abhishek Goyal</t>
  </si>
  <si>
    <t>Elevation Capital V Limited</t>
  </si>
  <si>
    <t>The score changed from Buy to Strong Buy on 14th Aug 2023 at Rs 1,929.40</t>
  </si>
  <si>
    <t>Trent turned Bullish from Mildly Bullish on 08 Aug 2023 at Rs 1,712.90</t>
  </si>
  <si>
    <t>Good quality company basis long term financial performance. Second largest company in Retailing sector</t>
  </si>
  <si>
    <t>Foreign Institutional Investors</t>
  </si>
  <si>
    <t>since 6 months 3 days</t>
  </si>
  <si>
    <t>The score changed from Strong Buy to Buy on 24th Jul 2023 at Rs 399.85</t>
  </si>
  <si>
    <t>Triveni Turbine turned Mildly Bullish from Bullish on 28 Jul 2023 at Rs 398.75</t>
  </si>
  <si>
    <t>Good quality company basis long term financial performance. Size - Ranks 4th out of 106 companies in Engineering sector</t>
  </si>
  <si>
    <t xml:space="preserve"> Subhadra Trade &amp; Finance Limited</t>
  </si>
  <si>
    <t>The score changed from Sell to Hold on 28th Aug 2023 at Rs 774.45</t>
  </si>
  <si>
    <t>TTK Prestige turned Mildly Bullish from Mildly Bearish on 28 Aug 2023 at Rs 774.45</t>
  </si>
  <si>
    <t>Good quality company basis long term financial performance. Second largest company in Domestic Appliances sector</t>
  </si>
  <si>
    <t xml:space="preserve"> Tt Krishnamachari &amp; Co. Represented By Partners</t>
  </si>
  <si>
    <t>The score changed from Strong Sell to Sell on 14th Aug 2023 at Rs 43.70</t>
  </si>
  <si>
    <t>TV18 Broadcast turned Bullish from Mildly Bullish on 11 Aug 2023 at Rs 43.15</t>
  </si>
  <si>
    <t>Below Average quality company basis long term financial performance. Size - Ranks 3rd out of 25 companies in TV Broadcasting &amp; Software sector</t>
  </si>
  <si>
    <t xml:space="preserve"> Network18 Media &amp; Investments Limited</t>
  </si>
  <si>
    <t>The score changed from Hold to Buy on 24th Aug 2023 at Rs 1,362.90</t>
  </si>
  <si>
    <t>TVS Motor Co. turned Bullish from Mildly Bullish on 28 Aug 2023 at Rs 1,348.25</t>
  </si>
  <si>
    <t>Good quality company basis long term financial performance. Size - Ranks 3rd out of 6 companies in Auto - 2 &amp;3 Wheel sector</t>
  </si>
  <si>
    <t xml:space="preserve"> Sundaram Clayton Limited</t>
  </si>
  <si>
    <t>Icici Prudential Mutual Fund</t>
  </si>
  <si>
    <t>The score changed from Strong Sell to Sell on 11th Aug 2023 at Rs 211.55</t>
  </si>
  <si>
    <t>T.V. Today Netw. turned Mildly Bearish from Sideways on 28 Aug 2023 at Rs 209.45</t>
  </si>
  <si>
    <t>Average quality company basis long term financial performance. Size - Ranks 6th out of 25 companies in TV Broadcasting &amp; Software sector</t>
  </si>
  <si>
    <t xml:space="preserve"> Living Media India Limited</t>
  </si>
  <si>
    <t>United Breweries turned Mildly Bearish from Sideways on 30 Aug 2023 at Rs 1,534.65</t>
  </si>
  <si>
    <t>UltraTech Cem. turned Bullish from Mildly Bullish on 30 Aug 2023 at Rs 8,260.60</t>
  </si>
  <si>
    <t>The score changed from Sell to Hold on 03rd Jul 2023 at Rs 556.70</t>
  </si>
  <si>
    <t>Uniparts India turned Mildly Bullish from Bullish on 14 Aug 2023 at Rs 575.05</t>
  </si>
  <si>
    <t xml:space="preserve"> Gurdeep Soni</t>
  </si>
  <si>
    <t>Aditya Birla Sun Life Insurance Company Limited</t>
  </si>
  <si>
    <t>The score changed from Buy to Hold on 28th Aug 2023 at Rs 609.55</t>
  </si>
  <si>
    <t>Uno Minda turned Mildly Bullish from Bullish on 28 Aug 2023 at Rs 609.55</t>
  </si>
  <si>
    <t>The score changed from Strong Buy to Buy on 01st Aug 2023 at Rs 802.90</t>
  </si>
  <si>
    <t>UTI AMC turned Mildly Bullish from Bullish on 01 Aug 2023 at Rs 802.90</t>
  </si>
  <si>
    <t>T. Rowe Price International Ltd</t>
  </si>
  <si>
    <t>The score changed from Hold to Buy on 10th Aug 2023 at Rs 817.60</t>
  </si>
  <si>
    <t>Varun Beverages turned Bullish from Mildly Bullish on 10 Aug 2023 at Rs 817.60</t>
  </si>
  <si>
    <t>The score changed from Hold to Buy on 10th Mar 2023 at Rs 729.00</t>
  </si>
  <si>
    <t>Venus Pipes turned Bullish from Mildly Bullish on 02 Aug 2023 at Rs 1,240.60</t>
  </si>
  <si>
    <t xml:space="preserve"> Megharam S Choudhary</t>
  </si>
  <si>
    <t>Mahesh Himatlal Puj</t>
  </si>
  <si>
    <t>The score changed from Hold to Buy on 27th Jun 2023 at Rs 2,253.05</t>
  </si>
  <si>
    <t>Vesuvius India turned Bullish from Mildly Bullish on 26 Jun 2023 at Rs 2,270.90</t>
  </si>
  <si>
    <t>Average quality company basis long term financial performance. Second largest company in Refractories sector</t>
  </si>
  <si>
    <t xml:space="preserve"> Vesuvius Group Limited</t>
  </si>
  <si>
    <t>The score changed from Sell to Hold on 24th Jul 2023 at Rs 457.90</t>
  </si>
  <si>
    <t>Vijaya Diagnost. turned Bullish from Mildly Bullish on 03 Aug 2023 at Rs 448.55</t>
  </si>
  <si>
    <t xml:space="preserve"> Surendranath Reddy Sura</t>
  </si>
  <si>
    <t>Nippon Life India Trustee Ltd-a/c Nippon India Mul</t>
  </si>
  <si>
    <t>The score changed from Sell to Strong Sell on 28th Aug 2023 at Rs 1,790.00</t>
  </si>
  <si>
    <t>Vinati Organics turned Mildly Bearish from Bearish on 30 Aug 2023 at Rs 1,844.35</t>
  </si>
  <si>
    <t>Good quality company basis long term financial performance. Size - Ranks 7th out of 143 companies in Chemicals sector</t>
  </si>
  <si>
    <t xml:space="preserve"> Suchir Chemicals Pvt Ltd</t>
  </si>
  <si>
    <t>Vindhya Telelink turned Bullish from Mildly Bullish on 21 Aug 2023 at Rs 1,983.20</t>
  </si>
  <si>
    <t xml:space="preserve"> Universal Cables Limited</t>
  </si>
  <si>
    <t>Belle Vue Clinic</t>
  </si>
  <si>
    <t>The score changed from Sell to Hold on 19th May 2023 at Rs 1,983.65</t>
  </si>
  <si>
    <t>Below Average quality company basis long term financial performance. Size - Ranks 6th out of 25 companies in Cable sector</t>
  </si>
  <si>
    <t>The score changed from Hold to Sell on 22nd Aug 2023 at Rs 703.35</t>
  </si>
  <si>
    <t>V I P Inds. turned Sideways from Mildly Bearish on 29 Aug 2023 at Rs 664.85</t>
  </si>
  <si>
    <t>The score changed from Strong Sell to Sell on 19th Jun 2023 at Rs 2,105.05</t>
  </si>
  <si>
    <t>V-Mart Retail turned Mildly Bearish from Sideways on 05 Jul 2023 at Rs 2,206.85</t>
  </si>
  <si>
    <t>Good quality company basis long term financial performance. Size - Ranks 5th out of 21 companies in Retailing sector</t>
  </si>
  <si>
    <t xml:space="preserve"> Conquest Business Services Pvt Ltd</t>
  </si>
  <si>
    <t>The score changed from Hold to Buy on 03rd Jul 2023 at Rs 4,092.20</t>
  </si>
  <si>
    <t>Volt.Transform. turned Bullish from Mildly Bullish on 28 Jun 2023 at Rs 4,073.55</t>
  </si>
  <si>
    <t>Good quality company basis long term financial performance. Size - Ranks 11th out of 77 companies in Capital Goods sector</t>
  </si>
  <si>
    <t xml:space="preserve"> Kunjal Lalitkumar Patel</t>
  </si>
  <si>
    <t>Average quality company basis long term financial performance. Size - Ranks 6th out of 43 companies in Logistics sector</t>
  </si>
  <si>
    <t>The score changed from Hold to Buy on 28th Aug 2023 at Rs 3,588.25</t>
  </si>
  <si>
    <t>VST Industries turned Bullish from Mildly Bullish on 28 Aug 2023 at Rs 3,588.25</t>
  </si>
  <si>
    <t>Good quality company basis long term financial performance. Size - Ranks 3rd out of 6 companies in Cigarettes/Tobacco sector</t>
  </si>
  <si>
    <t xml:space="preserve"> The Raleigh Investment Company Limited</t>
  </si>
  <si>
    <t>Bright Star Investments Pvt. Ltd.</t>
  </si>
  <si>
    <t>The score changed from Sell to Hold on 15th May 2023 at Rs 2,779.50</t>
  </si>
  <si>
    <t>VST Till. Tract. turned Bullish from Mildly Bullish on 26 Jun 2023 at Rs 2,798.65</t>
  </si>
  <si>
    <t>Average quality company basis long term financial performance. Second largest company in Auto - Tractor sector</t>
  </si>
  <si>
    <t xml:space="preserve"> V K Surendra</t>
  </si>
  <si>
    <t>The score changed from Sell to Hold on 18th Aug 2023 at Rs 365.45</t>
  </si>
  <si>
    <t>Vardhman Textile turned Bullish from Mildly Bullish on 18 Aug 2023 at Rs 365.45</t>
  </si>
  <si>
    <t>Average quality company basis long term financial performance. Size - Ranks 4th out of 289 companies in Textile sector</t>
  </si>
  <si>
    <t xml:space="preserve"> Vardhman Holdings Limited</t>
  </si>
  <si>
    <t>The score changed from Buy to Hold on 09th May 2023 at Rs 768.35</t>
  </si>
  <si>
    <t>Westlife Food turned Bullish from Mildly Bullish on 08 May 2023 at Rs 798.00</t>
  </si>
  <si>
    <t>Average quality company basis long term financial performance. Size - Ranks 27th out of 562 companies in Finance/NBFC sector</t>
  </si>
  <si>
    <t xml:space="preserve"> Horizon Impex Private Limited</t>
  </si>
  <si>
    <t>Sbi Equity Hybrid Fund</t>
  </si>
  <si>
    <t>The score changed from Buy to Hold on 22nd Aug 2023 at Rs 388.50</t>
  </si>
  <si>
    <t>Windlas Biotech turned Bullish from Mildly Bullish on 04 Aug 2023 at Rs 310.70</t>
  </si>
  <si>
    <t xml:space="preserve"> Akw Wbl Family Private Trust</t>
  </si>
  <si>
    <t>since 4 months 25 days</t>
  </si>
  <si>
    <t>The score changed from Strong Buy to Buy on 30th Aug 2023 at Rs 3,067.65</t>
  </si>
  <si>
    <t>WPIL turned Mildly Bullish from Bullish on 30 Aug 2023 at Rs 3,067.65</t>
  </si>
  <si>
    <t>Good quality company basis long term financial performance. Size - Ranks 5th out of 10 companies in Compressors / Pumps sector</t>
  </si>
  <si>
    <t xml:space="preserve"> Hindusthan Udyog Limited</t>
  </si>
  <si>
    <t>The score changed from Strong Buy to Hold on 05th Jun 2023 at Rs 513.65</t>
  </si>
  <si>
    <t>West Coast Paper turned Sideways from Mildly Bearish on 24 Aug 2023 at Rs 622.90</t>
  </si>
  <si>
    <t>Good quality company basis long term financial performance. Second largest company in Paper &amp; Paper Products sector</t>
  </si>
  <si>
    <t xml:space="preserve"> Veer Enterprises Limited</t>
  </si>
  <si>
    <t>The score changed from Sell to Hold on 25th Aug 2023 at Rs 265.65</t>
  </si>
  <si>
    <t>Zee Entertainmen turned Bullish from Mildly Bullish on 25 Aug 2023 at Rs 265.65</t>
  </si>
  <si>
    <t>since 6 months 23 days</t>
  </si>
  <si>
    <t>Good quality company basis long term financial performance. Size - Ranks 3rd out of 88 companies in Auto Anc sector</t>
  </si>
  <si>
    <t>The score changed from Strong Sell to Sell on 06th Jun 2023 at Rs 72.36</t>
  </si>
  <si>
    <t>Zomato Ltd turned Bullish from Mildly Bullish on 02 Aug 2023 at Rs 84.90</t>
  </si>
  <si>
    <t>Info Edge</t>
  </si>
  <si>
    <t>The score changed from Buy to Strong Buy on 11th Aug 2023 at Rs 651.10</t>
  </si>
  <si>
    <t>Zydus Lifesci. turned Bullish from Mildly Bullish on 03 Aug 2023 at Rs 640.45</t>
  </si>
  <si>
    <t>Good quality company basis long term financial performance. Size - Ranks 6th out of 160 companies in Pharma sector</t>
  </si>
  <si>
    <t xml:space="preserve"> Zydus Family Trust</t>
  </si>
  <si>
    <t>pankaj R. Patel, Pritiben P. Patel And Sharvil P. Patel-trustees</t>
  </si>
  <si>
    <t>Llife Insurance Corporation Of India</t>
  </si>
  <si>
    <t>The score changed from Sell to Hold on 23rd Aug 2023 at Rs 1,589.60</t>
  </si>
  <si>
    <t>Zydus Wellness turned Bullish from Mildly Bullish on 30 Aug 2023 at Rs 1,621.85</t>
  </si>
  <si>
    <t xml:space="preserve"> Zydus Lifesciences Limited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</si>
</sst>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5" x14ac:knownFonts="1">
    <font>
      <sz val="11"/>
      <color rgb="FF000000"/>
      <name val="Calibri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4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sz val="10"/>
      <color theme="0"/>
      <name val="Calibri"/>
      <family val="2"/>
    </font>
    <font>
      <b/>
      <sz val="16"/>
      <color theme="0"/>
      <name val="Calibri"/>
      <family val="2"/>
    </font>
    <font>
      <sz val="11"/>
      <color theme="0"/>
      <name val="Calibri"/>
      <family val="2"/>
    </font>
    <font>
      <sz val="12"/>
      <color theme="0"/>
      <name val="Calibri"/>
      <family val="2"/>
    </font>
    <font>
      <b/>
      <sz val="12"/>
      <color rgb="FF000000"/>
      <name val="Calibri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</font>
    <font>
      <sz val="11"/>
      <color theme="5" tint="-0.249977111117893"/>
      <name val="Calibri"/>
      <family val="2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2F0D9"/>
        <b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CC"/>
      </patternFill>
    </fill>
  </fills>
  <borders count="5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 style="thin">
        <color rgb="FF999999"/>
      </left>
      <right/>
      <top style="medium">
        <color theme="1"/>
      </top>
      <bottom/>
      <diagonal/>
    </border>
    <border>
      <left style="thin">
        <color indexed="65"/>
      </left>
      <right/>
      <top style="medium">
        <color theme="1"/>
      </top>
      <bottom/>
      <diagonal/>
    </border>
    <border>
      <left style="thin">
        <color indexed="65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thin">
        <color rgb="FF999999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thin">
        <color rgb="FF999999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medium">
        <color auto="1"/>
      </right>
      <top/>
      <bottom/>
      <diagonal/>
    </border>
    <border>
      <left style="thin">
        <color rgb="FF999999"/>
      </left>
      <right style="medium">
        <color auto="1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medium">
        <color auto="1"/>
      </right>
      <top style="thin">
        <color rgb="FF999999"/>
      </top>
      <bottom/>
      <diagonal/>
    </border>
    <border>
      <left style="thin">
        <color rgb="FF999999"/>
      </left>
      <right style="medium">
        <color auto="1"/>
      </right>
      <top style="thin">
        <color indexed="65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/>
    <xf numFmtId="9" fontId="14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wrapText="1"/>
    </xf>
    <xf numFmtId="0" fontId="0" fillId="0" borderId="2" xfId="0" applyBorder="1"/>
    <xf numFmtId="0" fontId="3" fillId="3" borderId="1" xfId="0" applyFont="1" applyFill="1" applyBorder="1" applyAlignment="1">
      <alignment horizontal="center"/>
    </xf>
    <xf numFmtId="0" fontId="2" fillId="0" borderId="2" xfId="0" applyFont="1" applyBorder="1"/>
    <xf numFmtId="0" fontId="0" fillId="0" borderId="4" xfId="0" applyBorder="1"/>
    <xf numFmtId="0" fontId="0" fillId="0" borderId="3" xfId="0" applyBorder="1"/>
    <xf numFmtId="2" fontId="0" fillId="0" borderId="0" xfId="0" applyNumberFormat="1"/>
    <xf numFmtId="2" fontId="3" fillId="3" borderId="1" xfId="0" applyNumberFormat="1" applyFont="1" applyFill="1" applyBorder="1" applyAlignment="1">
      <alignment horizontal="center"/>
    </xf>
    <xf numFmtId="2" fontId="0" fillId="0" borderId="2" xfId="0" applyNumberFormat="1" applyBorder="1"/>
    <xf numFmtId="164" fontId="3" fillId="3" borderId="1" xfId="0" applyNumberFormat="1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9" xfId="0" pivotButton="1" applyBorder="1"/>
    <xf numFmtId="0" fontId="0" fillId="0" borderId="10" xfId="0" pivotButton="1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left"/>
    </xf>
    <xf numFmtId="0" fontId="1" fillId="0" borderId="14" xfId="0" applyFont="1" applyBorder="1" applyAlignment="1">
      <alignment horizontal="left"/>
    </xf>
    <xf numFmtId="0" fontId="3" fillId="3" borderId="0" xfId="0" applyFont="1" applyFill="1"/>
    <xf numFmtId="0" fontId="2" fillId="0" borderId="0" xfId="0" applyFont="1"/>
    <xf numFmtId="0" fontId="0" fillId="0" borderId="7" xfId="0" applyBorder="1"/>
    <xf numFmtId="0" fontId="0" fillId="0" borderId="16" xfId="0" applyBorder="1"/>
    <xf numFmtId="0" fontId="0" fillId="0" borderId="17" xfId="0" applyBorder="1"/>
    <xf numFmtId="0" fontId="4" fillId="3" borderId="16" xfId="0" applyFont="1" applyFill="1" applyBorder="1" applyAlignment="1">
      <alignment horizontal="center"/>
    </xf>
    <xf numFmtId="0" fontId="5" fillId="3" borderId="1" xfId="0" applyFont="1" applyFill="1" applyBorder="1"/>
    <xf numFmtId="0" fontId="4" fillId="3" borderId="1" xfId="0" applyFont="1" applyFill="1" applyBorder="1"/>
    <xf numFmtId="0" fontId="3" fillId="3" borderId="21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3" borderId="14" xfId="0" applyFont="1" applyFill="1" applyBorder="1"/>
    <xf numFmtId="0" fontId="3" fillId="3" borderId="8" xfId="0" applyFont="1" applyFill="1" applyBorder="1"/>
    <xf numFmtId="0" fontId="0" fillId="4" borderId="0" xfId="0" applyFill="1" applyAlignment="1">
      <alignment wrapText="1"/>
    </xf>
    <xf numFmtId="0" fontId="0" fillId="4" borderId="0" xfId="0" applyFill="1"/>
    <xf numFmtId="0" fontId="0" fillId="5" borderId="0" xfId="0" applyFill="1"/>
    <xf numFmtId="0" fontId="0" fillId="2" borderId="26" xfId="0" applyFill="1" applyBorder="1"/>
    <xf numFmtId="0" fontId="1" fillId="2" borderId="26" xfId="0" applyFont="1" applyFill="1" applyBorder="1"/>
    <xf numFmtId="0" fontId="8" fillId="3" borderId="25" xfId="0" applyFont="1" applyFill="1" applyBorder="1" applyAlignment="1">
      <alignment wrapText="1"/>
    </xf>
    <xf numFmtId="0" fontId="0" fillId="0" borderId="30" xfId="0" applyBorder="1"/>
    <xf numFmtId="0" fontId="0" fillId="0" borderId="30" xfId="0" applyBorder="1" applyAlignment="1">
      <alignment wrapText="1"/>
    </xf>
    <xf numFmtId="2" fontId="0" fillId="0" borderId="30" xfId="0" applyNumberFormat="1" applyBorder="1"/>
    <xf numFmtId="10" fontId="0" fillId="0" borderId="30" xfId="0" applyNumberFormat="1" applyBorder="1"/>
    <xf numFmtId="9" fontId="0" fillId="0" borderId="30" xfId="0" applyNumberFormat="1" applyBorder="1"/>
    <xf numFmtId="1" fontId="0" fillId="0" borderId="30" xfId="0" applyNumberFormat="1" applyBorder="1"/>
    <xf numFmtId="3" fontId="0" fillId="0" borderId="30" xfId="0" applyNumberFormat="1" applyBorder="1"/>
    <xf numFmtId="0" fontId="4" fillId="3" borderId="30" xfId="0" applyFont="1" applyFill="1" applyBorder="1" applyAlignment="1">
      <alignment horizontal="center"/>
    </xf>
    <xf numFmtId="0" fontId="2" fillId="0" borderId="30" xfId="0" applyFont="1" applyBorder="1"/>
    <xf numFmtId="4" fontId="0" fillId="0" borderId="30" xfId="0" applyNumberFormat="1" applyBorder="1"/>
    <xf numFmtId="0" fontId="9" fillId="3" borderId="25" xfId="0" applyFont="1" applyFill="1" applyBorder="1" applyAlignment="1">
      <alignment wrapText="1"/>
    </xf>
    <xf numFmtId="0" fontId="9" fillId="3" borderId="25" xfId="0" applyFont="1" applyFill="1" applyBorder="1"/>
    <xf numFmtId="0" fontId="9" fillId="3" borderId="25" xfId="0" applyFont="1" applyFill="1" applyBorder="1" applyAlignment="1">
      <alignment horizontal="center"/>
    </xf>
    <xf numFmtId="0" fontId="9" fillId="3" borderId="25" xfId="0" applyFont="1" applyFill="1" applyBorder="1" applyAlignment="1">
      <alignment horizontal="center" wrapText="1"/>
    </xf>
    <xf numFmtId="0" fontId="5" fillId="3" borderId="25" xfId="0" applyFont="1" applyFill="1" applyBorder="1" applyAlignment="1">
      <alignment horizontal="center"/>
    </xf>
    <xf numFmtId="0" fontId="5" fillId="3" borderId="30" xfId="0" applyFont="1" applyFill="1" applyBorder="1" applyAlignment="1">
      <alignment horizontal="center"/>
    </xf>
    <xf numFmtId="0" fontId="1" fillId="2" borderId="31" xfId="0" applyFont="1" applyFill="1" applyBorder="1"/>
    <xf numFmtId="0" fontId="0" fillId="2" borderId="31" xfId="0" applyFill="1" applyBorder="1"/>
    <xf numFmtId="0" fontId="11" fillId="0" borderId="0" xfId="1"/>
    <xf numFmtId="0" fontId="11" fillId="0" borderId="30" xfId="1" applyBorder="1"/>
    <xf numFmtId="0" fontId="11" fillId="0" borderId="30" xfId="1" applyBorder="1" applyAlignment="1"/>
    <xf numFmtId="0" fontId="0" fillId="0" borderId="37" xfId="0" applyBorder="1"/>
    <xf numFmtId="0" fontId="8" fillId="3" borderId="37" xfId="0" applyFont="1" applyFill="1" applyBorder="1" applyAlignment="1">
      <alignment horizontal="center"/>
    </xf>
    <xf numFmtId="0" fontId="4" fillId="3" borderId="37" xfId="0" applyFont="1" applyFill="1" applyBorder="1" applyAlignment="1">
      <alignment horizontal="center"/>
    </xf>
    <xf numFmtId="0" fontId="2" fillId="0" borderId="16" xfId="0" applyFont="1" applyBorder="1"/>
    <xf numFmtId="0" fontId="0" fillId="0" borderId="38" xfId="0" applyBorder="1"/>
    <xf numFmtId="0" fontId="2" fillId="0" borderId="38" xfId="0" applyFont="1" applyBorder="1"/>
    <xf numFmtId="0" fontId="12" fillId="0" borderId="2" xfId="0" applyFont="1" applyBorder="1"/>
    <xf numFmtId="0" fontId="13" fillId="0" borderId="0" xfId="0" applyFont="1"/>
    <xf numFmtId="0" fontId="9" fillId="3" borderId="40" xfId="0" applyFont="1" applyFill="1" applyBorder="1" applyAlignment="1">
      <alignment horizontal="center"/>
    </xf>
    <xf numFmtId="0" fontId="0" fillId="0" borderId="39" xfId="0" applyBorder="1"/>
    <xf numFmtId="2" fontId="2" fillId="0" borderId="30" xfId="0" applyNumberFormat="1" applyFont="1" applyBorder="1"/>
    <xf numFmtId="2" fontId="0" fillId="0" borderId="30" xfId="2" applyNumberFormat="1" applyFont="1" applyBorder="1"/>
    <xf numFmtId="0" fontId="9" fillId="3" borderId="30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5" fillId="3" borderId="0" xfId="0" applyFont="1" applyFill="1"/>
    <xf numFmtId="0" fontId="0" fillId="0" borderId="41" xfId="0" applyBorder="1" applyAlignment="1">
      <alignment horizontal="left"/>
    </xf>
    <xf numFmtId="0" fontId="0" fillId="0" borderId="43" xfId="0" applyBorder="1" applyAlignment="1">
      <alignment horizontal="left"/>
    </xf>
    <xf numFmtId="0" fontId="0" fillId="0" borderId="15" xfId="0" applyBorder="1"/>
    <xf numFmtId="0" fontId="1" fillId="0" borderId="8" xfId="0" applyFont="1" applyBorder="1"/>
    <xf numFmtId="0" fontId="0" fillId="0" borderId="7" xfId="0" pivotButton="1" applyBorder="1"/>
    <xf numFmtId="0" fontId="0" fillId="0" borderId="42" xfId="0" applyBorder="1" applyAlignment="1">
      <alignment horizontal="left"/>
    </xf>
    <xf numFmtId="0" fontId="0" fillId="0" borderId="41" xfId="0" applyBorder="1"/>
    <xf numFmtId="0" fontId="0" fillId="0" borderId="44" xfId="0" applyBorder="1"/>
    <xf numFmtId="0" fontId="4" fillId="3" borderId="41" xfId="0" applyFont="1" applyFill="1" applyBorder="1"/>
    <xf numFmtId="0" fontId="4" fillId="3" borderId="45" xfId="0" applyFont="1" applyFill="1" applyBorder="1"/>
    <xf numFmtId="0" fontId="13" fillId="0" borderId="46" xfId="0" applyFont="1" applyBorder="1" applyAlignment="1">
      <alignment horizontal="left"/>
    </xf>
    <xf numFmtId="0" fontId="13" fillId="0" borderId="47" xfId="0" applyFont="1" applyBorder="1" applyAlignment="1">
      <alignment horizontal="left"/>
    </xf>
    <xf numFmtId="0" fontId="0" fillId="0" borderId="48" xfId="0" applyBorder="1"/>
    <xf numFmtId="0" fontId="0" fillId="0" borderId="49" xfId="0" applyBorder="1"/>
    <xf numFmtId="0" fontId="5" fillId="3" borderId="50" xfId="0" applyFont="1" applyFill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49" xfId="0" applyBorder="1" applyAlignment="1">
      <alignment horizontal="center"/>
    </xf>
    <xf numFmtId="0" fontId="6" fillId="3" borderId="19" xfId="0" applyFont="1" applyFill="1" applyBorder="1"/>
    <xf numFmtId="0" fontId="6" fillId="3" borderId="52" xfId="0" applyFont="1" applyFill="1" applyBorder="1"/>
    <xf numFmtId="0" fontId="13" fillId="0" borderId="48" xfId="0" applyFont="1" applyBorder="1"/>
    <xf numFmtId="3" fontId="0" fillId="0" borderId="0" xfId="0" applyNumberFormat="1"/>
    <xf numFmtId="4" fontId="0" fillId="0" borderId="0" xfId="0" applyNumberFormat="1"/>
    <xf numFmtId="0" fontId="2" fillId="0" borderId="30" xfId="0" applyFont="1" applyBorder="1" applyAlignment="1">
      <alignment wrapText="1"/>
    </xf>
    <xf numFmtId="0" fontId="5" fillId="3" borderId="18" xfId="0" applyFont="1" applyFill="1" applyBorder="1" applyAlignment="1">
      <alignment horizontal="center"/>
    </xf>
    <xf numFmtId="0" fontId="5" fillId="3" borderId="19" xfId="0" applyFont="1" applyFill="1" applyBorder="1" applyAlignment="1">
      <alignment horizontal="center"/>
    </xf>
    <xf numFmtId="0" fontId="7" fillId="3" borderId="20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34" xfId="0" applyFont="1" applyFill="1" applyBorder="1" applyAlignment="1">
      <alignment horizontal="center"/>
    </xf>
    <xf numFmtId="0" fontId="1" fillId="2" borderId="35" xfId="0" applyFont="1" applyFill="1" applyBorder="1" applyAlignment="1">
      <alignment horizontal="center"/>
    </xf>
    <xf numFmtId="0" fontId="1" fillId="2" borderId="36" xfId="0" applyFont="1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33" xfId="0" applyFill="1" applyBorder="1" applyAlignment="1">
      <alignment horizontal="center"/>
    </xf>
    <xf numFmtId="0" fontId="10" fillId="2" borderId="34" xfId="0" applyFont="1" applyFill="1" applyBorder="1" applyAlignment="1">
      <alignment horizontal="center"/>
    </xf>
    <xf numFmtId="0" fontId="10" fillId="2" borderId="35" xfId="0" applyFont="1" applyFill="1" applyBorder="1" applyAlignment="1">
      <alignment horizontal="center"/>
    </xf>
    <xf numFmtId="0" fontId="10" fillId="2" borderId="36" xfId="0" applyFont="1" applyFill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1" fillId="2" borderId="24" xfId="0" applyFont="1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35">
    <dxf>
      <font>
        <sz val="12"/>
      </font>
    </dxf>
    <dxf>
      <font>
        <b/>
      </font>
    </dxf>
    <dxf>
      <alignment horizontal="center"/>
    </dxf>
    <dxf>
      <font>
        <color theme="0"/>
      </font>
    </dxf>
    <dxf>
      <fill>
        <patternFill patternType="solid">
          <bgColor theme="3" tint="0.39997558519241921"/>
        </patternFill>
      </fill>
    </dxf>
    <dxf>
      <border>
        <vertical style="medium">
          <color theme="1"/>
        </vertical>
      </border>
    </dxf>
    <dxf>
      <border>
        <left style="medium">
          <color theme="1"/>
        </left>
      </border>
    </dxf>
    <dxf>
      <border>
        <left style="medium">
          <color theme="1"/>
        </left>
      </border>
    </dxf>
    <dxf>
      <border>
        <top style="medium">
          <color theme="1"/>
        </top>
      </border>
    </dxf>
    <dxf>
      <border>
        <top style="medium">
          <color theme="1"/>
        </top>
      </border>
    </dxf>
    <dxf>
      <font>
        <b/>
        <family val="2"/>
      </font>
    </dxf>
    <dxf>
      <font>
        <b/>
        <family val="2"/>
      </font>
    </dxf>
    <dxf>
      <border>
        <top style="medium">
          <color theme="1"/>
        </top>
        <bottom style="medium">
          <color theme="1"/>
        </bottom>
        <vertical style="medium">
          <color theme="1"/>
        </vertical>
      </border>
    </dxf>
    <dxf>
      <border>
        <top style="medium">
          <color theme="1"/>
        </top>
        <bottom style="medium">
          <color theme="1"/>
        </bottom>
        <vertical style="medium">
          <color theme="1"/>
        </vertical>
      </border>
    </dxf>
    <dxf>
      <border>
        <left style="medium">
          <color theme="1"/>
        </left>
        <right style="medium">
          <color theme="1"/>
        </right>
        <top style="medium">
          <color theme="1"/>
        </top>
        <bottom style="medium">
          <color theme="1"/>
        </bottom>
      </border>
    </dxf>
    <dxf>
      <font>
        <sz val="14"/>
      </font>
    </dxf>
    <dxf>
      <font>
        <sz val="14"/>
      </font>
    </dxf>
    <dxf>
      <font>
        <color theme="0"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fill>
        <patternFill patternType="solid">
          <bgColor theme="3" tint="0.39997558519241921"/>
        </patternFill>
      </fill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font>
        <sz val="12"/>
      </font>
    </dxf>
    <dxf>
      <font>
        <b/>
      </font>
    </dxf>
    <dxf>
      <font>
        <color theme="0"/>
      </font>
    </dxf>
    <dxf>
      <fill>
        <patternFill patternType="solid">
          <bgColor theme="3" tint="0.39997558519241921"/>
        </patternFill>
      </fill>
    </dxf>
    <dxf>
      <alignment horizontal="center"/>
    </dxf>
    <dxf>
      <alignment horizontal="center"/>
    </dxf>
    <dxf>
      <font>
        <b/>
        <color theme="0"/>
        <family val="2"/>
      </font>
      <fill>
        <patternFill patternType="solid">
          <fgColor indexed="64"/>
          <bgColor theme="3" tint="0.39997558519241921"/>
        </patternFill>
      </fill>
    </dxf>
    <dxf>
      <font>
        <b/>
        <i val="0"/>
        <color theme="6" tint="-0.24994659260841701"/>
      </font>
      <fill>
        <gradientFill degree="90">
          <stop position="0">
            <color theme="0"/>
          </stop>
          <stop position="1">
            <color theme="6" tint="0.40000610370189521"/>
          </stop>
        </gradientFill>
      </fill>
    </dxf>
    <dxf>
      <font>
        <b/>
        <i val="0"/>
        <color theme="6" tint="-0.24994659260841701"/>
      </font>
      <fill>
        <gradientFill degree="90">
          <stop position="0">
            <color theme="0"/>
          </stop>
          <stop position="1">
            <color theme="6" tint="0.40000610370189521"/>
          </stop>
        </gradient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31750</xdr:rowOff>
    </xdr:from>
    <xdr:to>
      <xdr:col>0</xdr:col>
      <xdr:colOff>2133600</xdr:colOff>
      <xdr:row>2</xdr:row>
      <xdr:rowOff>349250</xdr:rowOff>
    </xdr:to>
    <xdr:sp macro="[0]!clear_rupeevest_sheet_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7DCE1F2-E0B6-4E9D-857D-5A699D2506ED}"/>
            </a:ext>
          </a:extLst>
        </xdr:cNvPr>
        <xdr:cNvSpPr/>
      </xdr:nvSpPr>
      <xdr:spPr>
        <a:xfrm>
          <a:off x="266700" y="31750"/>
          <a:ext cx="1866900" cy="6858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STEP</a:t>
          </a:r>
          <a:r>
            <a:rPr lang="en-IN" sz="1100" baseline="0"/>
            <a:t> 1 </a:t>
          </a:r>
          <a:r>
            <a:rPr lang="en-IN" sz="1100"/>
            <a:t>CLEAR</a:t>
          </a:r>
          <a:r>
            <a:rPr lang="en-IN" sz="1100" baseline="0"/>
            <a:t> RUPEEVEST SHEET DATA</a:t>
          </a:r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222250</xdr:colOff>
      <xdr:row>0</xdr:row>
      <xdr:rowOff>69850</xdr:rowOff>
    </xdr:from>
    <xdr:to>
      <xdr:col>0</xdr:col>
      <xdr:colOff>1511300</xdr:colOff>
      <xdr:row>1</xdr:row>
      <xdr:rowOff>361950</xdr:rowOff>
    </xdr:to>
    <xdr:sp macro="[0]!download_mutual_fund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523F820-9D47-E098-36EF-A6EEB8EE0B5A}"/>
            </a:ext>
          </a:extLst>
        </xdr:cNvPr>
        <xdr:cNvSpPr/>
      </xdr:nvSpPr>
      <xdr:spPr>
        <a:xfrm>
          <a:off x="222250" y="69850"/>
          <a:ext cx="1289050" cy="552450"/>
        </a:xfrm>
        <a:prstGeom prst="round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2 Download Mmutual</a:t>
          </a:r>
          <a:r>
            <a:rPr lang="en-IN" sz="1100" b="1" baseline="0"/>
            <a:t> F</a:t>
          </a:r>
          <a:r>
            <a:rPr lang="en-IN" sz="1100" b="1"/>
            <a:t>und</a:t>
          </a:r>
        </a:p>
      </xdr:txBody>
    </xdr:sp>
    <xdr:clientData/>
  </xdr:twoCellAnchor>
  <xdr:twoCellAnchor>
    <xdr:from>
      <xdr:col>0</xdr:col>
      <xdr:colOff>1689100</xdr:colOff>
      <xdr:row>0</xdr:row>
      <xdr:rowOff>50800</xdr:rowOff>
    </xdr:from>
    <xdr:to>
      <xdr:col>0</xdr:col>
      <xdr:colOff>3041650</xdr:colOff>
      <xdr:row>1</xdr:row>
      <xdr:rowOff>349250</xdr:rowOff>
    </xdr:to>
    <xdr:sp macro="[0]!analyze_mutual_fu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274A833-BDD0-4015-B5E3-6626371013B2}"/>
            </a:ext>
          </a:extLst>
        </xdr:cNvPr>
        <xdr:cNvSpPr/>
      </xdr:nvSpPr>
      <xdr:spPr>
        <a:xfrm>
          <a:off x="1689100" y="50800"/>
          <a:ext cx="1352550" cy="558800"/>
        </a:xfrm>
        <a:prstGeom prst="round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3 Analyze Mutual</a:t>
          </a:r>
          <a:r>
            <a:rPr lang="en-IN" sz="1100" b="1" baseline="0"/>
            <a:t> </a:t>
          </a:r>
          <a:r>
            <a:rPr lang="en-IN" sz="1100" b="1"/>
            <a:t>Fund</a:t>
          </a:r>
        </a:p>
      </xdr:txBody>
    </xdr:sp>
    <xdr:clientData/>
  </xdr:twoCellAnchor>
  <xdr:twoCellAnchor>
    <xdr:from>
      <xdr:col>0</xdr:col>
      <xdr:colOff>3321050</xdr:colOff>
      <xdr:row>0</xdr:row>
      <xdr:rowOff>76200</xdr:rowOff>
    </xdr:from>
    <xdr:to>
      <xdr:col>1</xdr:col>
      <xdr:colOff>1358900</xdr:colOff>
      <xdr:row>1</xdr:row>
      <xdr:rowOff>330200</xdr:rowOff>
    </xdr:to>
    <xdr:sp macro="[0]!Refresh_Fund_Status_Shee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3CBE8B27-6B7A-4900-9CD9-8A2D37CA6E8D}"/>
            </a:ext>
          </a:extLst>
        </xdr:cNvPr>
        <xdr:cNvSpPr/>
      </xdr:nvSpPr>
      <xdr:spPr>
        <a:xfrm>
          <a:off x="3321050" y="76200"/>
          <a:ext cx="1371600" cy="514350"/>
        </a:xfrm>
        <a:prstGeom prst="roundRect">
          <a:avLst>
            <a:gd name="adj" fmla="val 0"/>
          </a:avLst>
        </a:prstGeom>
        <a:solidFill>
          <a:schemeClr val="bg1">
            <a:lumMod val="6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baseline="0"/>
            <a:t>STEP 4 REFRESH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2</xdr:row>
      <xdr:rowOff>241300</xdr:rowOff>
    </xdr:from>
    <xdr:to>
      <xdr:col>6</xdr:col>
      <xdr:colOff>1593850</xdr:colOff>
      <xdr:row>3</xdr:row>
      <xdr:rowOff>57150</xdr:rowOff>
    </xdr:to>
    <xdr:sp macro="[0]!arrange_stock_data_n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C634C81-B713-4D6D-B219-90003E13D2B2}"/>
            </a:ext>
          </a:extLst>
        </xdr:cNvPr>
        <xdr:cNvSpPr/>
      </xdr:nvSpPr>
      <xdr:spPr>
        <a:xfrm>
          <a:off x="11620500" y="615950"/>
          <a:ext cx="1289050" cy="495300"/>
        </a:xfrm>
        <a:prstGeom prst="roundRect">
          <a:avLst>
            <a:gd name="adj" fmla="val 0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baseline="0"/>
            <a:t>NSE DATA</a:t>
          </a:r>
        </a:p>
      </xdr:txBody>
    </xdr:sp>
    <xdr:clientData/>
  </xdr:twoCellAnchor>
  <xdr:twoCellAnchor>
    <xdr:from>
      <xdr:col>0</xdr:col>
      <xdr:colOff>704850</xdr:colOff>
      <xdr:row>0</xdr:row>
      <xdr:rowOff>57150</xdr:rowOff>
    </xdr:from>
    <xdr:to>
      <xdr:col>0</xdr:col>
      <xdr:colOff>2127250</xdr:colOff>
      <xdr:row>2</xdr:row>
      <xdr:rowOff>171450</xdr:rowOff>
    </xdr:to>
    <xdr:sp macro="[0]!copy_company_nam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87B428-B88A-4B89-8D39-0D5F1A9EC5AC}"/>
            </a:ext>
          </a:extLst>
        </xdr:cNvPr>
        <xdr:cNvSpPr/>
      </xdr:nvSpPr>
      <xdr:spPr>
        <a:xfrm>
          <a:off x="704850" y="57150"/>
          <a:ext cx="1422400" cy="488950"/>
        </a:xfrm>
        <a:prstGeom prst="roundRect">
          <a:avLst>
            <a:gd name="adj" fmla="val 0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baseline="0"/>
            <a:t>STEP 5 COPY COMPANY NAME </a:t>
          </a:r>
        </a:p>
      </xdr:txBody>
    </xdr:sp>
    <xdr:clientData/>
  </xdr:twoCellAnchor>
  <xdr:twoCellAnchor>
    <xdr:from>
      <xdr:col>2</xdr:col>
      <xdr:colOff>448734</xdr:colOff>
      <xdr:row>2</xdr:row>
      <xdr:rowOff>241300</xdr:rowOff>
    </xdr:from>
    <xdr:to>
      <xdr:col>2</xdr:col>
      <xdr:colOff>1737784</xdr:colOff>
      <xdr:row>3</xdr:row>
      <xdr:rowOff>114300</xdr:rowOff>
    </xdr:to>
    <xdr:sp macro="[0]!fetch_trend_mf_lyne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C7887A9-9CF7-4296-A07D-2E08199D15F3}"/>
            </a:ext>
          </a:extLst>
        </xdr:cNvPr>
        <xdr:cNvSpPr/>
      </xdr:nvSpPr>
      <xdr:spPr>
        <a:xfrm>
          <a:off x="5090584" y="615950"/>
          <a:ext cx="1289050" cy="5524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7 FETCH</a:t>
          </a:r>
          <a:r>
            <a:rPr lang="en-IN" sz="1100" b="1" baseline="0"/>
            <a:t> TRENDLYNE DATA</a:t>
          </a:r>
          <a:endParaRPr lang="en-IN" sz="1100" b="1"/>
        </a:p>
      </xdr:txBody>
    </xdr:sp>
    <xdr:clientData/>
  </xdr:twoCellAnchor>
  <xdr:twoCellAnchor>
    <xdr:from>
      <xdr:col>2</xdr:col>
      <xdr:colOff>2254250</xdr:colOff>
      <xdr:row>2</xdr:row>
      <xdr:rowOff>241300</xdr:rowOff>
    </xdr:from>
    <xdr:to>
      <xdr:col>3</xdr:col>
      <xdr:colOff>1276350</xdr:colOff>
      <xdr:row>3</xdr:row>
      <xdr:rowOff>114300</xdr:rowOff>
    </xdr:to>
    <xdr:sp macro="[0]!fetch_mojo_mf_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6A06E8DC-3579-4F89-A53F-32A69288E826}"/>
            </a:ext>
          </a:extLst>
        </xdr:cNvPr>
        <xdr:cNvSpPr/>
      </xdr:nvSpPr>
      <xdr:spPr>
        <a:xfrm>
          <a:off x="6896100" y="615950"/>
          <a:ext cx="1289050" cy="5524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8 FETCH</a:t>
          </a:r>
          <a:r>
            <a:rPr lang="en-IN" sz="1100" b="1" baseline="0"/>
            <a:t> MARKETS MOJO DATA</a:t>
          </a:r>
          <a:endParaRPr lang="en-IN" sz="1100" b="1"/>
        </a:p>
      </xdr:txBody>
    </xdr:sp>
    <xdr:clientData/>
  </xdr:twoCellAnchor>
  <xdr:twoCellAnchor>
    <xdr:from>
      <xdr:col>2</xdr:col>
      <xdr:colOff>967317</xdr:colOff>
      <xdr:row>0</xdr:row>
      <xdr:rowOff>19050</xdr:rowOff>
    </xdr:from>
    <xdr:to>
      <xdr:col>3</xdr:col>
      <xdr:colOff>599017</xdr:colOff>
      <xdr:row>2</xdr:row>
      <xdr:rowOff>177800</xdr:rowOff>
    </xdr:to>
    <xdr:sp macro="[0]!clear_mutual_analysis_sheet_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E9E44734-E1D9-4D99-8713-F9513EDCB642}"/>
            </a:ext>
          </a:extLst>
        </xdr:cNvPr>
        <xdr:cNvSpPr/>
      </xdr:nvSpPr>
      <xdr:spPr>
        <a:xfrm>
          <a:off x="5609167" y="19050"/>
          <a:ext cx="1898650" cy="5334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STEP 6</a:t>
          </a:r>
          <a:r>
            <a:rPr lang="en-IN" sz="1100" baseline="0"/>
            <a:t> </a:t>
          </a:r>
          <a:r>
            <a:rPr lang="en-IN" sz="1100"/>
            <a:t>CLEAR</a:t>
          </a:r>
          <a:r>
            <a:rPr lang="en-IN" sz="1100" baseline="0"/>
            <a:t> MF ANALYSIS SHEET DATA</a:t>
          </a:r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0</xdr:row>
      <xdr:rowOff>63500</xdr:rowOff>
    </xdr:from>
    <xdr:to>
      <xdr:col>1</xdr:col>
      <xdr:colOff>222250</xdr:colOff>
      <xdr:row>0</xdr:row>
      <xdr:rowOff>571500</xdr:rowOff>
    </xdr:to>
    <xdr:sp macro="[0]!large_cap_filter_m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E46758-499C-4509-BAB9-6CD21F76AE0B}"/>
            </a:ext>
          </a:extLst>
        </xdr:cNvPr>
        <xdr:cNvSpPr/>
      </xdr:nvSpPr>
      <xdr:spPr>
        <a:xfrm>
          <a:off x="438150" y="63500"/>
          <a:ext cx="1358900" cy="508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9 FILTER</a:t>
          </a:r>
          <a:r>
            <a:rPr lang="en-IN" sz="1100" b="1" baseline="0"/>
            <a:t> LARGE MF DATA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0</xdr:row>
      <xdr:rowOff>31750</xdr:rowOff>
    </xdr:from>
    <xdr:to>
      <xdr:col>1</xdr:col>
      <xdr:colOff>228600</xdr:colOff>
      <xdr:row>0</xdr:row>
      <xdr:rowOff>539750</xdr:rowOff>
    </xdr:to>
    <xdr:sp macro="[0]!mid_cap_filter_m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FF477E9-BD16-492B-B19E-96581479D6B4}"/>
            </a:ext>
          </a:extLst>
        </xdr:cNvPr>
        <xdr:cNvSpPr/>
      </xdr:nvSpPr>
      <xdr:spPr>
        <a:xfrm>
          <a:off x="444500" y="31750"/>
          <a:ext cx="1358900" cy="508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10 FILTER</a:t>
          </a:r>
          <a:r>
            <a:rPr lang="en-IN" sz="1100" b="1" baseline="0"/>
            <a:t> MID MF DATA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0</xdr:row>
      <xdr:rowOff>31750</xdr:rowOff>
    </xdr:from>
    <xdr:to>
      <xdr:col>1</xdr:col>
      <xdr:colOff>228600</xdr:colOff>
      <xdr:row>0</xdr:row>
      <xdr:rowOff>539750</xdr:rowOff>
    </xdr:to>
    <xdr:sp macro="[0]!small_cap_filter_mf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30D6401-3D57-4CF7-9807-4525CDAAB7E2}"/>
            </a:ext>
          </a:extLst>
        </xdr:cNvPr>
        <xdr:cNvSpPr/>
      </xdr:nvSpPr>
      <xdr:spPr>
        <a:xfrm>
          <a:off x="444500" y="31750"/>
          <a:ext cx="1358900" cy="508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STEP 11 FILTER</a:t>
          </a:r>
          <a:r>
            <a:rPr lang="en-IN" sz="1100" b="1" baseline="0"/>
            <a:t> SMALL MF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0</xdr:row>
      <xdr:rowOff>57150</xdr:rowOff>
    </xdr:from>
    <xdr:to>
      <xdr:col>0</xdr:col>
      <xdr:colOff>1403350</xdr:colOff>
      <xdr:row>2</xdr:row>
      <xdr:rowOff>76200</xdr:rowOff>
    </xdr:to>
    <xdr:sp macro="[0]!Refresh_Fund_Status_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D44A912-D1FC-4B5B-B672-51DB5C8DCAE3}"/>
            </a:ext>
          </a:extLst>
        </xdr:cNvPr>
        <xdr:cNvSpPr/>
      </xdr:nvSpPr>
      <xdr:spPr>
        <a:xfrm>
          <a:off x="114300" y="57150"/>
          <a:ext cx="1289050" cy="387350"/>
        </a:xfrm>
        <a:prstGeom prst="roundRect">
          <a:avLst>
            <a:gd name="adj" fmla="val 0"/>
          </a:avLst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aseline="0"/>
            <a:t>REFRESH SHEET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114300</xdr:rowOff>
    </xdr:from>
    <xdr:to>
      <xdr:col>7</xdr:col>
      <xdr:colOff>1231900</xdr:colOff>
      <xdr:row>3</xdr:row>
      <xdr:rowOff>63500</xdr:rowOff>
    </xdr:to>
    <xdr:sp macro="[0]!fetch_trend_lyne_portfolio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8C4279D-0777-4FBA-AC78-A86EE981C74F}"/>
            </a:ext>
          </a:extLst>
        </xdr:cNvPr>
        <xdr:cNvSpPr/>
      </xdr:nvSpPr>
      <xdr:spPr>
        <a:xfrm>
          <a:off x="4991100" y="114300"/>
          <a:ext cx="1422400" cy="5524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FETCH</a:t>
          </a:r>
          <a:r>
            <a:rPr lang="en-IN" sz="1100" b="1" baseline="0"/>
            <a:t> PORTFOLIO TRENDLYNE DATA</a:t>
          </a:r>
          <a:endParaRPr lang="en-IN" sz="1100" b="1"/>
        </a:p>
      </xdr:txBody>
    </xdr:sp>
    <xdr:clientData/>
  </xdr:twoCellAnchor>
  <xdr:twoCellAnchor>
    <xdr:from>
      <xdr:col>3</xdr:col>
      <xdr:colOff>508000</xdr:colOff>
      <xdr:row>0</xdr:row>
      <xdr:rowOff>95250</xdr:rowOff>
    </xdr:from>
    <xdr:to>
      <xdr:col>6</xdr:col>
      <xdr:colOff>215900</xdr:colOff>
      <xdr:row>3</xdr:row>
      <xdr:rowOff>44450</xdr:rowOff>
    </xdr:to>
    <xdr:sp macro="[0]!fetch_mojo_portfolio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F5F067D-B71E-4DF1-8AD9-1C7D1A2EF4F9}"/>
            </a:ext>
          </a:extLst>
        </xdr:cNvPr>
        <xdr:cNvSpPr/>
      </xdr:nvSpPr>
      <xdr:spPr>
        <a:xfrm>
          <a:off x="3251200" y="95250"/>
          <a:ext cx="1536700" cy="55245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 baseline="0"/>
            <a:t>FETCH PORTFOLIO MOJO DATA</a:t>
          </a:r>
          <a:endParaRPr lang="en-IN" sz="1100" b="1"/>
        </a:p>
      </xdr:txBody>
    </xdr:sp>
    <xdr:clientData/>
  </xdr:twoCellAnchor>
  <xdr:twoCellAnchor>
    <xdr:from>
      <xdr:col>1</xdr:col>
      <xdr:colOff>114300</xdr:colOff>
      <xdr:row>0</xdr:row>
      <xdr:rowOff>95250</xdr:rowOff>
    </xdr:from>
    <xdr:to>
      <xdr:col>3</xdr:col>
      <xdr:colOff>438150</xdr:colOff>
      <xdr:row>3</xdr:row>
      <xdr:rowOff>25400</xdr:rowOff>
    </xdr:to>
    <xdr:sp macro="[0]!clear_portfolio_analysis_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CD291A-2DFC-4FE5-9FCA-4EC71F6D104C}"/>
            </a:ext>
          </a:extLst>
        </xdr:cNvPr>
        <xdr:cNvSpPr/>
      </xdr:nvSpPr>
      <xdr:spPr>
        <a:xfrm>
          <a:off x="1638300" y="95250"/>
          <a:ext cx="1543050" cy="533400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CLEAR</a:t>
          </a:r>
          <a:r>
            <a:rPr lang="en-IN" sz="1100" baseline="0"/>
            <a:t> PORTFOLIO ANALYSIS SHEET DATA</a:t>
          </a:r>
          <a:endParaRPr lang="en-IN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0</xdr:row>
      <xdr:rowOff>31750</xdr:rowOff>
    </xdr:from>
    <xdr:to>
      <xdr:col>1</xdr:col>
      <xdr:colOff>228600</xdr:colOff>
      <xdr:row>0</xdr:row>
      <xdr:rowOff>539750</xdr:rowOff>
    </xdr:to>
    <xdr:sp macro="[0]!large_cap_filter_portfol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7A730A2-CAE2-418C-AFAC-6948C8903938}"/>
            </a:ext>
          </a:extLst>
        </xdr:cNvPr>
        <xdr:cNvSpPr/>
      </xdr:nvSpPr>
      <xdr:spPr>
        <a:xfrm>
          <a:off x="444500" y="31750"/>
          <a:ext cx="1358900" cy="508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FILTER</a:t>
          </a:r>
          <a:r>
            <a:rPr lang="en-IN" sz="1100" b="1" baseline="0"/>
            <a:t> LARGE PORTFOLIO DATA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0</xdr:row>
      <xdr:rowOff>31750</xdr:rowOff>
    </xdr:from>
    <xdr:to>
      <xdr:col>1</xdr:col>
      <xdr:colOff>228600</xdr:colOff>
      <xdr:row>0</xdr:row>
      <xdr:rowOff>539750</xdr:rowOff>
    </xdr:to>
    <xdr:sp macro="[0]!mid_cap_filter_portfol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CE1EFEE-3FBB-482F-9A96-42855581998F}"/>
            </a:ext>
          </a:extLst>
        </xdr:cNvPr>
        <xdr:cNvSpPr/>
      </xdr:nvSpPr>
      <xdr:spPr>
        <a:xfrm>
          <a:off x="444500" y="31750"/>
          <a:ext cx="1358900" cy="508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FILTER</a:t>
          </a:r>
          <a:r>
            <a:rPr lang="en-IN" sz="1100" b="1" baseline="0"/>
            <a:t> MID PORTFOLIO DATA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444500</xdr:colOff>
      <xdr:row>0</xdr:row>
      <xdr:rowOff>31750</xdr:rowOff>
    </xdr:from>
    <xdr:to>
      <xdr:col>1</xdr:col>
      <xdr:colOff>228600</xdr:colOff>
      <xdr:row>0</xdr:row>
      <xdr:rowOff>539750</xdr:rowOff>
    </xdr:to>
    <xdr:sp macro="[0]!small_cap_filter_portfolio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2443604-56FF-46E7-8DFC-663FB4D02D1A}"/>
            </a:ext>
          </a:extLst>
        </xdr:cNvPr>
        <xdr:cNvSpPr/>
      </xdr:nvSpPr>
      <xdr:spPr>
        <a:xfrm>
          <a:off x="444500" y="31750"/>
          <a:ext cx="1358900" cy="508000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 b="1"/>
            <a:t>FILTER</a:t>
          </a:r>
          <a:r>
            <a:rPr lang="en-IN" sz="1100" b="1" baseline="0"/>
            <a:t> SMALL PORTFOLIO DATA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bhishek" refreshedDate="45164.03519224537" createdVersion="8" refreshedVersion="8" minRefreshableVersion="3" recordCount="1134" xr:uid="{EC11B76F-05F4-47EC-8981-22505F00CB82}">
  <cacheSource type="worksheet">
    <worksheetSource ref="A4:I1048576" sheet="rupeevest_fetch_data"/>
  </cacheSource>
  <cacheFields count="9">
    <cacheField name="Company" numFmtId="0">
      <sharedItems containsBlank="1" count="799">
        <s v="Narayana Hrudayalaya Limited"/>
        <s v="Cholamandalam Financial Holdings Limited"/>
        <s v="Brigade Enterprises Limited"/>
        <s v="Birlasoft Limited"/>
        <s v="Galaxy Surfactants Limited"/>
        <s v="Krishna Institute Of Medical Sciences Limited"/>
        <s v="CCL Products (India) Limited"/>
        <s v="Blue Star Limited"/>
        <s v="Can Fin Homes Limited"/>
        <s v="Fine Organic Industries Limited"/>
        <s v="Mahindra CIE Automotive Limited"/>
        <s v="JK Lakshmi Cement Limited"/>
        <s v="Ahluwalia Contracts (India) Limited"/>
        <s v="RHI Magnesita India Limited"/>
        <s v="Grindwell Norton Limited"/>
        <s v="Chemplast Sanmar Limited"/>
        <s v="Vesuvius India Limited"/>
        <s v="Tata Motors Limited"/>
        <s v="City Union Bank Limited"/>
        <s v="JB Chemicals &amp; Pharmaceuticals Limited"/>
        <s v="MTAR Technologies Limited"/>
        <s v="Craftsman Automation Limited"/>
        <s v="Persistent Systems Limited"/>
        <s v="CreditAccess Grameen Limited"/>
        <s v="Rolex Rings Limited"/>
        <s v="Data Patterns (India) Limited"/>
        <s v="The Phoenix Mills Limited"/>
        <s v="Carborundum Universal Limited"/>
        <s v="Neogen Chemicals Limited"/>
        <s v="KPIT Technologies Limited"/>
        <s v="Coforge Limited"/>
        <s v="PB Fintech Limited"/>
        <s v="Kaynes Technology India Limited"/>
        <s v="Mrs. Bectors Food Specialities Limited"/>
        <s v="Orient Electric Limited"/>
        <s v="JK Cement Limited"/>
        <s v="PNC Infratech Limited"/>
        <s v="Sundaram Finance Limited"/>
        <s v="Sudarshan Chemical Industries Limited"/>
        <s v="Sona BLW Precision Forgings Limited"/>
        <s v="Sansera Engineering Limited"/>
        <s v="KNR Constructions Limited"/>
        <s v="Mas Financial Services Limited"/>
        <s v="HeidelbergCement India Limited"/>
        <s v="S.J.S. Enterprises Limited"/>
        <s v="UNO Minda Limited"/>
        <s v="Alicon Castalloy Limited"/>
        <s v="Tata Elxsi Limited"/>
        <s v="Deepak Fertilizers and Petrochemicals Corporation Limited"/>
        <s v="Navin Fluorine International Limited"/>
        <s v="Rainbow Childrens Medicare Limited"/>
        <s v="Go Fashion (India) Limited"/>
        <s v="IPCA Laboratories Limited"/>
        <s v="Balrampur Chini Mills Limited"/>
        <s v="Global Health Limited"/>
        <s v="SRF Limited"/>
        <s v="VST Industries Limited"/>
        <s v="Jamna Auto Industries Limited"/>
        <s v="Mahindra &amp; Mahindra Financial Services Limited"/>
        <s v="Cholamandalam Investment and Finance Company Ltd"/>
        <s v="Minda Corporation Limited"/>
        <s v="TCNS Clothing Co. Limited"/>
        <s v="Aether Industries Limited"/>
        <s v="JM Financial Limited"/>
        <s v="Laurus Labs Limited"/>
        <s v="Fortis Healthcare Limited"/>
        <s v="Vedant Fashions Limited"/>
        <s v="Suryoday Small Finance Bank Limited"/>
        <s v="Multi Commodity Exchange of India Limited"/>
        <s v="Vijaya Diagnostic Centre Limited"/>
        <s v="Container Corporation of India Limited"/>
        <s v="EPL Limited"/>
        <s v="The Ramco Cements Limited"/>
        <s v="ICICI Securities Limited"/>
        <s v="Computer Age Management Services Limited"/>
        <s v="MphasiS Limited"/>
        <s v="Jyothy Labs Limited"/>
        <s v="LTIMindtree Limited"/>
        <s v="KFin Technologies Limited"/>
        <s v="Mankind Pharma Limited"/>
        <s v="TeamLease Services Limited"/>
        <s v="Alembic Pharmaceuticals Limited"/>
        <s v="K.P.R. Mill Limited"/>
        <s v="Motherson Sumi Wiring India Limited"/>
        <s v="Aarti Pharmalabs Limited"/>
        <s v="Symphony Limited"/>
        <s v="Bata India Limited"/>
        <s v="Page Industries Limited"/>
        <s v="V-Guard Industries Limited"/>
        <s v="Netweb Technologies India Limited"/>
        <s v="Sundram Fasteners Limited"/>
        <s v="Suprajit Engineering Limited"/>
        <s v="Aarti Industries Limited"/>
        <s v="HDFC Bank Ltd"/>
        <s v="ICICI Bank Ltd"/>
        <s v="Reliance Industries Ltd"/>
        <s v="Infosys Ltd"/>
        <s v="Larsen &amp; Toubro Ltd"/>
        <s v="ITC Ltd"/>
        <s v="Tata Consultancy Services Ltd"/>
        <s v="Bajaj Finance Ltd"/>
        <s v="Bharti Airtel Ltd"/>
        <s v="Axis Bank Ltd"/>
        <s v="State Bank of India"/>
        <s v="Ultratech Cement Ltd"/>
        <s v="Hindustan Unilever Ltd"/>
        <s v="Sun Pharmaceutical Industries Ltd"/>
        <s v="Maruti Suzuki India Ltd"/>
        <s v="Kotak Mahindra Bank Ltd"/>
        <s v="NTPC Ltd"/>
        <s v="Tata Motors Ltd"/>
        <s v="Cholamandalam Investment and Finance Co Ltd"/>
        <s v="HCL Technologies Ltd"/>
        <s v="Titan Co Ltd"/>
        <s v="IndusInd Bank Ltd"/>
        <s v="Bharat Electronics Ltd"/>
        <s v="Mahindra &amp; Mahindra Ltd"/>
        <s v="United Spirits Ltd"/>
        <s v="Siemens Ltd"/>
        <s v="ABB India Ltd"/>
        <s v="Bajaj Auto Ltd"/>
        <s v="Interglobe Aviation Ltd"/>
        <s v="Tata Steel Ltd"/>
        <s v="Max Healthcare Institute Ltd"/>
        <s v="SBI Life Insurance Co Ltd"/>
        <s v="Abbott India Ltd"/>
        <s v="PI Industries Ltd"/>
        <s v="Sona Blw Precision Forgings Ltd"/>
        <s v="Avenue Supermarts Ltd"/>
        <s v="Page Industries Ltd"/>
        <s v="Jio Financial Services Ltd"/>
        <s v="Tata Consumer Products Ltd"/>
        <s v="Indian Hotels Co Ltd"/>
        <s v="Dr. Reddy's Laboratories Ltd"/>
        <s v="Hindalco Industries Ltd"/>
        <s v="Housing Development Finance Corporation Ltd"/>
        <s v="Gland Pharma Ltd"/>
        <s v="Gujarat Gas Ltd"/>
        <s v="ICICI Bank Ltd."/>
        <s v="Reliance Industries Ltd."/>
        <s v="Larsen &amp; Toubro Ltd."/>
        <s v="HDFC Bank Ltd."/>
        <s v="Infosys Ltd."/>
        <s v="Axis Bank Ltd."/>
        <s v="Ultratech Cement Ltd."/>
        <s v="Bharti Airtel Ltd."/>
        <s v="Maruti Suzuki India Ltd."/>
        <s v="ITC Ltd."/>
        <s v="Hero Motocorp Ltd."/>
        <s v="NTPC Ltd."/>
        <s v="Tech Mahindra Ltd."/>
        <s v="Lupin Ltd."/>
        <s v="HCL Technologies Ltd."/>
        <s v="Sun Pharmaceutical Industries Ltd."/>
        <s v="SBI Life Insurance Company Ltd."/>
        <s v="Oil &amp; Natural Gas Corporation Ltd."/>
        <s v="ICICI Prudential Life Insurance Company Ltd."/>
        <s v="TVS Motor Company Ltd."/>
        <s v="Bharat Petroleum Corporation Ltd."/>
        <s v="Tata Motors Ltd. - DVR"/>
        <s v="Hindalco Industries Ltd."/>
        <s v="DLF Ltd."/>
        <s v="Procter &amp; Gamble Hygiene and Health Care Ltd."/>
        <s v="United Breweries Ltd."/>
        <s v="Avenue Supermarts Ltd."/>
        <s v="Motherson Sumi Systems Ltd."/>
        <s v="HDFC Asset Management Company Ltd."/>
        <s v="Kotak Mahindra Bank Ltd."/>
        <s v="Coal India Ltd."/>
        <s v="Grasim Industries Ltd."/>
        <s v="Mahindra &amp; Mahindra Ltd."/>
        <s v="Wipro Ltd."/>
        <s v="Wells Fargo &amp; Co"/>
        <s v="Siemens Ltd."/>
        <s v="Cummins India Ltd."/>
        <s v="Zee Entertainment Enterprises Ltd."/>
        <s v="ICICI Lombard General Insurance Company Ltd."/>
        <s v="Hindustan Aeronautics Ltd."/>
        <s v="Dr. Reddy's Laboratories Ltd."/>
        <s v="Titan Company Ltd."/>
        <s v="Alkem Laboratories Ltd."/>
        <s v="Interglobe Aviation Ltd."/>
        <s v="Cognizant Tech Solutions"/>
        <s v="Trent Ltd."/>
        <s v="LIC Housing Finance Ltd."/>
        <s v="Hindustan Petroleum Corporation Ltd."/>
        <s v="Muthoot Finance Ltd."/>
        <s v="Max Financial Services Ltd."/>
        <s v="Jm Financial Ltd."/>
        <s v="Life Insurance Corporation of India"/>
        <s v="Bajaj Auto Ltd."/>
        <s v="Tata Steel Ltd."/>
        <s v="Cipla Ltd."/>
        <s v="NHPC Ltd."/>
        <s v="Gujarat Pipavav Port Ltd."/>
        <s v="Glaxosmithkline Pharmaceuticals Ltd."/>
        <s v="Gillette India Ltd."/>
        <s v="Mphasis Ltd."/>
        <s v="Dabur India Ltd."/>
        <s v="Birla Corporation Ltd."/>
        <s v="Power Grid Corporation Of India Ltd."/>
        <s v="GAIL (India) Ltd."/>
        <s v="Oil India Ltd."/>
        <s v="Ambuja Cements Ltd."/>
        <s v="HDFC Ltd."/>
        <s v="Torrent Pharmaceuticals Ltd."/>
        <s v="Hindustan Unilever Ltd."/>
        <s v="Biocon Ltd."/>
        <s v="Tata Consultancy Services Ltd."/>
        <s v="Reliance Nippon Life Asset Management Ltd."/>
        <s v="UTI Asset Management Co Ltd"/>
        <s v="The Phoenix Mills Ltd."/>
        <s v="Timken India Ltd."/>
        <s v="Syngene International Ltd."/>
        <s v="Oberoi Realty Ltd."/>
        <s v="Havells India Ltd."/>
        <s v="Bata India Ltd."/>
        <s v="Godrej Consumer Products Ltd."/>
        <s v="Page Industries Ltd."/>
        <s v="SBI Cards &amp; Payment Services Ltd."/>
        <s v="G R Infraprojects Ltd."/>
        <s v="Cyient Ltd."/>
        <s v="PVR Ltd."/>
        <s v="EPL Ltd."/>
        <s v="Krishna Institute of Medical Sciences"/>
        <s v="Rolex Rings Ltd."/>
        <s v="Cholamandalam Financial Holdings Ltd."/>
        <s v="KEI Industries Ltd."/>
        <s v="V-Mart Retail Ltd."/>
        <s v="Multi Commodity Exchange Of India Ltd."/>
        <s v="Mahindra Lifespace Developers Ltd."/>
        <s v="Tarsons Products Ltd."/>
        <s v="Arvind Fashions Ltd."/>
        <s v="PNC Infratech Ltd."/>
        <s v="Vijaya Diagnostic Centre Pvt Ltd."/>
        <s v="CYIENT DLM LTD"/>
        <s v="Sapphire Foods India Ltd"/>
        <s v="Brigade Enterprises Ltd."/>
        <s v="Orient Electric Ltd."/>
        <s v="J.B.Chemicals &amp; Pharmaceuticals Ltd."/>
        <s v="Jamna Auto Industries Ltd."/>
        <s v="Mold-Tek Packaging Ltd"/>
        <s v="CCL Products (India) Ltd."/>
        <s v="Jyothy Laboratories Ltd."/>
        <s v="CMS Info Systems Ltd"/>
        <s v="Aster DM Healthcare Ltd."/>
        <s v="VRL Logistics Ltd."/>
        <s v="Sansera Engineering Ltd."/>
        <s v="Gateway Distriparks Ltd"/>
        <s v="Blue Star Ltd."/>
        <s v="Sudarshan Chemical Industries Ltd."/>
        <s v="TD Power Systems Ltd."/>
        <s v="Camlin Fine Sciences Ltd."/>
        <s v="Kalpataru Power Transmission Ltd."/>
        <s v="Sundram Fasteners Ltd."/>
        <s v="KPIT Technologies Ltd."/>
        <s v="Equitas Small Finance Bank Ltd."/>
        <s v="V.S.T Tillers Tractors Ltd."/>
        <s v="Finolex Cables Ltd."/>
        <s v="Sagar Cements Ltd."/>
        <s v="Go Fashion India Ltd."/>
        <s v="FDC Ltd."/>
        <s v="Dixon Technologies (India) Ltd."/>
        <s v="Archean Chemicals Ltd."/>
        <s v="Divgi Torqtransfer Systems Ltd"/>
        <s v="Indoco Remedies Ltd."/>
        <s v="Astec LifeSciences Ltd."/>
        <s v="Minda Industries Ltd."/>
        <s v="Barbeque Nation Hospitality"/>
        <s v="EIH Ltd."/>
        <s v="DCB Bank Ltd."/>
        <s v="Windlas Biotech Ltd."/>
        <s v="Tracxn Technologies Ltd"/>
        <s v="Matrimony.com Ltd."/>
        <s v="Supreme Petrochem Ltd."/>
        <s v="S. P. Apparels Ltd."/>
        <s v="Krsnaa Diagnostics Ltd."/>
        <s v="Teamlease Services Ltd."/>
        <s v="Firstsource Solutions Ltd."/>
        <s v="Home First Finance Company India Ltd."/>
        <s v="Global Health Ltd"/>
        <s v="Supreme Industries Limited"/>
        <s v="Schaeffler India Ltd"/>
        <s v="SKF India Ltd"/>
        <s v="Oberoi Realty Limited"/>
        <s v="Kajaria Ceramics Ltd."/>
        <s v="Thermax Ltd."/>
        <s v="Solar Industries India Limited"/>
        <s v="P I Industries Ltd"/>
        <s v="Coromandel International Limited"/>
        <s v="Bharat Forge Ltd."/>
        <s v="Atul Ltd."/>
        <s v="JK Cement Ltd."/>
        <s v="Bharat Electronics Ltd."/>
        <s v="Sundaram Finance Ltd."/>
        <s v="Whirlpool of India Ltd."/>
        <s v="IPCA Laboratories Ltd."/>
        <s v="APL Apollo Tubes Ltd"/>
        <s v="Exide Industries Ltd."/>
        <s v="Ratnamani Metals &amp; Tubes Ltd."/>
        <s v="The Ramco Cements Ltd"/>
        <s v="AU Small Finance Bank Ltd."/>
        <s v="FEDERAL BANK LTD."/>
        <s v="Sheela Foam Ltd"/>
        <s v="Dixon Technologies India Ltd"/>
        <s v="SRF Ltd."/>
        <s v="Mahindra &amp; Mahindra Financial Services Ltd."/>
        <s v="Vedant Fashions Ltd."/>
        <s v="STATE BANK OF INDIA."/>
        <s v="Jindal Steel &amp; Power Ltd"/>
        <s v="Balkrishna Industries Ltd"/>
        <s v="MRF Ltd."/>
        <s v="Max Financial Services Ltd"/>
        <s v="Zydus Lifesciences Ltd."/>
        <s v="V-Guard Industries Ltd."/>
        <s v="Emami Ltd."/>
        <s v="Voltas Ltd."/>
        <s v="SHRIRAM FINANCE LIMITED"/>
        <s v="Apollo Hospitals Enterprise Ltd."/>
        <s v="Amber Enterprises India Ltd"/>
        <s v="Sundaram Fasteners Ltd."/>
        <s v="Tata Consumer Products Ltd."/>
        <s v="Metro Brands Ltd."/>
        <s v="Amara Raja Batteries Ltd."/>
        <s v="ZF Commercial Vehicle Control Systems India Ltd"/>
        <s v="Shree Cement Ltd."/>
        <s v="SAMVARDHANA MOTHERSON INTERNATIONAL LTD"/>
        <s v="Gujarat Gas Company Ltd."/>
        <s v="Kewal Kiran Clothing Limited"/>
        <s v="Hawkins Cooker Ltd"/>
        <s v="KALPATARU POWER TRANSMISSION LTD"/>
        <s v="Honeywell Automation India Ltd."/>
        <s v="City Union Bank Ltd."/>
        <s v="Gujarat State Petronet Ltd."/>
        <s v="Lux Industries Limited"/>
        <s v="Godrej Agrovet Ltd."/>
        <s v="Gland Pharma Limited"/>
        <s v="Laurus Labs Ltd"/>
        <s v="PNC Infratech"/>
        <s v="MANKIND PHARMA LTD"/>
        <s v="Larsen &amp; Toubro Infotech Ltd"/>
        <s v="PB Fintech Ltd."/>
        <s v="FSN E-Commerce Ventures Ltd."/>
        <s v="Carborundum Universal Ltd."/>
        <s v="Century Plyboards (India) Ltd."/>
        <s v="Galaxy Surfactants Ltd"/>
        <s v="Alembic Pharmaceuticals Ltd."/>
        <s v="Garware Technical Fibres Ltd."/>
        <s v="Blue Dart Express Ltd"/>
        <s v="Sansera Engineering Ltd"/>
        <s v="Shopper Stop Ltd."/>
        <s v="Somany Ceramics Ltd."/>
        <s v="Mahindra Lifespace Developers Ltd"/>
        <s v="The Great Eastern Shipping Company Ltd."/>
        <s v="Shyam Metalics and Energy Limited Ltd"/>
        <s v="Nilkamal Ltd."/>
        <s v="Techno Electric &amp; Engineering Company Limited"/>
        <s v="Balrampur Chini Mills Ltd."/>
        <s v="BEML Limited"/>
        <s v="VIP Industries Limited"/>
        <s v="G R Infraprojects Limited"/>
        <s v="Orient Electic Limited"/>
        <s v="Bosch Limited"/>
        <s v="Tata Chemicals Ltd."/>
        <s v="V.S.T Tillers Tractors Ltd"/>
        <s v="Ajanta Pharma Ltd."/>
        <s v="Apollo Pipes Ltd"/>
        <s v="Laxmi Organic Industries Limited"/>
        <s v="Dhanuka Agritech Ltd"/>
        <s v="Aavas Financiers Ltd"/>
        <s v="Go Fashion (India) Ltd"/>
        <s v="Prataap Snacks Limited"/>
        <s v="Sandhar Technologies Ltd."/>
        <s v="WPIL Ltd"/>
        <s v="KNR Constructions Ltd."/>
        <s v="HERITAGE FOODS LTD"/>
        <s v="Hindustan Oil Exploration Co Ltd."/>
        <s v="Happiest Minds Technologies Limited"/>
        <s v="BEML Land Assets Ltd."/>
        <s v="Anand Rathi Wealth Ltd."/>
        <s v="Clean Science and Technology Ltd"/>
        <s v="Power Finance Corporation Limited"/>
        <s v="AU Small Finance Bank Limited"/>
        <s v="Varun Beverages Limited"/>
        <s v="Max Financial Services Limited"/>
        <s v="The Federal Bank Limited"/>
        <s v="NTPC Limited"/>
        <s v="HDFC Bank Limited"/>
        <s v="Devyani International Limited"/>
        <s v="Dalmia Bharat Limited"/>
        <s v="Alkem Laboratories Limited"/>
        <s v="Polycab India Limited"/>
        <s v="Aditya Birla Fashion and Retail Limited"/>
        <s v="Angel One Limited"/>
        <s v="Trent Limited"/>
        <s v="The Indian Hotels Company Limited"/>
        <s v="InterGlobe Aviation Limited"/>
        <s v="Tube Investments of India Limited"/>
        <s v="Max Healthcare Institute Limited"/>
        <s v="Prestige Estates Projects Limited"/>
        <s v="Axis Bank Limited"/>
        <s v="Zomato Limited"/>
        <s v="Bharat Electronics Limited"/>
        <s v="LIC Housing Finance Limited"/>
        <s v="Piramal Enterprises Limited"/>
        <s v="Steel Authority of India Limited"/>
        <s v="Zee Entertainment Enterprises Limited"/>
        <s v="Lupin Limited"/>
        <s v="Cummins India Limited"/>
        <s v="Bank of Baroda"/>
        <s v="Voltas Limited"/>
        <s v="United Breweries Limited"/>
        <s v="Poonawalla Fincorp Limited"/>
        <s v="Crompton Greaves Consumer Electricals Limited"/>
        <s v="3M India Limited"/>
        <s v="Tata Chemicals Limited"/>
        <s v="Dixon Technologies (India) Limited"/>
        <s v="Hindustan Aeronautics Limited"/>
        <s v="Timken India Limited"/>
        <s v="Sanofi India Limited"/>
        <s v="Indraprastha Gas Limited"/>
        <s v="Mahindra Lifespace Developers Limited"/>
        <s v="Hindustan Petroleum Corporation Limited"/>
        <s v="Infosys Limited"/>
        <s v="Bayer Cropscience Limited"/>
        <s v="Torrent Power Limited"/>
        <s v="Jindal Steel &amp; Power Limited"/>
        <s v="Endurance Technologies Limited"/>
        <s v="Info Edge (India) Limited"/>
        <s v="Jubilant Foodworks Limited"/>
        <s v="Deepak Nitrite Limited"/>
        <s v="Tata Communications Limited"/>
        <s v="Emami Limited"/>
        <s v="Radico Khaitan Limited"/>
        <s v="NMDC Limited"/>
        <s v="Dr. Reddy's Laboratories Limited"/>
        <s v="Rategain Travel Technologies Limited"/>
        <s v="GlaxoSmithKline Pharmaceuticals Limited"/>
        <s v="Prudent Corporate Advisory Services Limited"/>
        <s v="Affle (India) Limited"/>
        <s v="Kansai Nerolac Paints Limited"/>
        <s v="NLC India Limited"/>
        <s v="Ajanta Pharma Limited"/>
        <s v="Bharat Heavy Electricals Limited"/>
        <s v="Thermax Limited"/>
        <s v="RBL Bank Limited"/>
        <s v="NMDC Steel Limited"/>
        <s v="ZF Commercial Vehicle Control Systems India Limited"/>
        <s v="Globsyn Technologies Limited**"/>
        <s v="Apollo Tyres Limited"/>
        <s v="Manappuram Finance Limited"/>
        <s v="Zydus Wellness Limited"/>
        <s v="UltraTech Cement Limited"/>
        <s v="Bajaj Consumer Care Limited"/>
        <s v="Campus Activewear Limited"/>
        <s v="ICICI Bank Limited"/>
        <s v="Reliance Industries Limited"/>
        <s v="Larsen &amp; Toubro Limited"/>
        <s v="ITC Limited"/>
        <s v="HCL Technologies Limited"/>
        <s v="Bajaj Finance Limited"/>
        <s v="Chalet Hotels Limited"/>
        <s v="HDFC Asset Management Company Limited"/>
        <s v="SBI Cards and Payment Services Limited"/>
        <s v="Bharat Petroleum Corporation Limited"/>
        <s v="Siemens Limited"/>
        <s v="Tata Steel Limited"/>
        <s v="Tata Power Company Limited"/>
        <s v="EIH Limited"/>
        <s v="Hindustan Unilever Limited"/>
        <s v="Mahindra &amp; Mahindra Limited"/>
        <s v="Sun Pharmaceutical Industries Limited"/>
        <s v="Honeywell Automation India Limited"/>
        <s v="ABB India Limited"/>
        <s v="Samvardhana Motherson International Limited"/>
        <s v="Colgate Palmolive (India) Limited"/>
        <s v="PVR INOX Limited"/>
        <s v="SBI Life Insurance Company Limited"/>
        <s v="Torrent Pharmaceuticals Limited"/>
        <s v="Tata Consumer Products Limited"/>
        <s v="Linde India Limited"/>
        <s v="Coal India Limited"/>
        <s v="GE T&amp;D India Limited"/>
        <s v="Marico Limited"/>
        <s v="Jio Financial Services Limited"/>
        <s v="Godrej Consumer Products Limited"/>
        <s v="Tech Mahindra Limited"/>
        <s v="IndusInd Bank Limited"/>
        <s v="ICICI Lombard General Insurance Company Limited"/>
        <s v="Divi's Laboratories Limited"/>
        <s v="NHPC Limited"/>
        <s v="Indian Oil Corporation Limited"/>
        <s v="Housing Development Finance Corporation Limited"/>
        <s v="Pfizer Limited"/>
        <s v="Britannia Industries Limited"/>
        <s v="United Spirits Limited"/>
        <s v="Bharti Airtel Limited"/>
        <s v="HDFC Life Insurance Company Limited"/>
        <s v="Bandhan Bank Limited"/>
        <s v="Tejas Networks Limited"/>
        <s v="Apar Industries Limited"/>
        <s v="Voltamp Transformers Limited"/>
        <s v="Karur Vysya Bank Limited"/>
        <s v="Elantas Beck India Limited"/>
        <s v="Bajaj Electricals Limited"/>
        <s v="ION Exchange (India) Limited"/>
        <s v="Cyient Limited"/>
        <s v="Fusion Micro Finance Limited"/>
        <s v="NIIT Learning Systems Limited"/>
        <s v="Kirloskar Brothers Limited"/>
        <s v="Birla Corporation Limited"/>
        <s v="Procter &amp; Gamble Health Limited"/>
        <s v="Finolex Cables Limited"/>
        <s v="TD Power Systems Limited"/>
        <s v="Vardhman Textiles Limited"/>
        <s v="eClerx Services Limited"/>
        <s v="Zensar Technologies Limited"/>
        <s v="Kirloskar Pneumatic Company Limited"/>
        <s v="H.G. Infra Engineering Limited"/>
        <s v="Raymond Limited"/>
        <s v="RITES Limited"/>
        <s v="Sapphire Foods India Limited"/>
        <s v="Central Depository Services (India) Limited"/>
        <s v="Genus Power Infrastructures Limited"/>
        <s v="Kotak Mahindra Bank Limited"/>
        <s v="Century Textiles &amp; Industries Limited"/>
        <s v="Praj Industries Limited"/>
        <s v="Avalon Technologies Limited"/>
        <s v="Jtekt India Limited"/>
        <s v="Gokaldas Exports Limited"/>
        <s v="ISGEC Heavy Engineering Limited"/>
        <s v="Vindhya Telelinks Limited"/>
        <s v="Kalpataru Power Transmission Limited"/>
        <s v="Paradeep Phosphates Limited"/>
        <s v="Harsha Engineers International Limited"/>
        <s v="Honda India Power Products Limited"/>
        <s v="AstraZeneca Pharma India Limited"/>
        <s v="SIS Limited"/>
        <s v="West Coast Paper Mills Limited"/>
        <s v="UTI Asset Management Company Limited"/>
        <s v="Kirloskar Oil Engines Limited"/>
        <s v="Esab India Limited"/>
        <s v="Tata Steel Long Products Limited"/>
        <s v="FDC Limited"/>
        <s v="Rallis India Limited"/>
        <s v="Automotive Axles Limited"/>
        <s v="PNB Housing Finance Limited"/>
        <s v="Ambuja Cements Limited"/>
        <s v="eMudhra Limited"/>
        <s v="V.S.T Tillers Tractors Limited"/>
        <s v="Just Dial Limited"/>
        <s v="Chambal Fertilizers &amp; Chemicals Limited"/>
        <s v="Fineotex Chemical Limited"/>
        <s v="CARE Ratings Limited"/>
        <s v="Sundaram Finance Holdings Limited"/>
        <s v="Godrej Agrovet Limited"/>
        <s v="Landmark Cars Limited"/>
        <s v="Thyrocare Technologies Limited"/>
        <s v="Greenlam Industries Limited"/>
        <s v="Equitas Small Finance Bank Limited"/>
        <s v="Venus Pipes And Tubes Limited"/>
        <s v="TTK Prestige Limited"/>
        <s v="Divgi Torqtransfer Systems Limited"/>
        <s v="Asahi India Glass Limited"/>
        <s v="LG Balakrishnan &amp; Bros Limited"/>
        <s v="NIIT Limited"/>
        <s v="Texmaco Rail &amp; Engineering Limited"/>
        <s v="Sandhar Technologies Limited"/>
        <s v="La Opala RG Limited"/>
        <s v="Castrol India Limited"/>
        <s v="Astra Microwave Products Limited"/>
        <s v="Indoco Remedies Limited"/>
        <s v="Styrenix Performance Materials Limited"/>
        <s v="Sonata Software Limited"/>
        <s v="Triveni Engineering &amp; Industries Limited"/>
        <s v="KEC International Limited"/>
        <s v="Jubilant Ingrevia Limited"/>
        <s v="Orient Cement Limited"/>
        <s v="Polyplex Corporation Limited"/>
        <s v="Kirloskar Ferrous Industries Limited"/>
        <s v="Nazara Technologies Limited"/>
        <s v="Archean Chemical Industries Limited"/>
        <s v="Tata Coffee Limited"/>
        <s v="Tracxn Technologies Limited"/>
        <s v="Astec LifeSciences Limited"/>
        <s v="ICICI Prudential Life Insurance Company Limited"/>
        <s v="KEI Industries Limited"/>
        <s v="Tatva Chintan Pharma Chem Limited"/>
        <s v="Intellect Design Arena Limited"/>
        <s v="Mishra Dhatu Nigam Limited"/>
        <s v="Pokarna Limited"/>
        <s v="Ashoka Buildcon Limited"/>
        <s v="Mahindra Logistics Limited"/>
        <s v="Subros Limited"/>
        <s v="Supriya Lifescience Limited"/>
        <s v="Hero MotoCorp Limited"/>
        <s v="Paras Defence and Space Technologies Limited"/>
        <s v="Gabriel India Limited"/>
        <s v="Blue Dart Express Limited"/>
        <s v="Tarsons Products Limited"/>
        <s v="Uniparts India Limited"/>
        <s v="Orient Paper &amp; Industries Limited"/>
        <s v="Capacit'e Infraprojects Limited"/>
        <s v="Senco Gold Limited"/>
        <s v="Electrosteel Castings Limited"/>
        <s v="Westlife Foodworld Limited"/>
        <s v="Apex Frozen Foods Limited"/>
        <s v="Lemon Tree Hotels Limited"/>
        <s v="Shriram Properties Limited"/>
        <s v="Yatharth Hospital And Trauma Care Services Limited"/>
        <s v="Century Plyboards (India) Limited"/>
        <s v="Gateway Distriparks Limited"/>
        <s v="CESC Limited"/>
        <s v="NCC Limited"/>
        <s v="Jindal Stainless Limited"/>
        <s v="Motilal Oswal Financial Services Limited"/>
        <s v="Bharti Airtel Limited - Partly Paid up"/>
        <s v="Cholamandalam Investment &amp; Finance Company Ltd."/>
        <s v="Tube Investments Of India Ltd."/>
        <s v="Max Healthcare Institute Ltd."/>
        <s v="Abbott India Ltd."/>
        <s v="Indraprastha Gas Ltd."/>
        <s v="Navin Fluorine International Ltd."/>
        <s v="SKF India Ltd."/>
        <s v="Jubilant Foodworks Ltd."/>
        <s v="UNO Minda Ltd."/>
        <s v="Gujarat Gas Ltd."/>
        <s v="P I INDUSTRIES LIMITED"/>
        <s v="Poonawalla Fincorp Ltd."/>
        <s v="Radico Khaitan Ltd."/>
        <s v="Creditaccess Grameen Ltd."/>
        <s v="Balkrishna Industries Ltd."/>
        <s v="Sona BLW Precision Forgings Ltd."/>
        <s v="Persistent Systems Ltd."/>
        <s v="Motherson Sumi Wiring India Ltd."/>
        <s v="Container Corporation Of India Ltd."/>
        <s v="Escorts Kubota Ltd."/>
        <s v="Supreme Industries Ltd."/>
        <s v="Coforge Ltd."/>
        <s v="The Indian Hotels Company Ltd."/>
        <s v="L&amp;T Technology Services Ltd."/>
        <s v="Dr. Lal Path Labs Ltd."/>
        <s v="Solar Industries India Ltd."/>
        <s v="Laurus Labs Ltd."/>
        <s v="United Spirits Ltd."/>
        <s v="Vinati Organics Ltd."/>
        <s v="Star Health &amp; Allied Insurance Co Ltd."/>
        <s v="ZF Commercial Vehicle Ctrl Sys Ind Ltd."/>
        <s v="Central Depository Services (I) Ltd."/>
        <s v="CRISIL Ltd."/>
        <s v="Sumitomo Chemical India Ltd."/>
        <s v="Schaeffler India Ltd."/>
        <s v="Clean Science and Technology Ltd."/>
        <s v="Bharat Rasayan Ltd."/>
        <s v="Devyani International Ltd."/>
        <s v="Prestige Estates Projects Ltd."/>
        <s v="Aavas Financiers Ltd."/>
        <s v="Grindwell Norton Ltd."/>
        <s v="Coromandel International Ltd."/>
        <s v="Gland Pharma Ltd."/>
        <s v="Indian Energy Exchange Ltd."/>
        <s v="Kolte - Patil Developers Ltd."/>
        <s v="Mahindra &amp; Mahindra Financial Services Ltd"/>
        <s v="India Glycols Ltd."/>
        <s v="The Federal Bank Ltd."/>
        <s v="Bajaj Finance Ltd."/>
        <s v="Housing Development Finance Corporation Ltd."/>
        <s v="Crompton Greaves Cons Electrical Ltd."/>
        <s v="DLF Limited"/>
        <s v="Bikaji Foods International Limited"/>
        <s v="Orchid Pharma Limited"/>
        <s v="Macrotech Developers Limited"/>
        <s v="Coal India Ltd"/>
        <s v="Aurobindo Pharma Limited"/>
        <s v="Power Grid Corporation of India Limited"/>
        <s v="Nestle India Limited"/>
        <s v="Shree Cements Ltd"/>
        <s v="Hindalco Industries Limited"/>
        <s v="Wipro Ltd"/>
        <s v="Escorts Kubota Limited"/>
        <s v="Punjab National Bank"/>
        <s v="Zee Entertainment Ent Ltd"/>
        <s v="Bharat Heavy Electricals Ltd"/>
        <s v="Linde India Ltd."/>
        <s v="Bandhan Bank Ltd."/>
        <s v="Hindustan Petroleum Corporation Ltd"/>
        <s v="Sundaram Finance Ltd"/>
        <s v="Union Bank of India"/>
        <s v="Sundram Fasteners Ltd"/>
        <s v="IPCA Laboratories Ltd"/>
        <s v="CRISIL Limited"/>
        <s v="Canara Bank"/>
        <s v="SUN TV Network Limited"/>
        <s v="Power Finance Corporation Ltd."/>
        <s v="Rural Electrification Corporation Ltd"/>
        <s v="Piramal Pharma Limited"/>
        <s v="Usha Martin Limited"/>
        <s v="Aegis Logistics Limited"/>
        <s v="Hindustan Copper Limited"/>
        <s v="Arvind Limited"/>
        <s v="IRB Infrastructure Developers Limited"/>
        <s v="Natco Pharma Ltd"/>
        <s v="Marksans Pharma Limited"/>
        <s v="HFCL Limited"/>
        <s v="HEG Limited"/>
        <s v="Karnataka Bank Ltd"/>
        <s v="Graphite India Limited"/>
        <s v="TV18 Broadcast Ltd"/>
        <s v="Strides Pharma Science Ltd"/>
        <s v="Sula Vineyards Limited"/>
        <s v="The India Cements Limited"/>
        <s v="Minda Corporation Ltd"/>
        <s v="Anand Rathi Wealth Limited"/>
        <s v="Delta Corp Ltd"/>
        <s v="Man Infraconstruction Limited"/>
        <s v="VRL Logistics Limited"/>
        <s v="Neuland Laboratories Ltd"/>
        <s v="EID Parry (India) Ltd"/>
        <s v="Best Agrolife Limited"/>
        <s v="The Jammu &amp; Kashmir Bank Limited"/>
        <s v="Jash Engineering Limited"/>
        <s v="Garware Hi-Tech Films Ltd"/>
        <s v="Ramkrishna Forgings Limited"/>
        <s v="Railtel Corporation Of India Limited"/>
        <s v="AGI GREENPAC LIMITED"/>
        <s v="Engineers India Limited"/>
        <s v="Nitin Spinners Limited"/>
        <s v="Apollo Micro Systems Limited"/>
        <s v="KEYSTONE REALTORS LIMITED"/>
        <s v="Aavas Financiers Limited"/>
        <s v="NCC Ltd"/>
        <s v="MANGALORE REFINERY &amp; PETROCHEMICALS LTD"/>
        <s v="The Orissa Minerals Development Co Ltd"/>
        <s v="Himadri Speciality Chemical Limited"/>
        <s v="PUNJAB ALKALIES AND CHEMICALS LTD"/>
        <s v="HP Adhesives Limited"/>
        <s v="Rossari Biotech Limited"/>
        <s v="Suven Pharmaceuticals Limited"/>
        <s v="Indus Towers Limited"/>
        <s v="Taj GVK Hotels &amp; Resorts Limited"/>
        <s v="TV Today Network Limited"/>
        <s v="Ksb Limited"/>
        <s v="Confidence Petroleum India Limited"/>
        <s v="Gulshan Polyols Limited"/>
        <s v="Hi-Tech Pipes Limited"/>
        <s v="Prudent Corporate Advisory Services Ltd"/>
        <s v="Vimta Labs Limited"/>
        <s v="Sun Pharma Advanced Research Co. Ltd"/>
        <s v="Bharat Rasayan Limited"/>
        <s v="NACL Industries Limited"/>
        <s v="AGS Transact Technologies Limited"/>
        <s v="INDIAN HUME PIPE COMPANY LIMITED"/>
        <s v="Lt Foods Limited"/>
        <s v="IKIO LIGHTING LIMITED"/>
        <s v="Nahar Spinning Mills Limited"/>
        <s v="IDEAFORGE TECHNOLOGY LIMITED"/>
        <s v="PIX Transmission Limited"/>
        <s v="IDFC Limited"/>
        <s v="Arvind SmartSpaces Limited"/>
        <s v="PTC India Financial Services Ltd"/>
        <s v="Manappuram Finance Ltd"/>
        <s v="Granules India Limited"/>
        <s v="Stylam Industries Limited"/>
        <s v="Rashtriya Chemicals &amp; Fertilizers Ltd."/>
        <s v="Pricol Limited"/>
        <s v="Torrent Power Ltd."/>
        <s v="Cholamandalam Investment &amp; Finance Co. Ltd."/>
        <s v="Aether Industries Ltd."/>
        <s v="Sheela Foam Ltd."/>
        <s v="K.P.R. Mill Ltd."/>
        <s v="Triveni Turbine Ltd."/>
        <s v="Gokaldas Exports Ltd."/>
        <s v="Mankind Pharma Ltd."/>
        <s v="Endurance Technologies Ltd."/>
        <s v="The Ramco Cements Ltd."/>
        <s v="ZF Commercial Vehicle Control Systems India Ltd."/>
        <s v="Godrej Properties Ltd."/>
        <s v="PI Industries Ltd."/>
        <s v="Tatva Chintan Pharma Chem Ltd."/>
        <s v="HDFC Asset Management Co. Ltd."/>
        <s v="Hatsun Agro Product Ltd."/>
        <s v="Pfizer Ltd."/>
        <s v="Sanofi India Ltd."/>
        <s v="National Aluminium Company Ltd."/>
        <s v="Natco Pharma Ltd."/>
        <s v="Dodla Dairy Ltd."/>
        <s v="Steel Authority of India Ltd."/>
        <s v="G R Infra projects Ltd."/>
        <s v="Prism Johnson Ltd."/>
        <s v="ABB India Ltd."/>
        <s v="Nuvoco Vistas Corporation Ltd."/>
        <s v="Swaraj Engines Ltd."/>
        <s v="Info Edge (India) Ltd."/>
        <s v="Mangalam Cement Ltd."/>
        <s v="NRB Bearings Ltd."/>
        <s v="Indigo Paints Ltd."/>
        <s v="Manpasand Beverages Ltd."/>
        <s v="Chemplast Sanmar Ltd."/>
        <m/>
      </sharedItems>
    </cacheField>
    <cacheField name="Fund" numFmtId="0">
      <sharedItems containsBlank="1" count="16">
        <s v="Axis_Small_Cap_Fund-Reg(G)"/>
        <s v="Canara_Rob_Bluechip_Equity_Fund-Reg(G)"/>
        <s v="ICICI_Pru_Bluechip_Fund(G)"/>
        <s v="ICICI_Pru_Focused_Equity_Fund(G)"/>
        <s v="ICICI_Pru_Smallcap_Fund(G)"/>
        <s v="Kotak_Emerging_Equity_Fund(G)"/>
        <s v="Kotak_Small_Cap_Fund(G)"/>
        <s v="Nippon_India_Growth_Fund(G)"/>
        <s v="Nippon_India_Large_Cap_Fund(G)"/>
        <s v="Nippon_India_Small_Cap_Fund(G)"/>
        <s v="PGIM_India_Midcap_Opp_Fund-Reg(G)"/>
        <s v="Quant_Focused_Fund(G)"/>
        <s v="Quant_Mid_Cap_Fund(G)"/>
        <s v="Quant_Small_Cap_Fund(G)"/>
        <s v="SBI_Magnum_Midcap_Fund-Reg(G)"/>
        <m/>
      </sharedItems>
    </cacheField>
    <cacheField name="23 July 2023" numFmtId="2">
      <sharedItems containsString="0" containsBlank="1" containsNumber="1" minValue="0" maxValue="10.3"/>
    </cacheField>
    <cacheField name="No. of Shares 2" numFmtId="2">
      <sharedItems containsString="0" containsBlank="1" containsNumber="1" containsInteger="1" minValue="0" maxValue="56436660"/>
    </cacheField>
    <cacheField name="23 June 2023" numFmtId="2">
      <sharedItems containsString="0" containsBlank="1" containsNumber="1" minValue="0" maxValue="9.5"/>
    </cacheField>
    <cacheField name="No. of Shares 4" numFmtId="2">
      <sharedItems containsString="0" containsBlank="1" containsNumber="1" containsInteger="1" minValue="0" maxValue="56436660"/>
    </cacheField>
    <cacheField name="Change" numFmtId="2">
      <sharedItems containsString="0" containsBlank="1" containsNumber="1" containsInteger="1" minValue="-8751924" maxValue="12487053"/>
    </cacheField>
    <cacheField name="Preferred Rank" numFmtId="0">
      <sharedItems containsString="0" containsBlank="1" containsNumber="1" containsInteger="1" minValue="1" maxValue="202"/>
    </cacheField>
    <cacheField name="Status" numFmtId="0">
      <sharedItems containsBlank="1" count="6">
        <s v="NOCHANGE"/>
        <s v="ADDED"/>
        <s v="NEW"/>
        <s v="REMOVED"/>
        <s v="PARTIAl EXIT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4">
  <r>
    <x v="0"/>
    <x v="0"/>
    <n v="4.54"/>
    <n v="6754348"/>
    <n v="4.71"/>
    <n v="6754348"/>
    <n v="0"/>
    <n v="1"/>
    <x v="0"/>
  </r>
  <r>
    <x v="1"/>
    <x v="0"/>
    <n v="3.46"/>
    <n v="5339897"/>
    <n v="3.37"/>
    <n v="5339897"/>
    <n v="0"/>
    <n v="2"/>
    <x v="0"/>
  </r>
  <r>
    <x v="2"/>
    <x v="0"/>
    <n v="3.13"/>
    <n v="7939846"/>
    <n v="3.2"/>
    <n v="7939846"/>
    <n v="0"/>
    <n v="3"/>
    <x v="0"/>
  </r>
  <r>
    <x v="3"/>
    <x v="0"/>
    <n v="3.12"/>
    <n v="10963846"/>
    <n v="2.76"/>
    <n v="10963846"/>
    <n v="0"/>
    <n v="4"/>
    <x v="0"/>
  </r>
  <r>
    <x v="4"/>
    <x v="0"/>
    <n v="3.09"/>
    <n v="1706429"/>
    <n v="3.17"/>
    <n v="1706429"/>
    <n v="0"/>
    <n v="5"/>
    <x v="0"/>
  </r>
  <r>
    <x v="5"/>
    <x v="0"/>
    <n v="3.09"/>
    <n v="2429347"/>
    <n v="3.05"/>
    <n v="2429347"/>
    <n v="0"/>
    <n v="6"/>
    <x v="0"/>
  </r>
  <r>
    <x v="6"/>
    <x v="0"/>
    <n v="2.96"/>
    <n v="7234610"/>
    <n v="3.37"/>
    <n v="7234610"/>
    <n v="0"/>
    <n v="7"/>
    <x v="0"/>
  </r>
  <r>
    <x v="7"/>
    <x v="0"/>
    <n v="2.66"/>
    <n v="5097614"/>
    <n v="2.74"/>
    <n v="5097614"/>
    <n v="0"/>
    <n v="8"/>
    <x v="0"/>
  </r>
  <r>
    <x v="8"/>
    <x v="0"/>
    <n v="2.62"/>
    <n v="5243788"/>
    <n v="2.75"/>
    <n v="5041769"/>
    <n v="202019"/>
    <n v="9"/>
    <x v="1"/>
  </r>
  <r>
    <x v="9"/>
    <x v="0"/>
    <n v="2.6"/>
    <n v="865370"/>
    <n v="2.97"/>
    <n v="865370"/>
    <n v="0"/>
    <n v="10"/>
    <x v="0"/>
  </r>
  <r>
    <x v="10"/>
    <x v="0"/>
    <n v="2.37"/>
    <n v="6985024"/>
    <n v="2.5299999999999998"/>
    <n v="6985024"/>
    <n v="0"/>
    <n v="11"/>
    <x v="0"/>
  </r>
  <r>
    <x v="11"/>
    <x v="0"/>
    <n v="1.95"/>
    <n v="4795921"/>
    <n v="2.42"/>
    <n v="4795921"/>
    <n v="0"/>
    <n v="12"/>
    <x v="0"/>
  </r>
  <r>
    <x v="12"/>
    <x v="0"/>
    <n v="1.89"/>
    <n v="3931533"/>
    <n v="1.67"/>
    <n v="3931533"/>
    <n v="0"/>
    <n v="13"/>
    <x v="0"/>
  </r>
  <r>
    <x v="13"/>
    <x v="0"/>
    <n v="1.88"/>
    <n v="4383432"/>
    <n v="1.99"/>
    <n v="4383432"/>
    <n v="0"/>
    <n v="14"/>
    <x v="0"/>
  </r>
  <r>
    <x v="14"/>
    <x v="0"/>
    <n v="1.75"/>
    <n v="1133983"/>
    <n v="1.81"/>
    <n v="1133983"/>
    <n v="0"/>
    <n v="15"/>
    <x v="0"/>
  </r>
  <r>
    <x v="15"/>
    <x v="0"/>
    <n v="1.71"/>
    <n v="5796049"/>
    <n v="1.85"/>
    <n v="5796049"/>
    <n v="0"/>
    <n v="16"/>
    <x v="0"/>
  </r>
  <r>
    <x v="16"/>
    <x v="0"/>
    <n v="1.68"/>
    <n v="690296"/>
    <n v="1.1599999999999999"/>
    <n v="690296"/>
    <n v="0"/>
    <n v="17"/>
    <x v="0"/>
  </r>
  <r>
    <x v="17"/>
    <x v="0"/>
    <n v="1.56"/>
    <n v="3627758"/>
    <n v="1.45"/>
    <n v="3466364"/>
    <n v="161394"/>
    <n v="18"/>
    <x v="1"/>
  </r>
  <r>
    <x v="18"/>
    <x v="0"/>
    <n v="1.56"/>
    <n v="17624283"/>
    <n v="1.57"/>
    <n v="17624283"/>
    <n v="0"/>
    <n v="19"/>
    <x v="0"/>
  </r>
  <r>
    <x v="19"/>
    <x v="0"/>
    <n v="1.53"/>
    <n v="916180"/>
    <n v="1.52"/>
    <n v="915987"/>
    <n v="193"/>
    <n v="20"/>
    <x v="1"/>
  </r>
  <r>
    <x v="20"/>
    <x v="0"/>
    <n v="1.52"/>
    <n v="1071711"/>
    <n v="1.44"/>
    <n v="1071711"/>
    <n v="0"/>
    <n v="21"/>
    <x v="0"/>
  </r>
  <r>
    <x v="21"/>
    <x v="0"/>
    <n v="1.49"/>
    <n v="481083"/>
    <n v="1.25"/>
    <n v="442122"/>
    <n v="38961"/>
    <n v="22"/>
    <x v="1"/>
  </r>
  <r>
    <x v="22"/>
    <x v="0"/>
    <n v="1.45"/>
    <n v="459516"/>
    <n v="1.62"/>
    <n v="459516"/>
    <n v="0"/>
    <n v="23"/>
    <x v="0"/>
  </r>
  <r>
    <x v="23"/>
    <x v="0"/>
    <n v="1.38"/>
    <n v="1423534"/>
    <n v="0.72"/>
    <n v="819600"/>
    <n v="603934"/>
    <n v="24"/>
    <x v="1"/>
  </r>
  <r>
    <x v="24"/>
    <x v="0"/>
    <n v="1.37"/>
    <n v="930700"/>
    <n v="1.45"/>
    <n v="930700"/>
    <n v="0"/>
    <n v="25"/>
    <x v="0"/>
  </r>
  <r>
    <x v="25"/>
    <x v="0"/>
    <n v="1.34"/>
    <n v="991302"/>
    <n v="1.3"/>
    <n v="991302"/>
    <n v="0"/>
    <n v="26"/>
    <x v="0"/>
  </r>
  <r>
    <x v="26"/>
    <x v="0"/>
    <n v="1.33"/>
    <n v="1156928"/>
    <n v="1.27"/>
    <n v="1156928"/>
    <n v="0"/>
    <n v="27"/>
    <x v="0"/>
  </r>
  <r>
    <x v="27"/>
    <x v="0"/>
    <n v="1.33"/>
    <n v="1650618"/>
    <n v="1.39"/>
    <n v="1650618"/>
    <n v="0"/>
    <n v="28"/>
    <x v="0"/>
  </r>
  <r>
    <x v="28"/>
    <x v="0"/>
    <n v="1.3"/>
    <n v="1217809"/>
    <n v="1.38"/>
    <n v="1217809"/>
    <n v="0"/>
    <n v="29"/>
    <x v="0"/>
  </r>
  <r>
    <x v="29"/>
    <x v="0"/>
    <n v="1.29"/>
    <n v="1784826"/>
    <n v="1.36"/>
    <n v="1784826"/>
    <n v="0"/>
    <n v="30"/>
    <x v="0"/>
  </r>
  <r>
    <x v="30"/>
    <x v="0"/>
    <n v="1.22"/>
    <n v="389393"/>
    <n v="1.29"/>
    <n v="389393"/>
    <n v="0"/>
    <n v="31"/>
    <x v="0"/>
  </r>
  <r>
    <x v="31"/>
    <x v="0"/>
    <n v="1.18"/>
    <n v="2424380"/>
    <n v="0.97"/>
    <n v="1984380"/>
    <n v="440000"/>
    <n v="32"/>
    <x v="1"/>
  </r>
  <r>
    <x v="32"/>
    <x v="0"/>
    <n v="1.1399999999999999"/>
    <n v="941970"/>
    <n v="0.87"/>
    <n v="821970"/>
    <n v="120000"/>
    <n v="33"/>
    <x v="1"/>
  </r>
  <r>
    <x v="33"/>
    <x v="0"/>
    <n v="1.07"/>
    <n v="1757281"/>
    <n v="0.85"/>
    <n v="1503122"/>
    <n v="254159"/>
    <n v="34"/>
    <x v="1"/>
  </r>
  <r>
    <x v="34"/>
    <x v="0"/>
    <n v="1.03"/>
    <n v="6732692"/>
    <n v="1.1299999999999999"/>
    <n v="6732692"/>
    <n v="0"/>
    <n v="35"/>
    <x v="0"/>
  </r>
  <r>
    <x v="35"/>
    <x v="0"/>
    <n v="0.93"/>
    <n v="428363"/>
    <n v="1.02"/>
    <n v="428363"/>
    <n v="0"/>
    <n v="36"/>
    <x v="0"/>
  </r>
  <r>
    <x v="36"/>
    <x v="0"/>
    <n v="0.88"/>
    <n v="3805180"/>
    <n v="0.87"/>
    <n v="3805180"/>
    <n v="0"/>
    <n v="37"/>
    <x v="0"/>
  </r>
  <r>
    <x v="37"/>
    <x v="0"/>
    <n v="0.85"/>
    <n v="483872"/>
    <n v="0.89"/>
    <n v="483872"/>
    <n v="0"/>
    <n v="38"/>
    <x v="0"/>
  </r>
  <r>
    <x v="38"/>
    <x v="0"/>
    <n v="0.8"/>
    <n v="2440688"/>
    <n v="0.83"/>
    <n v="2440688"/>
    <n v="0"/>
    <n v="39"/>
    <x v="0"/>
  </r>
  <r>
    <x v="39"/>
    <x v="0"/>
    <n v="0.76"/>
    <n v="1990068"/>
    <n v="0.72"/>
    <n v="1990068"/>
    <n v="0"/>
    <n v="40"/>
    <x v="0"/>
  </r>
  <r>
    <x v="40"/>
    <x v="0"/>
    <n v="0.71"/>
    <n v="1118822"/>
    <n v="0.68"/>
    <n v="1118822"/>
    <n v="0"/>
    <n v="41"/>
    <x v="0"/>
  </r>
  <r>
    <x v="41"/>
    <x v="0"/>
    <n v="0.64"/>
    <n v="3873356"/>
    <n v="0.66"/>
    <n v="3873356"/>
    <n v="0"/>
    <n v="42"/>
    <x v="0"/>
  </r>
  <r>
    <x v="42"/>
    <x v="0"/>
    <n v="0.64"/>
    <n v="1216254"/>
    <n v="0.66"/>
    <n v="1216254"/>
    <n v="0"/>
    <n v="43"/>
    <x v="0"/>
  </r>
  <r>
    <x v="43"/>
    <x v="0"/>
    <n v="0.61"/>
    <n v="5040690"/>
    <n v="0.61"/>
    <n v="5040690"/>
    <n v="0"/>
    <n v="44"/>
    <x v="0"/>
  </r>
  <r>
    <x v="44"/>
    <x v="0"/>
    <n v="0.6"/>
    <n v="1377351"/>
    <n v="0.55000000000000004"/>
    <n v="1377351"/>
    <n v="0"/>
    <n v="45"/>
    <x v="0"/>
  </r>
  <r>
    <x v="45"/>
    <x v="0"/>
    <n v="0.59"/>
    <n v="1499841"/>
    <n v="0.61"/>
    <n v="1499841"/>
    <n v="0"/>
    <n v="46"/>
    <x v="0"/>
  </r>
  <r>
    <x v="46"/>
    <x v="0"/>
    <n v="0.56999999999999995"/>
    <n v="1011983"/>
    <n v="0.57999999999999996"/>
    <n v="1011983"/>
    <n v="0"/>
    <n v="47"/>
    <x v="0"/>
  </r>
  <r>
    <x v="47"/>
    <x v="0"/>
    <n v="0.56999999999999995"/>
    <n v="120509"/>
    <n v="0.64"/>
    <n v="120509"/>
    <n v="0"/>
    <n v="48"/>
    <x v="0"/>
  </r>
  <r>
    <x v="48"/>
    <x v="0"/>
    <n v="0.55000000000000004"/>
    <n v="1530185"/>
    <n v="0.6"/>
    <n v="1530185"/>
    <n v="0"/>
    <n v="49"/>
    <x v="0"/>
  </r>
  <r>
    <x v="49"/>
    <x v="0"/>
    <n v="0.52"/>
    <n v="184567"/>
    <n v="0.57999999999999996"/>
    <n v="184567"/>
    <n v="0"/>
    <n v="50"/>
    <x v="0"/>
  </r>
  <r>
    <x v="50"/>
    <x v="0"/>
    <n v="0.52"/>
    <n v="708089"/>
    <n v="0.48"/>
    <n v="708089"/>
    <n v="0"/>
    <n v="51"/>
    <x v="0"/>
  </r>
  <r>
    <x v="51"/>
    <x v="0"/>
    <n v="0.5"/>
    <n v="631158"/>
    <n v="0.5"/>
    <n v="631158"/>
    <n v="0"/>
    <n v="52"/>
    <x v="0"/>
  </r>
  <r>
    <x v="52"/>
    <x v="0"/>
    <n v="0.49"/>
    <n v="848832"/>
    <n v="0.44"/>
    <n v="848832"/>
    <n v="0"/>
    <n v="53"/>
    <x v="0"/>
  </r>
  <r>
    <x v="53"/>
    <x v="0"/>
    <n v="0.46"/>
    <n v="1708266"/>
    <n v="0.46"/>
    <n v="1708266"/>
    <n v="0"/>
    <n v="54"/>
    <x v="0"/>
  </r>
  <r>
    <x v="54"/>
    <x v="0"/>
    <n v="0.46"/>
    <n v="972418"/>
    <n v="0.45"/>
    <n v="972418"/>
    <n v="0"/>
    <n v="55"/>
    <x v="0"/>
  </r>
  <r>
    <x v="55"/>
    <x v="0"/>
    <n v="0.45"/>
    <n v="312694"/>
    <n v="0.5"/>
    <n v="312694"/>
    <n v="0"/>
    <n v="56"/>
    <x v="0"/>
  </r>
  <r>
    <x v="56"/>
    <x v="0"/>
    <n v="0.44"/>
    <n v="172492"/>
    <n v="0.42"/>
    <n v="172492"/>
    <n v="0"/>
    <n v="57"/>
    <x v="0"/>
  </r>
  <r>
    <x v="57"/>
    <x v="0"/>
    <n v="0.44"/>
    <n v="5893109"/>
    <n v="0.42"/>
    <n v="5893109"/>
    <n v="0"/>
    <n v="58"/>
    <x v="0"/>
  </r>
  <r>
    <x v="58"/>
    <x v="0"/>
    <n v="0.42"/>
    <n v="2099505"/>
    <n v="0.5"/>
    <n v="2099505"/>
    <n v="0"/>
    <n v="59"/>
    <x v="0"/>
  </r>
  <r>
    <x v="59"/>
    <x v="0"/>
    <n v="0.42"/>
    <n v="553587"/>
    <n v="0.44"/>
    <n v="553587"/>
    <n v="0"/>
    <n v="60"/>
    <x v="0"/>
  </r>
  <r>
    <x v="60"/>
    <x v="0"/>
    <n v="0.41"/>
    <n v="1970985"/>
    <n v="0.34"/>
    <n v="1721467"/>
    <n v="249518"/>
    <n v="61"/>
    <x v="1"/>
  </r>
  <r>
    <x v="61"/>
    <x v="0"/>
    <n v="0.4"/>
    <n v="1378796"/>
    <n v="0.4"/>
    <n v="1378796"/>
    <n v="0"/>
    <n v="62"/>
    <x v="0"/>
  </r>
  <r>
    <x v="62"/>
    <x v="0"/>
    <n v="0.4"/>
    <n v="585452"/>
    <n v="0.44"/>
    <n v="585452"/>
    <n v="0"/>
    <n v="63"/>
    <x v="0"/>
  </r>
  <r>
    <x v="63"/>
    <x v="0"/>
    <n v="0.38"/>
    <n v="7349962"/>
    <n v="0.38"/>
    <n v="7349962"/>
    <n v="0"/>
    <n v="64"/>
    <x v="0"/>
  </r>
  <r>
    <x v="64"/>
    <x v="0"/>
    <n v="0.37"/>
    <n v="1589977"/>
    <n v="0.41"/>
    <n v="1589977"/>
    <n v="0"/>
    <n v="65"/>
    <x v="0"/>
  </r>
  <r>
    <x v="65"/>
    <x v="0"/>
    <n v="0.36"/>
    <n v="1563412"/>
    <n v="0.35"/>
    <n v="1563412"/>
    <n v="0"/>
    <n v="66"/>
    <x v="0"/>
  </r>
  <r>
    <x v="66"/>
    <x v="0"/>
    <n v="0.35"/>
    <n v="410000"/>
    <n v="0.36"/>
    <n v="410000"/>
    <n v="0"/>
    <n v="67"/>
    <x v="0"/>
  </r>
  <r>
    <x v="67"/>
    <x v="0"/>
    <n v="0.35"/>
    <n v="2784736"/>
    <n v="0.34"/>
    <n v="2784736"/>
    <n v="0"/>
    <n v="68"/>
    <x v="0"/>
  </r>
  <r>
    <x v="68"/>
    <x v="0"/>
    <n v="0.33"/>
    <n v="295141"/>
    <n v="0.31"/>
    <n v="295141"/>
    <n v="0"/>
    <n v="69"/>
    <x v="0"/>
  </r>
  <r>
    <x v="69"/>
    <x v="0"/>
    <n v="0.32"/>
    <n v="1082451"/>
    <n v="0.36"/>
    <n v="1082451"/>
    <n v="0"/>
    <n v="70"/>
    <x v="0"/>
  </r>
  <r>
    <x v="70"/>
    <x v="0"/>
    <n v="0.28999999999999998"/>
    <n v="637096"/>
    <n v="0.3"/>
    <n v="637096"/>
    <n v="0"/>
    <n v="71"/>
    <x v="0"/>
  </r>
  <r>
    <x v="71"/>
    <x v="0"/>
    <n v="0.27"/>
    <n v="1762629"/>
    <n v="0.27"/>
    <n v="1762629"/>
    <n v="0"/>
    <n v="72"/>
    <x v="0"/>
  </r>
  <r>
    <x v="72"/>
    <x v="0"/>
    <n v="0.24"/>
    <n v="398973"/>
    <n v="0.26"/>
    <n v="398973"/>
    <n v="0"/>
    <n v="73"/>
    <x v="0"/>
  </r>
  <r>
    <x v="73"/>
    <x v="0"/>
    <n v="0.19"/>
    <n v="460120"/>
    <n v="0.2"/>
    <n v="460120"/>
    <n v="0"/>
    <n v="74"/>
    <x v="0"/>
  </r>
  <r>
    <x v="74"/>
    <x v="0"/>
    <n v="0.19"/>
    <n v="119845"/>
    <n v="0.18"/>
    <n v="119845"/>
    <n v="0"/>
    <n v="75"/>
    <x v="0"/>
  </r>
  <r>
    <x v="75"/>
    <x v="0"/>
    <n v="0.17"/>
    <n v="110117"/>
    <n v="0.15"/>
    <n v="110117"/>
    <n v="0"/>
    <n v="76"/>
    <x v="0"/>
  </r>
  <r>
    <x v="76"/>
    <x v="0"/>
    <n v="0.17"/>
    <n v="801580"/>
    <n v="0"/>
    <n v="0"/>
    <n v="801580"/>
    <n v="77"/>
    <x v="2"/>
  </r>
  <r>
    <x v="77"/>
    <x v="0"/>
    <n v="0.17"/>
    <n v="53053"/>
    <n v="0.19"/>
    <n v="53053"/>
    <n v="0"/>
    <n v="78"/>
    <x v="0"/>
  </r>
  <r>
    <x v="78"/>
    <x v="0"/>
    <n v="0.17"/>
    <n v="665881"/>
    <n v="0.17"/>
    <n v="665881"/>
    <n v="0"/>
    <n v="79"/>
    <x v="0"/>
  </r>
  <r>
    <x v="79"/>
    <x v="0"/>
    <n v="0.15"/>
    <n v="127493"/>
    <n v="0.15"/>
    <n v="127493"/>
    <n v="0"/>
    <n v="80"/>
    <x v="0"/>
  </r>
  <r>
    <x v="80"/>
    <x v="0"/>
    <n v="0.13"/>
    <n v="80063"/>
    <n v="0.14000000000000001"/>
    <n v="80063"/>
    <n v="0"/>
    <n v="81"/>
    <x v="0"/>
  </r>
  <r>
    <x v="81"/>
    <x v="0"/>
    <n v="0.12"/>
    <n v="235652"/>
    <n v="0.11"/>
    <n v="235652"/>
    <n v="0"/>
    <n v="82"/>
    <x v="0"/>
  </r>
  <r>
    <x v="82"/>
    <x v="0"/>
    <n v="0.09"/>
    <n v="211695"/>
    <n v="0.1"/>
    <n v="211695"/>
    <n v="0"/>
    <n v="83"/>
    <x v="0"/>
  </r>
  <r>
    <x v="83"/>
    <x v="0"/>
    <n v="0.06"/>
    <n v="1488754"/>
    <n v="0.06"/>
    <n v="1488754"/>
    <n v="0"/>
    <n v="84"/>
    <x v="0"/>
  </r>
  <r>
    <x v="84"/>
    <x v="0"/>
    <n v="0.05"/>
    <n v="205492"/>
    <n v="0.05"/>
    <n v="205492"/>
    <n v="0"/>
    <n v="85"/>
    <x v="0"/>
  </r>
  <r>
    <x v="85"/>
    <x v="0"/>
    <n v="0.04"/>
    <n v="62745"/>
    <n v="0.04"/>
    <n v="62745"/>
    <n v="0"/>
    <n v="86"/>
    <x v="0"/>
  </r>
  <r>
    <x v="86"/>
    <x v="0"/>
    <n v="0.02"/>
    <n v="15959"/>
    <n v="0.02"/>
    <n v="15959"/>
    <n v="0"/>
    <n v="87"/>
    <x v="0"/>
  </r>
  <r>
    <x v="87"/>
    <x v="0"/>
    <n v="0.02"/>
    <n v="663"/>
    <n v="0.02"/>
    <n v="663"/>
    <n v="0"/>
    <n v="88"/>
    <x v="0"/>
  </r>
  <r>
    <x v="88"/>
    <x v="0"/>
    <n v="0.01"/>
    <n v="61580"/>
    <n v="0.01"/>
    <n v="61580"/>
    <n v="0"/>
    <n v="89"/>
    <x v="0"/>
  </r>
  <r>
    <x v="89"/>
    <x v="0"/>
    <n v="0.01"/>
    <n v="17673"/>
    <n v="0"/>
    <n v="0"/>
    <n v="17673"/>
    <n v="90"/>
    <x v="2"/>
  </r>
  <r>
    <x v="90"/>
    <x v="0"/>
    <n v="0"/>
    <n v="721"/>
    <n v="0"/>
    <n v="721"/>
    <n v="0"/>
    <n v="91"/>
    <x v="0"/>
  </r>
  <r>
    <x v="91"/>
    <x v="0"/>
    <n v="0"/>
    <n v="11427"/>
    <n v="0"/>
    <n v="11427"/>
    <n v="0"/>
    <n v="92"/>
    <x v="0"/>
  </r>
  <r>
    <x v="92"/>
    <x v="0"/>
    <n v="0"/>
    <n v="0"/>
    <n v="0"/>
    <n v="0"/>
    <n v="0"/>
    <n v="93"/>
    <x v="3"/>
  </r>
  <r>
    <x v="93"/>
    <x v="1"/>
    <n v="10.3"/>
    <n v="6366256"/>
    <n v="9.41"/>
    <n v="5499700"/>
    <n v="866556"/>
    <n v="1"/>
    <x v="1"/>
  </r>
  <r>
    <x v="94"/>
    <x v="1"/>
    <n v="8.64"/>
    <n v="8830600"/>
    <n v="8.3000000000000007"/>
    <n v="8830600"/>
    <n v="0"/>
    <n v="2"/>
    <x v="0"/>
  </r>
  <r>
    <x v="95"/>
    <x v="1"/>
    <n v="6.49"/>
    <n v="2598250"/>
    <n v="6.66"/>
    <n v="2598250"/>
    <n v="0"/>
    <n v="3"/>
    <x v="0"/>
  </r>
  <r>
    <x v="96"/>
    <x v="1"/>
    <n v="5.91"/>
    <n v="4444142"/>
    <n v="5.97"/>
    <n v="4444142"/>
    <n v="0"/>
    <n v="4"/>
    <x v="0"/>
  </r>
  <r>
    <x v="97"/>
    <x v="1"/>
    <n v="4.41"/>
    <n v="1678385"/>
    <n v="4.18"/>
    <n v="1678385"/>
    <n v="0"/>
    <n v="5"/>
    <x v="0"/>
  </r>
  <r>
    <x v="98"/>
    <x v="1"/>
    <n v="3.81"/>
    <n v="8350000"/>
    <n v="3.79"/>
    <n v="8350000"/>
    <n v="0"/>
    <n v="6"/>
    <x v="0"/>
  </r>
  <r>
    <x v="99"/>
    <x v="1"/>
    <n v="3.36"/>
    <n v="1002988"/>
    <n v="3.33"/>
    <n v="1002988"/>
    <n v="0"/>
    <n v="7"/>
    <x v="0"/>
  </r>
  <r>
    <x v="100"/>
    <x v="1"/>
    <n v="3.33"/>
    <n v="465934"/>
    <n v="3.26"/>
    <n v="453434"/>
    <n v="12500"/>
    <n v="8"/>
    <x v="1"/>
  </r>
  <r>
    <x v="101"/>
    <x v="1"/>
    <n v="3.29"/>
    <n v="3770316"/>
    <n v="3.53"/>
    <n v="3995316"/>
    <n v="-225000"/>
    <n v="9"/>
    <x v="4"/>
  </r>
  <r>
    <x v="102"/>
    <x v="1"/>
    <n v="3.24"/>
    <n v="3464200"/>
    <n v="3.59"/>
    <n v="3614200"/>
    <n v="-150000"/>
    <n v="10"/>
    <x v="4"/>
  </r>
  <r>
    <x v="103"/>
    <x v="1"/>
    <n v="3.22"/>
    <n v="5300000"/>
    <n v="3.05"/>
    <n v="5300000"/>
    <n v="0"/>
    <n v="11"/>
    <x v="0"/>
  </r>
  <r>
    <x v="104"/>
    <x v="1"/>
    <n v="2.66"/>
    <n v="326152"/>
    <n v="2.93"/>
    <n v="351152"/>
    <n v="-25000"/>
    <n v="12"/>
    <x v="4"/>
  </r>
  <r>
    <x v="105"/>
    <x v="1"/>
    <n v="2.5499999999999998"/>
    <n v="1015800"/>
    <n v="3"/>
    <n v="1115800"/>
    <n v="-100000"/>
    <n v="13"/>
    <x v="4"/>
  </r>
  <r>
    <x v="106"/>
    <x v="1"/>
    <n v="2.2599999999999998"/>
    <n v="2019500"/>
    <n v="1.95"/>
    <n v="1844500"/>
    <n v="175000"/>
    <n v="14"/>
    <x v="1"/>
  </r>
  <r>
    <x v="107"/>
    <x v="1"/>
    <n v="2.04"/>
    <n v="211400"/>
    <n v="2.08"/>
    <n v="211400"/>
    <n v="0"/>
    <n v="15"/>
    <x v="0"/>
  </r>
  <r>
    <x v="108"/>
    <x v="1"/>
    <n v="2"/>
    <n v="1098750"/>
    <n v="2.04"/>
    <n v="1098750"/>
    <n v="0"/>
    <n v="16"/>
    <x v="0"/>
  </r>
  <r>
    <x v="109"/>
    <x v="1"/>
    <n v="1.92"/>
    <n v="8950000"/>
    <n v="1.56"/>
    <n v="8200000"/>
    <n v="750000"/>
    <n v="17"/>
    <x v="1"/>
  </r>
  <r>
    <x v="110"/>
    <x v="1"/>
    <n v="1.72"/>
    <n v="2725000"/>
    <n v="1.63"/>
    <n v="2725000"/>
    <n v="0"/>
    <n v="18"/>
    <x v="0"/>
  </r>
  <r>
    <x v="111"/>
    <x v="1"/>
    <n v="1.68"/>
    <n v="1517952"/>
    <n v="1.74"/>
    <n v="1517952"/>
    <n v="0"/>
    <n v="19"/>
    <x v="0"/>
  </r>
  <r>
    <x v="112"/>
    <x v="1"/>
    <n v="1.44"/>
    <n v="1312000"/>
    <n v="1.57"/>
    <n v="1312000"/>
    <n v="0"/>
    <n v="20"/>
    <x v="0"/>
  </r>
  <r>
    <x v="113"/>
    <x v="1"/>
    <n v="1.43"/>
    <n v="487200"/>
    <n v="1.49"/>
    <n v="487200"/>
    <n v="0"/>
    <n v="21"/>
    <x v="0"/>
  </r>
  <r>
    <x v="114"/>
    <x v="1"/>
    <n v="1.37"/>
    <n v="985000"/>
    <n v="1.17"/>
    <n v="850000"/>
    <n v="135000"/>
    <n v="22"/>
    <x v="1"/>
  </r>
  <r>
    <x v="115"/>
    <x v="1"/>
    <n v="1.29"/>
    <n v="10050000"/>
    <n v="1.21"/>
    <n v="9550000"/>
    <n v="500000"/>
    <n v="23"/>
    <x v="1"/>
  </r>
  <r>
    <x v="116"/>
    <x v="1"/>
    <n v="1.25"/>
    <n v="865000"/>
    <n v="1.7"/>
    <n v="1165000"/>
    <n v="-300000"/>
    <n v="24"/>
    <x v="4"/>
  </r>
  <r>
    <x v="117"/>
    <x v="1"/>
    <n v="1.24"/>
    <n v="1245000"/>
    <n v="1.1399999999999999"/>
    <n v="1245000"/>
    <n v="0"/>
    <n v="25"/>
    <x v="0"/>
  </r>
  <r>
    <x v="118"/>
    <x v="1"/>
    <n v="1.23"/>
    <n v="316307"/>
    <n v="1.2"/>
    <n v="316307"/>
    <n v="0"/>
    <n v="26"/>
    <x v="0"/>
  </r>
  <r>
    <x v="119"/>
    <x v="1"/>
    <n v="1.22"/>
    <n v="272500"/>
    <n v="1.32"/>
    <n v="297500"/>
    <n v="-25000"/>
    <n v="27"/>
    <x v="4"/>
  </r>
  <r>
    <x v="120"/>
    <x v="1"/>
    <n v="1.1200000000000001"/>
    <n v="232500"/>
    <n v="1.1000000000000001"/>
    <n v="232500"/>
    <n v="0"/>
    <n v="28"/>
    <x v="0"/>
  </r>
  <r>
    <x v="121"/>
    <x v="1"/>
    <n v="1.1100000000000001"/>
    <n v="434831"/>
    <n v="1.1499999999999999"/>
    <n v="434831"/>
    <n v="0"/>
    <n v="29"/>
    <x v="0"/>
  </r>
  <r>
    <x v="122"/>
    <x v="1"/>
    <n v="1"/>
    <n v="8300000"/>
    <n v="0.93"/>
    <n v="8300000"/>
    <n v="0"/>
    <n v="30"/>
    <x v="0"/>
  </r>
  <r>
    <x v="123"/>
    <x v="1"/>
    <n v="0.99"/>
    <n v="1703698"/>
    <n v="1.03"/>
    <n v="1703698"/>
    <n v="0"/>
    <n v="31"/>
    <x v="0"/>
  </r>
  <r>
    <x v="124"/>
    <x v="1"/>
    <n v="0.98"/>
    <n v="780000"/>
    <n v="1.02"/>
    <n v="780000"/>
    <n v="0"/>
    <n v="32"/>
    <x v="0"/>
  </r>
  <r>
    <x v="125"/>
    <x v="1"/>
    <n v="0.96"/>
    <n v="40552"/>
    <n v="0.95"/>
    <n v="40552"/>
    <n v="0"/>
    <n v="33"/>
    <x v="0"/>
  </r>
  <r>
    <x v="126"/>
    <x v="1"/>
    <n v="0.92"/>
    <n v="260185"/>
    <n v="1.03"/>
    <n v="260185"/>
    <n v="0"/>
    <n v="34"/>
    <x v="0"/>
  </r>
  <r>
    <x v="127"/>
    <x v="1"/>
    <n v="0.81"/>
    <n v="1450000"/>
    <n v="0.75"/>
    <n v="1450000"/>
    <n v="0"/>
    <n v="35"/>
    <x v="0"/>
  </r>
  <r>
    <x v="128"/>
    <x v="1"/>
    <n v="0.77"/>
    <n v="208600"/>
    <n v="0.82"/>
    <n v="208600"/>
    <n v="0"/>
    <n v="36"/>
    <x v="0"/>
  </r>
  <r>
    <x v="129"/>
    <x v="1"/>
    <n v="0.76"/>
    <n v="20489"/>
    <n v="0.78"/>
    <n v="20489"/>
    <n v="0"/>
    <n v="37"/>
    <x v="0"/>
  </r>
  <r>
    <x v="130"/>
    <x v="1"/>
    <n v="0.67"/>
    <n v="2598250"/>
    <n v="0"/>
    <n v="0"/>
    <n v="2598250"/>
    <n v="38"/>
    <x v="2"/>
  </r>
  <r>
    <x v="131"/>
    <x v="1"/>
    <n v="0.62"/>
    <n v="736324"/>
    <n v="0.64"/>
    <n v="736324"/>
    <n v="0"/>
    <n v="39"/>
    <x v="0"/>
  </r>
  <r>
    <x v="132"/>
    <x v="1"/>
    <n v="0.6"/>
    <n v="1550000"/>
    <n v="0.69"/>
    <n v="1750000"/>
    <n v="-200000"/>
    <n v="40"/>
    <x v="4"/>
  </r>
  <r>
    <x v="133"/>
    <x v="1"/>
    <n v="0.55000000000000004"/>
    <n v="100000"/>
    <n v="0"/>
    <n v="0"/>
    <n v="100000"/>
    <n v="41"/>
    <x v="2"/>
  </r>
  <r>
    <x v="134"/>
    <x v="1"/>
    <n v="0.46"/>
    <n v="1020000"/>
    <n v="0.43"/>
    <n v="1020000"/>
    <n v="0"/>
    <n v="42"/>
    <x v="0"/>
  </r>
  <r>
    <x v="135"/>
    <x v="1"/>
    <n v="0"/>
    <n v="0"/>
    <n v="2.48"/>
    <n v="872950"/>
    <n v="-872950"/>
    <n v="43"/>
    <x v="4"/>
  </r>
  <r>
    <x v="136"/>
    <x v="1"/>
    <n v="0"/>
    <n v="0"/>
    <n v="0"/>
    <n v="0"/>
    <n v="0"/>
    <n v="44"/>
    <x v="3"/>
  </r>
  <r>
    <x v="137"/>
    <x v="1"/>
    <n v="0"/>
    <n v="0"/>
    <n v="0.05"/>
    <n v="108394"/>
    <n v="-108394"/>
    <n v="45"/>
    <x v="4"/>
  </r>
  <r>
    <x v="138"/>
    <x v="2"/>
    <n v="9.82"/>
    <n v="39610273"/>
    <n v="9.1"/>
    <n v="37707933"/>
    <n v="1902340"/>
    <n v="1"/>
    <x v="1"/>
  </r>
  <r>
    <x v="139"/>
    <x v="2"/>
    <n v="7.67"/>
    <n v="12115757"/>
    <n v="7.98"/>
    <n v="12115757"/>
    <n v="0"/>
    <n v="2"/>
    <x v="0"/>
  </r>
  <r>
    <x v="140"/>
    <x v="2"/>
    <n v="7.43"/>
    <n v="11169307"/>
    <n v="7.14"/>
    <n v="11169307"/>
    <n v="0"/>
    <n v="3"/>
    <x v="0"/>
  </r>
  <r>
    <x v="141"/>
    <x v="2"/>
    <n v="6.18"/>
    <n v="15080693"/>
    <n v="1.62"/>
    <n v="3698245"/>
    <n v="11382448"/>
    <n v="4"/>
    <x v="1"/>
  </r>
  <r>
    <x v="142"/>
    <x v="2"/>
    <n v="5.59"/>
    <n v="16615770"/>
    <n v="5.68"/>
    <n v="16479127"/>
    <n v="136643"/>
    <n v="5"/>
    <x v="1"/>
  </r>
  <r>
    <x v="143"/>
    <x v="2"/>
    <n v="4.8"/>
    <n v="20257122"/>
    <n v="5.1100000000000003"/>
    <n v="20054955"/>
    <n v="202167"/>
    <n v="6"/>
    <x v="1"/>
  </r>
  <r>
    <x v="144"/>
    <x v="2"/>
    <n v="3.95"/>
    <n v="1913823"/>
    <n v="3.32"/>
    <n v="1548043"/>
    <n v="365780"/>
    <n v="7"/>
    <x v="1"/>
  </r>
  <r>
    <x v="145"/>
    <x v="2"/>
    <n v="3.51"/>
    <n v="15904050"/>
    <n v="3.6"/>
    <n v="15873391"/>
    <n v="30659"/>
    <n v="8"/>
    <x v="1"/>
  </r>
  <r>
    <x v="146"/>
    <x v="2"/>
    <n v="3.38"/>
    <n v="1387546"/>
    <n v="3.5"/>
    <n v="1385546"/>
    <n v="2000"/>
    <n v="9"/>
    <x v="1"/>
  </r>
  <r>
    <x v="147"/>
    <x v="2"/>
    <n v="2.54"/>
    <n v="21952299"/>
    <n v="2.56"/>
    <n v="21952299"/>
    <n v="0"/>
    <n v="10"/>
    <x v="0"/>
  </r>
  <r>
    <x v="148"/>
    <x v="2"/>
    <n v="1.65"/>
    <n v="2075008"/>
    <n v="1.56"/>
    <n v="2075008"/>
    <n v="0"/>
    <n v="11"/>
    <x v="0"/>
  </r>
  <r>
    <x v="149"/>
    <x v="2"/>
    <n v="1.63"/>
    <n v="30061233"/>
    <n v="1.45"/>
    <n v="29666592"/>
    <n v="394641"/>
    <n v="12"/>
    <x v="1"/>
  </r>
  <r>
    <x v="150"/>
    <x v="2"/>
    <n v="1.57"/>
    <n v="5669361"/>
    <n v="1.66"/>
    <n v="5669361"/>
    <n v="0"/>
    <n v="13"/>
    <x v="0"/>
  </r>
  <r>
    <x v="151"/>
    <x v="2"/>
    <n v="1.51"/>
    <n v="6155745"/>
    <n v="1.43"/>
    <n v="6155745"/>
    <n v="0"/>
    <n v="14"/>
    <x v="0"/>
  </r>
  <r>
    <x v="152"/>
    <x v="2"/>
    <n v="1.48"/>
    <n v="5328187"/>
    <n v="1.63"/>
    <n v="5328187"/>
    <n v="0"/>
    <n v="15"/>
    <x v="0"/>
  </r>
  <r>
    <x v="153"/>
    <x v="2"/>
    <n v="1.42"/>
    <n v="5005704"/>
    <n v="1.39"/>
    <n v="5134707"/>
    <n v="-129003"/>
    <n v="16"/>
    <x v="4"/>
  </r>
  <r>
    <x v="154"/>
    <x v="2"/>
    <n v="1.41"/>
    <n v="4433065"/>
    <n v="1.88"/>
    <n v="5561812"/>
    <n v="-1128747"/>
    <n v="17"/>
    <x v="4"/>
  </r>
  <r>
    <x v="155"/>
    <x v="2"/>
    <n v="1.38"/>
    <n v="31451488"/>
    <n v="1.28"/>
    <n v="30969862"/>
    <n v="481626"/>
    <n v="18"/>
    <x v="1"/>
  </r>
  <r>
    <x v="156"/>
    <x v="2"/>
    <n v="1.36"/>
    <n v="9480683"/>
    <n v="1.4"/>
    <n v="9480683"/>
    <n v="0"/>
    <n v="19"/>
    <x v="0"/>
  </r>
  <r>
    <x v="157"/>
    <x v="2"/>
    <n v="1.31"/>
    <n v="3821962"/>
    <n v="1.44"/>
    <n v="4193254"/>
    <n v="-371292"/>
    <n v="20"/>
    <x v="4"/>
  </r>
  <r>
    <x v="158"/>
    <x v="2"/>
    <n v="1.1299999999999999"/>
    <n v="12109445"/>
    <n v="1.1399999999999999"/>
    <n v="12109445"/>
    <n v="0"/>
    <n v="21"/>
    <x v="0"/>
  </r>
  <r>
    <x v="159"/>
    <x v="2"/>
    <n v="1.08"/>
    <n v="10541327"/>
    <n v="0.84"/>
    <n v="10384711"/>
    <n v="156616"/>
    <n v="22"/>
    <x v="1"/>
  </r>
  <r>
    <x v="160"/>
    <x v="2"/>
    <n v="1.05"/>
    <n v="9144108"/>
    <n v="1.03"/>
    <n v="9488508"/>
    <n v="-344400"/>
    <n v="23"/>
    <x v="4"/>
  </r>
  <r>
    <x v="161"/>
    <x v="2"/>
    <n v="1.03"/>
    <n v="8006637"/>
    <n v="0.89"/>
    <n v="6990496"/>
    <n v="1016141"/>
    <n v="24"/>
    <x v="1"/>
  </r>
  <r>
    <x v="162"/>
    <x v="2"/>
    <n v="1.02"/>
    <n v="259534"/>
    <n v="0.96"/>
    <n v="259534"/>
    <n v="0"/>
    <n v="25"/>
    <x v="0"/>
  </r>
  <r>
    <x v="163"/>
    <x v="2"/>
    <n v="1"/>
    <n v="2620641"/>
    <n v="1.02"/>
    <n v="2620641"/>
    <n v="0"/>
    <n v="26"/>
    <x v="0"/>
  </r>
  <r>
    <x v="164"/>
    <x v="2"/>
    <n v="0.95"/>
    <n v="1020132"/>
    <n v="1.02"/>
    <n v="1020132"/>
    <n v="0"/>
    <n v="27"/>
    <x v="0"/>
  </r>
  <r>
    <x v="165"/>
    <x v="2"/>
    <n v="0.94"/>
    <n v="38524783"/>
    <n v="0.84"/>
    <n v="37793783"/>
    <n v="731000"/>
    <n v="28"/>
    <x v="1"/>
  </r>
  <r>
    <x v="166"/>
    <x v="2"/>
    <n v="0.83"/>
    <n v="1321022"/>
    <n v="0.87"/>
    <n v="1467722"/>
    <n v="-146700"/>
    <n v="29"/>
    <x v="4"/>
  </r>
  <r>
    <x v="103"/>
    <x v="2"/>
    <n v="0.83"/>
    <n v="5399735"/>
    <n v="0.85"/>
    <n v="5714735"/>
    <n v="-315000"/>
    <n v="30"/>
    <x v="4"/>
  </r>
  <r>
    <x v="130"/>
    <x v="2"/>
    <n v="0.79"/>
    <n v="12115757"/>
    <n v="0"/>
    <n v="0"/>
    <n v="12115757"/>
    <n v="31"/>
    <x v="2"/>
  </r>
  <r>
    <x v="167"/>
    <x v="2"/>
    <n v="0.73"/>
    <n v="1589469"/>
    <n v="0.76"/>
    <n v="1589469"/>
    <n v="0"/>
    <n v="32"/>
    <x v="0"/>
  </r>
  <r>
    <x v="168"/>
    <x v="2"/>
    <n v="0.71"/>
    <n v="12487053"/>
    <n v="0"/>
    <n v="0"/>
    <n v="12487053"/>
    <n v="33"/>
    <x v="2"/>
  </r>
  <r>
    <x v="169"/>
    <x v="2"/>
    <n v="0.69"/>
    <n v="1496396"/>
    <n v="0.67"/>
    <n v="1496396"/>
    <n v="0"/>
    <n v="34"/>
    <x v="0"/>
  </r>
  <r>
    <x v="170"/>
    <x v="2"/>
    <n v="0.52"/>
    <n v="1426186"/>
    <n v="0.54"/>
    <n v="1426186"/>
    <n v="0"/>
    <n v="35"/>
    <x v="0"/>
  </r>
  <r>
    <x v="171"/>
    <x v="2"/>
    <n v="0.51"/>
    <n v="5053322"/>
    <n v="0.53"/>
    <n v="5282363"/>
    <n v="-229041"/>
    <n v="36"/>
    <x v="4"/>
  </r>
  <r>
    <x v="172"/>
    <x v="2"/>
    <n v="0.51"/>
    <n v="542914"/>
    <n v="0.49"/>
    <n v="542914"/>
    <n v="0"/>
    <n v="37"/>
    <x v="0"/>
  </r>
  <r>
    <x v="173"/>
    <x v="2"/>
    <n v="0.5"/>
    <n v="508452"/>
    <n v="0.49"/>
    <n v="508452"/>
    <n v="0"/>
    <n v="38"/>
    <x v="0"/>
  </r>
  <r>
    <x v="174"/>
    <x v="2"/>
    <n v="0.47"/>
    <n v="952051"/>
    <n v="0.48"/>
    <n v="952051"/>
    <n v="0"/>
    <n v="39"/>
    <x v="0"/>
  </r>
  <r>
    <x v="175"/>
    <x v="2"/>
    <n v="0.46"/>
    <n v="7718276"/>
    <n v="0.35"/>
    <n v="7718276"/>
    <n v="0"/>
    <n v="40"/>
    <x v="0"/>
  </r>
  <r>
    <x v="176"/>
    <x v="2"/>
    <n v="0.42"/>
    <n v="1228419"/>
    <n v="0.43"/>
    <n v="1228419"/>
    <n v="0"/>
    <n v="41"/>
    <x v="0"/>
  </r>
  <r>
    <x v="177"/>
    <x v="2"/>
    <n v="0.38"/>
    <n v="387847"/>
    <n v="0.38"/>
    <n v="387847"/>
    <n v="0"/>
    <n v="42"/>
    <x v="0"/>
  </r>
  <r>
    <x v="178"/>
    <x v="2"/>
    <n v="0.36"/>
    <n v="254608"/>
    <n v="0.38"/>
    <n v="285108"/>
    <n v="-30500"/>
    <n v="43"/>
    <x v="4"/>
  </r>
  <r>
    <x v="179"/>
    <x v="2"/>
    <n v="0.31"/>
    <n v="414211"/>
    <n v="0.33"/>
    <n v="414211"/>
    <n v="0"/>
    <n v="44"/>
    <x v="0"/>
  </r>
  <r>
    <x v="180"/>
    <x v="2"/>
    <n v="0.31"/>
    <n v="308876"/>
    <n v="0.24"/>
    <n v="259661"/>
    <n v="49215"/>
    <n v="45"/>
    <x v="1"/>
  </r>
  <r>
    <x v="181"/>
    <x v="2"/>
    <n v="0.31"/>
    <n v="484358"/>
    <n v="0.33"/>
    <n v="484358"/>
    <n v="0"/>
    <n v="46"/>
    <x v="0"/>
  </r>
  <r>
    <x v="182"/>
    <x v="2"/>
    <n v="0.3"/>
    <n v="224034"/>
    <n v="0.31"/>
    <n v="224034"/>
    <n v="0"/>
    <n v="47"/>
    <x v="0"/>
  </r>
  <r>
    <x v="183"/>
    <x v="2"/>
    <n v="0.3"/>
    <n v="694918"/>
    <n v="0.32"/>
    <n v="694918"/>
    <n v="0"/>
    <n v="48"/>
    <x v="0"/>
  </r>
  <r>
    <x v="184"/>
    <x v="2"/>
    <n v="0.28999999999999998"/>
    <n v="2790459"/>
    <n v="0.28000000000000003"/>
    <n v="2790459"/>
    <n v="0"/>
    <n v="49"/>
    <x v="0"/>
  </r>
  <r>
    <x v="185"/>
    <x v="2"/>
    <n v="0.23"/>
    <n v="3327398"/>
    <n v="0.24"/>
    <n v="3327398"/>
    <n v="0"/>
    <n v="50"/>
    <x v="0"/>
  </r>
  <r>
    <x v="186"/>
    <x v="2"/>
    <n v="0.22"/>
    <n v="662648"/>
    <n v="0.21"/>
    <n v="662648"/>
    <n v="0"/>
    <n v="51"/>
    <x v="0"/>
  </r>
  <r>
    <x v="187"/>
    <x v="2"/>
    <n v="0.21"/>
    <n v="1041677"/>
    <n v="0.22"/>
    <n v="1041677"/>
    <n v="0"/>
    <n v="52"/>
    <x v="0"/>
  </r>
  <r>
    <x v="188"/>
    <x v="2"/>
    <n v="0.21"/>
    <n v="10759494"/>
    <n v="0.2"/>
    <n v="10759494"/>
    <n v="0"/>
    <n v="53"/>
    <x v="0"/>
  </r>
  <r>
    <x v="189"/>
    <x v="2"/>
    <n v="0.2"/>
    <n v="1264500"/>
    <n v="0.21"/>
    <n v="1264500"/>
    <n v="0"/>
    <n v="54"/>
    <x v="0"/>
  </r>
  <r>
    <x v="190"/>
    <x v="2"/>
    <n v="0.16"/>
    <n v="127654"/>
    <n v="0.15"/>
    <n v="127654"/>
    <n v="0"/>
    <n v="55"/>
    <x v="0"/>
  </r>
  <r>
    <x v="191"/>
    <x v="2"/>
    <n v="0.15"/>
    <n v="4950934"/>
    <n v="0.14000000000000001"/>
    <n v="4972934"/>
    <n v="-22000"/>
    <n v="56"/>
    <x v="4"/>
  </r>
  <r>
    <x v="192"/>
    <x v="2"/>
    <n v="0.14000000000000001"/>
    <n v="494717"/>
    <n v="0.13"/>
    <n v="494717"/>
    <n v="0"/>
    <n v="57"/>
    <x v="0"/>
  </r>
  <r>
    <x v="193"/>
    <x v="2"/>
    <n v="0.13"/>
    <n v="10077627"/>
    <n v="0"/>
    <n v="0"/>
    <n v="10077627"/>
    <n v="58"/>
    <x v="2"/>
  </r>
  <r>
    <x v="194"/>
    <x v="2"/>
    <n v="0.1"/>
    <n v="3090876"/>
    <n v="0.1"/>
    <n v="3090876"/>
    <n v="0"/>
    <n v="59"/>
    <x v="0"/>
  </r>
  <r>
    <x v="195"/>
    <x v="2"/>
    <n v="0.09"/>
    <n v="251731"/>
    <n v="0.09"/>
    <n v="251731"/>
    <n v="0"/>
    <n v="60"/>
    <x v="0"/>
  </r>
  <r>
    <x v="196"/>
    <x v="2"/>
    <n v="0.09"/>
    <n v="63752"/>
    <n v="0.08"/>
    <n v="63752"/>
    <n v="0"/>
    <n v="61"/>
    <x v="0"/>
  </r>
  <r>
    <x v="197"/>
    <x v="2"/>
    <n v="0.09"/>
    <n v="165000"/>
    <n v="0.08"/>
    <n v="165000"/>
    <n v="0"/>
    <n v="62"/>
    <x v="0"/>
  </r>
  <r>
    <x v="198"/>
    <x v="2"/>
    <n v="0.08"/>
    <n v="541237"/>
    <n v="0.08"/>
    <n v="541237"/>
    <n v="0"/>
    <n v="63"/>
    <x v="0"/>
  </r>
  <r>
    <x v="199"/>
    <x v="2"/>
    <n v="0.06"/>
    <n v="201254"/>
    <n v="0.06"/>
    <n v="201254"/>
    <n v="0"/>
    <n v="64"/>
    <x v="0"/>
  </r>
  <r>
    <x v="200"/>
    <x v="2"/>
    <n v="0.05"/>
    <n v="826000"/>
    <n v="0.05"/>
    <n v="826000"/>
    <n v="0"/>
    <n v="65"/>
    <x v="0"/>
  </r>
  <r>
    <x v="201"/>
    <x v="2"/>
    <n v="0.04"/>
    <n v="1202239"/>
    <n v="0"/>
    <n v="0"/>
    <n v="1202239"/>
    <n v="66"/>
    <x v="2"/>
  </r>
  <r>
    <x v="202"/>
    <x v="2"/>
    <n v="0.02"/>
    <n v="248917"/>
    <n v="0"/>
    <n v="0"/>
    <n v="248917"/>
    <n v="67"/>
    <x v="2"/>
  </r>
  <r>
    <x v="203"/>
    <x v="2"/>
    <n v="0.01"/>
    <n v="66821"/>
    <n v="0.01"/>
    <n v="66821"/>
    <n v="0"/>
    <n v="68"/>
    <x v="0"/>
  </r>
  <r>
    <x v="204"/>
    <x v="2"/>
    <n v="0"/>
    <n v="0"/>
    <n v="6.38"/>
    <n v="8751924"/>
    <n v="-8751924"/>
    <n v="69"/>
    <x v="4"/>
  </r>
  <r>
    <x v="205"/>
    <x v="2"/>
    <n v="0"/>
    <n v="0"/>
    <n v="0"/>
    <n v="2798"/>
    <n v="-2798"/>
    <n v="70"/>
    <x v="4"/>
  </r>
  <r>
    <x v="206"/>
    <x v="2"/>
    <n v="0"/>
    <n v="0"/>
    <n v="0.02"/>
    <n v="33300"/>
    <n v="-33300"/>
    <n v="71"/>
    <x v="4"/>
  </r>
  <r>
    <x v="207"/>
    <x v="2"/>
    <n v="0"/>
    <n v="0"/>
    <n v="0.16"/>
    <n v="2354870"/>
    <n v="-2354870"/>
    <n v="72"/>
    <x v="4"/>
  </r>
  <r>
    <x v="208"/>
    <x v="2"/>
    <n v="0"/>
    <n v="0"/>
    <n v="0.28999999999999998"/>
    <n v="337102"/>
    <n v="-337102"/>
    <n v="73"/>
    <x v="4"/>
  </r>
  <r>
    <x v="209"/>
    <x v="2"/>
    <n v="0"/>
    <n v="0"/>
    <n v="0"/>
    <n v="0"/>
    <n v="0"/>
    <n v="74"/>
    <x v="3"/>
  </r>
  <r>
    <x v="210"/>
    <x v="2"/>
    <n v="0"/>
    <n v="0"/>
    <n v="0"/>
    <n v="0"/>
    <n v="0"/>
    <n v="75"/>
    <x v="3"/>
  </r>
  <r>
    <x v="138"/>
    <x v="3"/>
    <n v="8.7799999999999994"/>
    <n v="4258124"/>
    <n v="9.39"/>
    <n v="4566523"/>
    <n v="-308399"/>
    <n v="1"/>
    <x v="4"/>
  </r>
  <r>
    <x v="139"/>
    <x v="3"/>
    <n v="8.58"/>
    <n v="1629408"/>
    <n v="8.4499999999999993"/>
    <n v="1505408"/>
    <n v="124000"/>
    <n v="2"/>
    <x v="1"/>
  </r>
  <r>
    <x v="153"/>
    <x v="3"/>
    <n v="6.3"/>
    <n v="2665137"/>
    <n v="7.45"/>
    <n v="3221216"/>
    <n v="-556079"/>
    <n v="3"/>
    <x v="4"/>
  </r>
  <r>
    <x v="142"/>
    <x v="3"/>
    <n v="5.59"/>
    <n v="1996395"/>
    <n v="5.07"/>
    <n v="1725828"/>
    <n v="270567"/>
    <n v="4"/>
    <x v="1"/>
  </r>
  <r>
    <x v="140"/>
    <x v="3"/>
    <n v="5.38"/>
    <n v="970370"/>
    <n v="5.79"/>
    <n v="1063370"/>
    <n v="-93000"/>
    <n v="5"/>
    <x v="4"/>
  </r>
  <r>
    <x v="141"/>
    <x v="3"/>
    <n v="4.5199999999999996"/>
    <n v="1324784"/>
    <n v="0"/>
    <n v="0"/>
    <n v="1324784"/>
    <n v="6"/>
    <x v="2"/>
  </r>
  <r>
    <x v="146"/>
    <x v="3"/>
    <n v="3.79"/>
    <n v="186652"/>
    <n v="4.58"/>
    <n v="212704"/>
    <n v="-26052"/>
    <n v="7"/>
    <x v="4"/>
  </r>
  <r>
    <x v="186"/>
    <x v="3"/>
    <n v="3.35"/>
    <n v="1199538"/>
    <n v="2.58"/>
    <n v="946288"/>
    <n v="253250"/>
    <n v="8"/>
    <x v="1"/>
  </r>
  <r>
    <x v="173"/>
    <x v="3"/>
    <n v="3.29"/>
    <n v="399211"/>
    <n v="2.71"/>
    <n v="326752"/>
    <n v="72459"/>
    <n v="9"/>
    <x v="1"/>
  </r>
  <r>
    <x v="149"/>
    <x v="3"/>
    <n v="3.2"/>
    <n v="7094486"/>
    <n v="3.11"/>
    <n v="7464486"/>
    <n v="-370000"/>
    <n v="10"/>
    <x v="4"/>
  </r>
  <r>
    <x v="143"/>
    <x v="3"/>
    <n v="3.2"/>
    <n v="1621759"/>
    <n v="2.4500000000000002"/>
    <n v="1126134"/>
    <n v="495625"/>
    <n v="11"/>
    <x v="1"/>
  </r>
  <r>
    <x v="198"/>
    <x v="3"/>
    <n v="3.16"/>
    <n v="2654271"/>
    <n v="2.8"/>
    <n v="2224271"/>
    <n v="430000"/>
    <n v="12"/>
    <x v="1"/>
  </r>
  <r>
    <x v="145"/>
    <x v="3"/>
    <n v="3.14"/>
    <n v="1708421"/>
    <n v="3.05"/>
    <n v="1578421"/>
    <n v="130000"/>
    <n v="13"/>
    <x v="1"/>
  </r>
  <r>
    <x v="157"/>
    <x v="3"/>
    <n v="3.06"/>
    <n v="1077249"/>
    <n v="3.14"/>
    <n v="1077249"/>
    <n v="0"/>
    <n v="14"/>
    <x v="0"/>
  </r>
  <r>
    <x v="164"/>
    <x v="3"/>
    <n v="2.81"/>
    <n v="361822"/>
    <n v="3.34"/>
    <n v="389810"/>
    <n v="-27988"/>
    <n v="15"/>
    <x v="4"/>
  </r>
  <r>
    <x v="175"/>
    <x v="3"/>
    <n v="2.71"/>
    <n v="5412116"/>
    <n v="2.1800000000000002"/>
    <n v="5594909"/>
    <n v="-182793"/>
    <n v="16"/>
    <x v="4"/>
  </r>
  <r>
    <x v="148"/>
    <x v="3"/>
    <n v="2.59"/>
    <n v="390645"/>
    <n v="0.4"/>
    <n v="62553"/>
    <n v="328092"/>
    <n v="17"/>
    <x v="1"/>
  </r>
  <r>
    <x v="211"/>
    <x v="3"/>
    <n v="2.4"/>
    <n v="670461"/>
    <n v="2.37"/>
    <n v="687447"/>
    <n v="-16986"/>
    <n v="18"/>
    <x v="4"/>
  </r>
  <r>
    <x v="159"/>
    <x v="3"/>
    <n v="2.35"/>
    <n v="2745459"/>
    <n v="2.09"/>
    <n v="3045459"/>
    <n v="-300000"/>
    <n v="19"/>
    <x v="4"/>
  </r>
  <r>
    <x v="212"/>
    <x v="3"/>
    <n v="2.25"/>
    <n v="310148"/>
    <n v="1.91"/>
    <n v="253521"/>
    <n v="56627"/>
    <n v="20"/>
    <x v="1"/>
  </r>
  <r>
    <x v="213"/>
    <x v="3"/>
    <n v="2.2400000000000002"/>
    <n v="1359404"/>
    <n v="1.89"/>
    <n v="1122616"/>
    <n v="236788"/>
    <n v="21"/>
    <x v="1"/>
  </r>
  <r>
    <x v="176"/>
    <x v="3"/>
    <n v="2.2400000000000002"/>
    <n v="783457"/>
    <n v="2.3199999999999998"/>
    <n v="783457"/>
    <n v="0"/>
    <n v="22"/>
    <x v="0"/>
  </r>
  <r>
    <x v="154"/>
    <x v="3"/>
    <n v="2.1800000000000002"/>
    <n v="824361"/>
    <n v="1.94"/>
    <n v="674361"/>
    <n v="150000"/>
    <n v="23"/>
    <x v="1"/>
  </r>
  <r>
    <x v="144"/>
    <x v="3"/>
    <n v="2.02"/>
    <n v="117747"/>
    <n v="0"/>
    <n v="0"/>
    <n v="117747"/>
    <n v="24"/>
    <x v="2"/>
  </r>
  <r>
    <x v="165"/>
    <x v="3"/>
    <n v="2"/>
    <n v="9834031"/>
    <n v="2.27"/>
    <n v="12027510"/>
    <n v="-2193479"/>
    <n v="25"/>
    <x v="4"/>
  </r>
  <r>
    <x v="181"/>
    <x v="3"/>
    <n v="1.99"/>
    <n v="371289"/>
    <n v="1.58"/>
    <n v="273693"/>
    <n v="97596"/>
    <n v="26"/>
    <x v="1"/>
  </r>
  <r>
    <x v="214"/>
    <x v="3"/>
    <n v="1.83"/>
    <n v="789937"/>
    <n v="1.51"/>
    <n v="694823"/>
    <n v="95114"/>
    <n v="27"/>
    <x v="1"/>
  </r>
  <r>
    <x v="215"/>
    <x v="3"/>
    <n v="1.49"/>
    <n v="539893"/>
    <n v="1.25"/>
    <n v="443906"/>
    <n v="95987"/>
    <n v="28"/>
    <x v="1"/>
  </r>
  <r>
    <x v="130"/>
    <x v="3"/>
    <n v="0.81"/>
    <n v="1505408"/>
    <n v="0"/>
    <n v="0"/>
    <n v="1505408"/>
    <n v="29"/>
    <x v="2"/>
  </r>
  <r>
    <x v="216"/>
    <x v="3"/>
    <n v="0.4"/>
    <n v="112573"/>
    <n v="0"/>
    <n v="0"/>
    <n v="112573"/>
    <n v="30"/>
    <x v="2"/>
  </r>
  <r>
    <x v="204"/>
    <x v="3"/>
    <n v="0"/>
    <n v="0"/>
    <n v="4.9000000000000004"/>
    <n v="788562"/>
    <n v="-788562"/>
    <n v="31"/>
    <x v="4"/>
  </r>
  <r>
    <x v="103"/>
    <x v="3"/>
    <n v="0"/>
    <n v="0"/>
    <n v="0"/>
    <n v="0"/>
    <n v="0"/>
    <n v="32"/>
    <x v="3"/>
  </r>
  <r>
    <x v="184"/>
    <x v="3"/>
    <n v="0"/>
    <n v="0"/>
    <n v="2.09"/>
    <n v="2426100"/>
    <n v="-2426100"/>
    <n v="33"/>
    <x v="4"/>
  </r>
  <r>
    <x v="217"/>
    <x v="3"/>
    <n v="0"/>
    <n v="0"/>
    <n v="0"/>
    <n v="0"/>
    <n v="0"/>
    <n v="34"/>
    <x v="3"/>
  </r>
  <r>
    <x v="218"/>
    <x v="3"/>
    <n v="0"/>
    <n v="0"/>
    <n v="0"/>
    <n v="0"/>
    <n v="0"/>
    <n v="35"/>
    <x v="3"/>
  </r>
  <r>
    <x v="177"/>
    <x v="3"/>
    <n v="0"/>
    <n v="0"/>
    <n v="1.53"/>
    <n v="183020"/>
    <n v="-183020"/>
    <n v="36"/>
    <x v="4"/>
  </r>
  <r>
    <x v="219"/>
    <x v="3"/>
    <n v="0"/>
    <n v="0"/>
    <n v="1.39"/>
    <n v="745051"/>
    <n v="-745051"/>
    <n v="37"/>
    <x v="4"/>
  </r>
  <r>
    <x v="220"/>
    <x v="3"/>
    <n v="0"/>
    <n v="0"/>
    <n v="0"/>
    <n v="0"/>
    <n v="0"/>
    <n v="38"/>
    <x v="3"/>
  </r>
  <r>
    <x v="221"/>
    <x v="4"/>
    <n v="4.22"/>
    <n v="1870832"/>
    <n v="4.5999999999999996"/>
    <n v="1851866"/>
    <n v="18966"/>
    <n v="1"/>
    <x v="1"/>
  </r>
  <r>
    <x v="222"/>
    <x v="4"/>
    <n v="3.54"/>
    <n v="1480723"/>
    <n v="3.25"/>
    <n v="1430723"/>
    <n v="50000"/>
    <n v="2"/>
    <x v="1"/>
  </r>
  <r>
    <x v="223"/>
    <x v="4"/>
    <n v="3.21"/>
    <n v="9166610"/>
    <n v="3.25"/>
    <n v="9166610"/>
    <n v="0"/>
    <n v="3"/>
    <x v="0"/>
  </r>
  <r>
    <x v="224"/>
    <x v="4"/>
    <n v="3.01"/>
    <n v="1023989"/>
    <n v="3.5"/>
    <n v="1183233"/>
    <n v="-159244"/>
    <n v="4"/>
    <x v="4"/>
  </r>
  <r>
    <x v="225"/>
    <x v="4"/>
    <n v="2.98"/>
    <n v="873867"/>
    <n v="3.22"/>
    <n v="873867"/>
    <n v="0"/>
    <n v="5"/>
    <x v="0"/>
  </r>
  <r>
    <x v="226"/>
    <x v="4"/>
    <n v="2.42"/>
    <n v="1617691"/>
    <n v="2.4"/>
    <n v="1617691"/>
    <n v="0"/>
    <n v="6"/>
    <x v="0"/>
  </r>
  <r>
    <x v="227"/>
    <x v="4"/>
    <n v="2.37"/>
    <n v="634852"/>
    <n v="2.4900000000000002"/>
    <n v="651065"/>
    <n v="-16213"/>
    <n v="7"/>
    <x v="4"/>
  </r>
  <r>
    <x v="228"/>
    <x v="4"/>
    <n v="2.37"/>
    <n v="676631"/>
    <n v="2.4700000000000002"/>
    <n v="676631"/>
    <n v="0"/>
    <n v="8"/>
    <x v="0"/>
  </r>
  <r>
    <x v="229"/>
    <x v="4"/>
    <n v="2.34"/>
    <n v="917205"/>
    <n v="2.2799999999999998"/>
    <n v="917205"/>
    <n v="0"/>
    <n v="9"/>
    <x v="0"/>
  </r>
  <r>
    <x v="230"/>
    <x v="4"/>
    <n v="2.2599999999999998"/>
    <n v="2848630"/>
    <n v="2.19"/>
    <n v="2848630"/>
    <n v="0"/>
    <n v="10"/>
    <x v="0"/>
  </r>
  <r>
    <x v="231"/>
    <x v="4"/>
    <n v="2.0699999999999998"/>
    <n v="2250439"/>
    <n v="2.2400000000000002"/>
    <n v="2250439"/>
    <n v="0"/>
    <n v="11"/>
    <x v="0"/>
  </r>
  <r>
    <x v="232"/>
    <x v="4"/>
    <n v="1.98"/>
    <n v="3966215"/>
    <n v="2.34"/>
    <n v="3966215"/>
    <n v="0"/>
    <n v="12"/>
    <x v="0"/>
  </r>
  <r>
    <x v="233"/>
    <x v="4"/>
    <n v="1.96"/>
    <n v="3689521"/>
    <n v="2"/>
    <n v="3689521"/>
    <n v="0"/>
    <n v="13"/>
    <x v="0"/>
  </r>
  <r>
    <x v="234"/>
    <x v="4"/>
    <n v="1.9"/>
    <n v="2752402"/>
    <n v="2.15"/>
    <n v="2752402"/>
    <n v="0"/>
    <n v="14"/>
    <x v="0"/>
  </r>
  <r>
    <x v="235"/>
    <x v="4"/>
    <n v="1.82"/>
    <n v="2293860"/>
    <n v="0.17"/>
    <n v="377384"/>
    <n v="1916476"/>
    <n v="15"/>
    <x v="1"/>
  </r>
  <r>
    <x v="236"/>
    <x v="4"/>
    <n v="1.81"/>
    <n v="858323"/>
    <n v="1.95"/>
    <n v="858323"/>
    <n v="0"/>
    <n v="16"/>
    <x v="0"/>
  </r>
  <r>
    <x v="237"/>
    <x v="4"/>
    <n v="1.8"/>
    <n v="1983557"/>
    <n v="1.89"/>
    <n v="1983557"/>
    <n v="0"/>
    <n v="17"/>
    <x v="0"/>
  </r>
  <r>
    <x v="238"/>
    <x v="4"/>
    <n v="1.75"/>
    <n v="4935563"/>
    <n v="0.78"/>
    <n v="1967370"/>
    <n v="2968193"/>
    <n v="18"/>
    <x v="1"/>
  </r>
  <r>
    <x v="239"/>
    <x v="4"/>
    <n v="1.75"/>
    <n v="454657"/>
    <n v="1.88"/>
    <n v="479239"/>
    <n v="-24582"/>
    <n v="19"/>
    <x v="4"/>
  </r>
  <r>
    <x v="240"/>
    <x v="4"/>
    <n v="1.72"/>
    <n v="9965021"/>
    <n v="1.68"/>
    <n v="9965021"/>
    <n v="0"/>
    <n v="20"/>
    <x v="0"/>
  </r>
  <r>
    <x v="241"/>
    <x v="4"/>
    <n v="1.71"/>
    <n v="1098274"/>
    <n v="1.85"/>
    <n v="1104902"/>
    <n v="-6628"/>
    <n v="21"/>
    <x v="4"/>
  </r>
  <r>
    <x v="242"/>
    <x v="4"/>
    <n v="1.68"/>
    <n v="1782864"/>
    <n v="2.02"/>
    <n v="1836064"/>
    <n v="-53200"/>
    <n v="22"/>
    <x v="4"/>
  </r>
  <r>
    <x v="243"/>
    <x v="4"/>
    <n v="1.64"/>
    <n v="3422826"/>
    <n v="1.22"/>
    <n v="3422826"/>
    <n v="0"/>
    <n v="23"/>
    <x v="0"/>
  </r>
  <r>
    <x v="244"/>
    <x v="4"/>
    <n v="1.59"/>
    <n v="2590457"/>
    <n v="1.78"/>
    <n v="2933119"/>
    <n v="-342662"/>
    <n v="24"/>
    <x v="4"/>
  </r>
  <r>
    <x v="219"/>
    <x v="4"/>
    <n v="1.56"/>
    <n v="1186783"/>
    <n v="1.66"/>
    <n v="1186783"/>
    <n v="0"/>
    <n v="25"/>
    <x v="0"/>
  </r>
  <r>
    <x v="245"/>
    <x v="4"/>
    <n v="1.54"/>
    <n v="3203377"/>
    <n v="1.48"/>
    <n v="3203377"/>
    <n v="0"/>
    <n v="26"/>
    <x v="0"/>
  </r>
  <r>
    <x v="246"/>
    <x v="4"/>
    <n v="1.47"/>
    <n v="1299762"/>
    <n v="1.53"/>
    <n v="1299762"/>
    <n v="0"/>
    <n v="27"/>
    <x v="0"/>
  </r>
  <r>
    <x v="247"/>
    <x v="4"/>
    <n v="1.45"/>
    <n v="989708"/>
    <n v="1.42"/>
    <n v="989708"/>
    <n v="0"/>
    <n v="28"/>
    <x v="0"/>
  </r>
  <r>
    <x v="213"/>
    <x v="4"/>
    <n v="1.38"/>
    <n v="1128572"/>
    <n v="1.43"/>
    <n v="1128572"/>
    <n v="0"/>
    <n v="29"/>
    <x v="0"/>
  </r>
  <r>
    <x v="248"/>
    <x v="4"/>
    <n v="1.38"/>
    <n v="11455291"/>
    <n v="1.37"/>
    <n v="11455291"/>
    <n v="0"/>
    <n v="30"/>
    <x v="0"/>
  </r>
  <r>
    <x v="249"/>
    <x v="4"/>
    <n v="1.36"/>
    <n v="1127405"/>
    <n v="1.44"/>
    <n v="1135648"/>
    <n v="-8243"/>
    <n v="31"/>
    <x v="4"/>
  </r>
  <r>
    <x v="250"/>
    <x v="4"/>
    <n v="1.27"/>
    <n v="1665847"/>
    <n v="1.34"/>
    <n v="1665847"/>
    <n v="0"/>
    <n v="32"/>
    <x v="0"/>
  </r>
  <r>
    <x v="251"/>
    <x v="4"/>
    <n v="1.26"/>
    <n v="3150000"/>
    <n v="1.29"/>
    <n v="3150000"/>
    <n v="0"/>
    <n v="33"/>
    <x v="0"/>
  </r>
  <r>
    <x v="199"/>
    <x v="4"/>
    <n v="1.26"/>
    <n v="668302"/>
    <n v="1.37"/>
    <n v="668302"/>
    <n v="0"/>
    <n v="34"/>
    <x v="0"/>
  </r>
  <r>
    <x v="252"/>
    <x v="4"/>
    <n v="1.21"/>
    <n v="5042558"/>
    <n v="1.36"/>
    <n v="5042558"/>
    <n v="0"/>
    <n v="35"/>
    <x v="0"/>
  </r>
  <r>
    <x v="253"/>
    <x v="4"/>
    <n v="1.1299999999999999"/>
    <n v="1158165"/>
    <n v="1.03"/>
    <n v="1158165"/>
    <n v="0"/>
    <n v="36"/>
    <x v="0"/>
  </r>
  <r>
    <x v="254"/>
    <x v="4"/>
    <n v="1.05"/>
    <n v="539811"/>
    <n v="1.1100000000000001"/>
    <n v="550482"/>
    <n v="-10671"/>
    <n v="37"/>
    <x v="4"/>
  </r>
  <r>
    <x v="255"/>
    <x v="4"/>
    <n v="1.05"/>
    <n v="1596364"/>
    <n v="1.01"/>
    <n v="1703175"/>
    <n v="-106811"/>
    <n v="38"/>
    <x v="4"/>
  </r>
  <r>
    <x v="256"/>
    <x v="4"/>
    <n v="1"/>
    <n v="6871542"/>
    <n v="1.02"/>
    <n v="6871542"/>
    <n v="0"/>
    <n v="39"/>
    <x v="0"/>
  </r>
  <r>
    <x v="257"/>
    <x v="4"/>
    <n v="0.99"/>
    <n v="207517"/>
    <n v="0.98"/>
    <n v="207517"/>
    <n v="0"/>
    <n v="40"/>
    <x v="0"/>
  </r>
  <r>
    <x v="258"/>
    <x v="4"/>
    <n v="0.98"/>
    <n v="599641"/>
    <n v="0.85"/>
    <n v="599641"/>
    <n v="0"/>
    <n v="41"/>
    <x v="0"/>
  </r>
  <r>
    <x v="259"/>
    <x v="4"/>
    <n v="0.98"/>
    <n v="3024625"/>
    <n v="1.07"/>
    <n v="3020000"/>
    <n v="4625"/>
    <n v="42"/>
    <x v="1"/>
  </r>
  <r>
    <x v="260"/>
    <x v="4"/>
    <n v="0.96"/>
    <n v="529564"/>
    <n v="1"/>
    <n v="529564"/>
    <n v="0"/>
    <n v="43"/>
    <x v="0"/>
  </r>
  <r>
    <x v="261"/>
    <x v="4"/>
    <n v="0.91"/>
    <n v="1723556"/>
    <n v="0.88"/>
    <n v="1723556"/>
    <n v="0"/>
    <n v="44"/>
    <x v="0"/>
  </r>
  <r>
    <x v="262"/>
    <x v="4"/>
    <n v="0.91"/>
    <n v="143770"/>
    <n v="1.04"/>
    <n v="143770"/>
    <n v="0"/>
    <n v="45"/>
    <x v="0"/>
  </r>
  <r>
    <x v="263"/>
    <x v="4"/>
    <n v="0.88"/>
    <n v="1105632"/>
    <n v="0.98"/>
    <n v="1105632"/>
    <n v="0"/>
    <n v="46"/>
    <x v="0"/>
  </r>
  <r>
    <x v="264"/>
    <x v="4"/>
    <n v="0.87"/>
    <n v="637336"/>
    <n v="0.97"/>
    <n v="638194"/>
    <n v="-858"/>
    <n v="47"/>
    <x v="4"/>
  </r>
  <r>
    <x v="265"/>
    <x v="4"/>
    <n v="0.86"/>
    <n v="1772651"/>
    <n v="0.96"/>
    <n v="1772651"/>
    <n v="0"/>
    <n v="48"/>
    <x v="0"/>
  </r>
  <r>
    <x v="266"/>
    <x v="4"/>
    <n v="0.84"/>
    <n v="436018"/>
    <n v="0.7"/>
    <n v="319137"/>
    <n v="116881"/>
    <n v="49"/>
    <x v="1"/>
  </r>
  <r>
    <x v="267"/>
    <x v="4"/>
    <n v="0.78"/>
    <n v="856311"/>
    <n v="0.91"/>
    <n v="941909"/>
    <n v="-85598"/>
    <n v="50"/>
    <x v="4"/>
  </r>
  <r>
    <x v="268"/>
    <x v="4"/>
    <n v="0.74"/>
    <n v="705969"/>
    <n v="0.77"/>
    <n v="705969"/>
    <n v="0"/>
    <n v="51"/>
    <x v="0"/>
  </r>
  <r>
    <x v="269"/>
    <x v="4"/>
    <n v="0.73"/>
    <n v="2255909"/>
    <n v="0.79"/>
    <n v="2255909"/>
    <n v="0"/>
    <n v="52"/>
    <x v="0"/>
  </r>
  <r>
    <x v="270"/>
    <x v="4"/>
    <n v="0.72"/>
    <n v="3814186"/>
    <n v="0.77"/>
    <n v="3814186"/>
    <n v="0"/>
    <n v="53"/>
    <x v="0"/>
  </r>
  <r>
    <x v="271"/>
    <x v="4"/>
    <n v="0.56999999999999995"/>
    <n v="1100485"/>
    <n v="0.54"/>
    <n v="1100485"/>
    <n v="0"/>
    <n v="54"/>
    <x v="0"/>
  </r>
  <r>
    <x v="194"/>
    <x v="4"/>
    <n v="0.51"/>
    <n v="2665117"/>
    <n v="0.54"/>
    <n v="2665117"/>
    <n v="0"/>
    <n v="55"/>
    <x v="0"/>
  </r>
  <r>
    <x v="272"/>
    <x v="4"/>
    <n v="0.5"/>
    <n v="3796234"/>
    <n v="0.56000000000000005"/>
    <n v="4211850"/>
    <n v="-415616"/>
    <n v="56"/>
    <x v="4"/>
  </r>
  <r>
    <x v="273"/>
    <x v="4"/>
    <n v="0.48"/>
    <n v="475643"/>
    <n v="0.5"/>
    <n v="475643"/>
    <n v="0"/>
    <n v="57"/>
    <x v="0"/>
  </r>
  <r>
    <x v="274"/>
    <x v="4"/>
    <n v="0.47"/>
    <n v="690718"/>
    <n v="0"/>
    <n v="0"/>
    <n v="690718"/>
    <n v="58"/>
    <x v="2"/>
  </r>
  <r>
    <x v="275"/>
    <x v="4"/>
    <n v="0.43"/>
    <n v="614009"/>
    <n v="0.47"/>
    <n v="614009"/>
    <n v="0"/>
    <n v="59"/>
    <x v="0"/>
  </r>
  <r>
    <x v="276"/>
    <x v="4"/>
    <n v="0.38"/>
    <n v="479345"/>
    <n v="0.46"/>
    <n v="479345"/>
    <n v="0"/>
    <n v="60"/>
    <x v="0"/>
  </r>
  <r>
    <x v="277"/>
    <x v="4"/>
    <n v="0.33"/>
    <n v="91065"/>
    <n v="0.38"/>
    <n v="91065"/>
    <n v="0"/>
    <n v="61"/>
    <x v="0"/>
  </r>
  <r>
    <x v="278"/>
    <x v="4"/>
    <n v="0"/>
    <n v="0"/>
    <n v="0"/>
    <n v="0"/>
    <n v="0"/>
    <n v="62"/>
    <x v="3"/>
  </r>
  <r>
    <x v="279"/>
    <x v="4"/>
    <n v="0"/>
    <n v="0"/>
    <n v="0"/>
    <n v="0"/>
    <n v="0"/>
    <n v="63"/>
    <x v="3"/>
  </r>
  <r>
    <x v="280"/>
    <x v="4"/>
    <n v="0"/>
    <n v="0"/>
    <n v="0"/>
    <n v="0"/>
    <n v="0"/>
    <n v="64"/>
    <x v="3"/>
  </r>
  <r>
    <x v="281"/>
    <x v="5"/>
    <n v="4.78"/>
    <n v="4222578"/>
    <n v="4.53"/>
    <n v="4219899"/>
    <n v="2679"/>
    <n v="1"/>
    <x v="1"/>
  </r>
  <r>
    <x v="174"/>
    <x v="5"/>
    <n v="3.68"/>
    <n v="5863399"/>
    <n v="3.83"/>
    <n v="5863399"/>
    <n v="0"/>
    <n v="2"/>
    <x v="0"/>
  </r>
  <r>
    <x v="282"/>
    <x v="5"/>
    <n v="3.56"/>
    <n v="3576284"/>
    <n v="3.66"/>
    <n v="3520962"/>
    <n v="55322"/>
    <n v="3"/>
    <x v="1"/>
  </r>
  <r>
    <x v="22"/>
    <x v="5"/>
    <n v="2.88"/>
    <n v="1903852"/>
    <n v="3.21"/>
    <n v="1903852"/>
    <n v="0"/>
    <n v="4"/>
    <x v="0"/>
  </r>
  <r>
    <x v="283"/>
    <x v="5"/>
    <n v="2.87"/>
    <n v="1681491"/>
    <n v="2.81"/>
    <n v="1681491"/>
    <n v="0"/>
    <n v="5"/>
    <x v="0"/>
  </r>
  <r>
    <x v="284"/>
    <x v="5"/>
    <n v="2.7"/>
    <n v="7575014"/>
    <n v="2.4500000000000002"/>
    <n v="7402201"/>
    <n v="172813"/>
    <n v="6"/>
    <x v="1"/>
  </r>
  <r>
    <x v="285"/>
    <x v="5"/>
    <n v="2.62"/>
    <n v="5723155"/>
    <n v="2.41"/>
    <n v="5703155"/>
    <n v="20000"/>
    <n v="7"/>
    <x v="1"/>
  </r>
  <r>
    <x v="286"/>
    <x v="5"/>
    <n v="2.54"/>
    <n v="3066715"/>
    <n v="2.35"/>
    <n v="3066715"/>
    <n v="0"/>
    <n v="8"/>
    <x v="0"/>
  </r>
  <r>
    <x v="287"/>
    <x v="5"/>
    <n v="2.46"/>
    <n v="2035017"/>
    <n v="2.54"/>
    <n v="2022995"/>
    <n v="12022"/>
    <n v="9"/>
    <x v="1"/>
  </r>
  <r>
    <x v="288"/>
    <x v="5"/>
    <n v="2.42"/>
    <n v="2100000"/>
    <n v="2.77"/>
    <n v="2100000"/>
    <n v="0"/>
    <n v="10"/>
    <x v="0"/>
  </r>
  <r>
    <x v="289"/>
    <x v="5"/>
    <n v="2.41"/>
    <n v="7345069"/>
    <n v="2.25"/>
    <n v="7068818"/>
    <n v="276251"/>
    <n v="11"/>
    <x v="1"/>
  </r>
  <r>
    <x v="290"/>
    <x v="5"/>
    <n v="2.39"/>
    <n v="8051993"/>
    <n v="2.21"/>
    <n v="7851993"/>
    <n v="200000"/>
    <n v="12"/>
    <x v="1"/>
  </r>
  <r>
    <x v="291"/>
    <x v="5"/>
    <n v="2.38"/>
    <n v="1097884"/>
    <n v="2.27"/>
    <n v="967670"/>
    <n v="130214"/>
    <n v="13"/>
    <x v="1"/>
  </r>
  <r>
    <x v="292"/>
    <x v="5"/>
    <n v="2.34"/>
    <n v="2245964"/>
    <n v="2.52"/>
    <n v="2216527"/>
    <n v="29437"/>
    <n v="14"/>
    <x v="1"/>
  </r>
  <r>
    <x v="293"/>
    <x v="5"/>
    <n v="2.29"/>
    <n v="55087745"/>
    <n v="2.31"/>
    <n v="54587745"/>
    <n v="500000"/>
    <n v="15"/>
    <x v="1"/>
  </r>
  <r>
    <x v="294"/>
    <x v="5"/>
    <n v="2.2200000000000002"/>
    <n v="2629293"/>
    <n v="2.14"/>
    <n v="2442463"/>
    <n v="186830"/>
    <n v="16"/>
    <x v="1"/>
  </r>
  <r>
    <x v="295"/>
    <x v="5"/>
    <n v="1.99"/>
    <n v="4288368"/>
    <n v="2.12"/>
    <n v="4283715"/>
    <n v="4653"/>
    <n v="17"/>
    <x v="1"/>
  </r>
  <r>
    <x v="296"/>
    <x v="5"/>
    <n v="1.8"/>
    <n v="6480087"/>
    <n v="1.62"/>
    <n v="6480087"/>
    <n v="0"/>
    <n v="18"/>
    <x v="0"/>
  </r>
  <r>
    <x v="205"/>
    <x v="5"/>
    <n v="1.75"/>
    <n v="2742196"/>
    <n v="1.76"/>
    <n v="2742196"/>
    <n v="0"/>
    <n v="19"/>
    <x v="0"/>
  </r>
  <r>
    <x v="216"/>
    <x v="5"/>
    <n v="1.73"/>
    <n v="3133553"/>
    <n v="1.66"/>
    <n v="2940933"/>
    <n v="192620"/>
    <n v="20"/>
    <x v="1"/>
  </r>
  <r>
    <x v="297"/>
    <x v="5"/>
    <n v="1.66"/>
    <n v="3263263"/>
    <n v="1.39"/>
    <n v="3179807"/>
    <n v="83456"/>
    <n v="21"/>
    <x v="1"/>
  </r>
  <r>
    <x v="298"/>
    <x v="5"/>
    <n v="1.6"/>
    <n v="20111771"/>
    <n v="1.51"/>
    <n v="19011771"/>
    <n v="1100000"/>
    <n v="22"/>
    <x v="1"/>
  </r>
  <r>
    <x v="299"/>
    <x v="5"/>
    <n v="1.56"/>
    <n v="1831319"/>
    <n v="1.4"/>
    <n v="1827324"/>
    <n v="3995"/>
    <n v="23"/>
    <x v="1"/>
  </r>
  <r>
    <x v="300"/>
    <x v="5"/>
    <n v="1.55"/>
    <n v="5491304"/>
    <n v="1.61"/>
    <n v="5191304"/>
    <n v="300000"/>
    <n v="24"/>
    <x v="1"/>
  </r>
  <r>
    <x v="301"/>
    <x v="5"/>
    <n v="1.53"/>
    <n v="6580909"/>
    <n v="1.67"/>
    <n v="6580909"/>
    <n v="0"/>
    <n v="25"/>
    <x v="0"/>
  </r>
  <r>
    <x v="138"/>
    <x v="5"/>
    <n v="1.52"/>
    <n v="4774058"/>
    <n v="1.5"/>
    <n v="4774058"/>
    <n v="0"/>
    <n v="26"/>
    <x v="0"/>
  </r>
  <r>
    <x v="302"/>
    <x v="5"/>
    <n v="1.37"/>
    <n v="31649080"/>
    <n v="1.25"/>
    <n v="29374630"/>
    <n v="2274450"/>
    <n v="27"/>
    <x v="1"/>
  </r>
  <r>
    <x v="303"/>
    <x v="5"/>
    <n v="1.28"/>
    <n v="3322537"/>
    <n v="1.34"/>
    <n v="3302537"/>
    <n v="20000"/>
    <n v="28"/>
    <x v="1"/>
  </r>
  <r>
    <x v="304"/>
    <x v="5"/>
    <n v="1.23"/>
    <n v="940364"/>
    <n v="1.39"/>
    <n v="940364"/>
    <n v="0"/>
    <n v="29"/>
    <x v="0"/>
  </r>
  <r>
    <x v="305"/>
    <x v="5"/>
    <n v="1.23"/>
    <n v="1778955"/>
    <n v="1.37"/>
    <n v="1778955"/>
    <n v="0"/>
    <n v="30"/>
    <x v="0"/>
  </r>
  <r>
    <x v="249"/>
    <x v="5"/>
    <n v="1.2"/>
    <n v="4799330"/>
    <n v="1.19"/>
    <n v="4632592"/>
    <n v="166738"/>
    <n v="31"/>
    <x v="1"/>
  </r>
  <r>
    <x v="306"/>
    <x v="5"/>
    <n v="1.2"/>
    <n v="12617274"/>
    <n v="1.43"/>
    <n v="12617274"/>
    <n v="0"/>
    <n v="32"/>
    <x v="0"/>
  </r>
  <r>
    <x v="307"/>
    <x v="5"/>
    <n v="1.2"/>
    <n v="2978121"/>
    <n v="1.24"/>
    <n v="2978121"/>
    <n v="0"/>
    <n v="33"/>
    <x v="0"/>
  </r>
  <r>
    <x v="143"/>
    <x v="5"/>
    <n v="1.1200000000000001"/>
    <n v="3671058"/>
    <n v="1.22"/>
    <n v="3671058"/>
    <n v="0"/>
    <n v="34"/>
    <x v="0"/>
  </r>
  <r>
    <x v="308"/>
    <x v="5"/>
    <n v="1.1000000000000001"/>
    <n v="5549254"/>
    <n v="1.07"/>
    <n v="5549254"/>
    <n v="0"/>
    <n v="35"/>
    <x v="0"/>
  </r>
  <r>
    <x v="309"/>
    <x v="5"/>
    <n v="1.07"/>
    <n v="5023804"/>
    <n v="1"/>
    <n v="5112706"/>
    <n v="-88902"/>
    <n v="36"/>
    <x v="4"/>
  </r>
  <r>
    <x v="310"/>
    <x v="5"/>
    <n v="0.99"/>
    <n v="1225426"/>
    <n v="0.98"/>
    <n v="1225426"/>
    <n v="0"/>
    <n v="37"/>
    <x v="0"/>
  </r>
  <r>
    <x v="311"/>
    <x v="5"/>
    <n v="0.96"/>
    <n v="29381"/>
    <n v="1"/>
    <n v="29381"/>
    <n v="0"/>
    <n v="38"/>
    <x v="0"/>
  </r>
  <r>
    <x v="312"/>
    <x v="5"/>
    <n v="0.93"/>
    <n v="3592291"/>
    <n v="0.98"/>
    <n v="3592291"/>
    <n v="0"/>
    <n v="39"/>
    <x v="0"/>
  </r>
  <r>
    <x v="313"/>
    <x v="5"/>
    <n v="0.9"/>
    <n v="4470897"/>
    <n v="0.88"/>
    <n v="4470897"/>
    <n v="0"/>
    <n v="40"/>
    <x v="0"/>
  </r>
  <r>
    <x v="314"/>
    <x v="5"/>
    <n v="0.89"/>
    <n v="9862872"/>
    <n v="0.91"/>
    <n v="9539275"/>
    <n v="323597"/>
    <n v="41"/>
    <x v="1"/>
  </r>
  <r>
    <x v="315"/>
    <x v="5"/>
    <n v="0.85"/>
    <n v="5780127"/>
    <n v="0.82"/>
    <n v="5780127"/>
    <n v="0"/>
    <n v="42"/>
    <x v="0"/>
  </r>
  <r>
    <x v="316"/>
    <x v="5"/>
    <n v="0.83"/>
    <n v="3326936"/>
    <n v="0.77"/>
    <n v="3026936"/>
    <n v="300000"/>
    <n v="43"/>
    <x v="1"/>
  </r>
  <r>
    <x v="317"/>
    <x v="5"/>
    <n v="0.78"/>
    <n v="1286008"/>
    <n v="0.75"/>
    <n v="1286008"/>
    <n v="0"/>
    <n v="44"/>
    <x v="0"/>
  </r>
  <r>
    <x v="185"/>
    <x v="5"/>
    <n v="0.77"/>
    <n v="8560976"/>
    <n v="0.7"/>
    <n v="7660976"/>
    <n v="900000"/>
    <n v="45"/>
    <x v="1"/>
  </r>
  <r>
    <x v="318"/>
    <x v="5"/>
    <n v="0.76"/>
    <n v="458819"/>
    <n v="0.79"/>
    <n v="458819"/>
    <n v="0"/>
    <n v="46"/>
    <x v="0"/>
  </r>
  <r>
    <x v="319"/>
    <x v="5"/>
    <n v="0.75"/>
    <n v="970781"/>
    <n v="0.74"/>
    <n v="970781"/>
    <n v="0"/>
    <n v="47"/>
    <x v="0"/>
  </r>
  <r>
    <x v="129"/>
    <x v="5"/>
    <n v="0.72"/>
    <n v="59756"/>
    <n v="0.76"/>
    <n v="59756"/>
    <n v="0"/>
    <n v="48"/>
    <x v="0"/>
  </r>
  <r>
    <x v="320"/>
    <x v="5"/>
    <n v="0.67"/>
    <n v="1650702"/>
    <n v="0.67"/>
    <n v="1631896"/>
    <n v="18806"/>
    <n v="49"/>
    <x v="1"/>
  </r>
  <r>
    <x v="141"/>
    <x v="5"/>
    <n v="0.63"/>
    <n v="1192800"/>
    <n v="0"/>
    <n v="0"/>
    <n v="1192800"/>
    <n v="50"/>
    <x v="2"/>
  </r>
  <r>
    <x v="321"/>
    <x v="5"/>
    <n v="0.62"/>
    <n v="2269668"/>
    <n v="0.66"/>
    <n v="2269668"/>
    <n v="0"/>
    <n v="51"/>
    <x v="0"/>
  </r>
  <r>
    <x v="322"/>
    <x v="5"/>
    <n v="0.62"/>
    <n v="1887699"/>
    <n v="0.59"/>
    <n v="1887699"/>
    <n v="0"/>
    <n v="52"/>
    <x v="0"/>
  </r>
  <r>
    <x v="180"/>
    <x v="5"/>
    <n v="0.59"/>
    <n v="468407"/>
    <n v="0.52"/>
    <n v="438407"/>
    <n v="30000"/>
    <n v="53"/>
    <x v="1"/>
  </r>
  <r>
    <x v="323"/>
    <x v="5"/>
    <n v="0.49"/>
    <n v="2433301"/>
    <n v="0.42"/>
    <n v="1833301"/>
    <n v="600000"/>
    <n v="54"/>
    <x v="1"/>
  </r>
  <r>
    <x v="324"/>
    <x v="5"/>
    <n v="0.49"/>
    <n v="118344"/>
    <n v="0.48"/>
    <n v="118344"/>
    <n v="0"/>
    <n v="55"/>
    <x v="0"/>
  </r>
  <r>
    <x v="325"/>
    <x v="5"/>
    <n v="0.44"/>
    <n v="57410"/>
    <n v="0.46"/>
    <n v="57410"/>
    <n v="0"/>
    <n v="56"/>
    <x v="0"/>
  </r>
  <r>
    <x v="326"/>
    <x v="5"/>
    <n v="0.42"/>
    <n v="13298635"/>
    <n v="0.38"/>
    <n v="13298635"/>
    <n v="0"/>
    <n v="57"/>
    <x v="0"/>
  </r>
  <r>
    <x v="327"/>
    <x v="5"/>
    <n v="0.42"/>
    <n v="2725121"/>
    <n v="0.43"/>
    <n v="2725121"/>
    <n v="0"/>
    <n v="58"/>
    <x v="0"/>
  </r>
  <r>
    <x v="328"/>
    <x v="5"/>
    <n v="0.38"/>
    <n v="1786725"/>
    <n v="0.32"/>
    <n v="1786725"/>
    <n v="0"/>
    <n v="59"/>
    <x v="0"/>
  </r>
  <r>
    <x v="329"/>
    <x v="5"/>
    <n v="0.37"/>
    <n v="172425"/>
    <n v="0.37"/>
    <n v="172425"/>
    <n v="0"/>
    <n v="60"/>
    <x v="0"/>
  </r>
  <r>
    <x v="330"/>
    <x v="5"/>
    <n v="0.36"/>
    <n v="1767181"/>
    <n v="0.32"/>
    <n v="1767181"/>
    <n v="0"/>
    <n v="61"/>
    <x v="0"/>
  </r>
  <r>
    <x v="331"/>
    <x v="5"/>
    <n v="0.35"/>
    <n v="25750"/>
    <n v="0.36"/>
    <n v="25750"/>
    <n v="0"/>
    <n v="62"/>
    <x v="0"/>
  </r>
  <r>
    <x v="117"/>
    <x v="5"/>
    <n v="0.34"/>
    <n v="1043376"/>
    <n v="0.32"/>
    <n v="1043376"/>
    <n v="0"/>
    <n v="63"/>
    <x v="0"/>
  </r>
  <r>
    <x v="332"/>
    <x v="5"/>
    <n v="0.33"/>
    <n v="7856168"/>
    <n v="0.34"/>
    <n v="7856168"/>
    <n v="0"/>
    <n v="64"/>
    <x v="0"/>
  </r>
  <r>
    <x v="333"/>
    <x v="5"/>
    <n v="0.33"/>
    <n v="3554630"/>
    <n v="0.34"/>
    <n v="3554630"/>
    <n v="0"/>
    <n v="65"/>
    <x v="0"/>
  </r>
  <r>
    <x v="334"/>
    <x v="5"/>
    <n v="0.3"/>
    <n v="587816"/>
    <n v="0.31"/>
    <n v="605147"/>
    <n v="-17331"/>
    <n v="66"/>
    <x v="4"/>
  </r>
  <r>
    <x v="203"/>
    <x v="5"/>
    <n v="0.28000000000000003"/>
    <n v="1890000"/>
    <n v="0.27"/>
    <n v="1890000"/>
    <n v="0"/>
    <n v="67"/>
    <x v="0"/>
  </r>
  <r>
    <x v="335"/>
    <x v="5"/>
    <n v="0.27"/>
    <n v="1729515"/>
    <n v="0.26"/>
    <n v="1729515"/>
    <n v="0"/>
    <n v="68"/>
    <x v="0"/>
  </r>
  <r>
    <x v="336"/>
    <x v="5"/>
    <n v="0.26"/>
    <n v="631242"/>
    <n v="0.23"/>
    <n v="631242"/>
    <n v="0"/>
    <n v="69"/>
    <x v="0"/>
  </r>
  <r>
    <x v="337"/>
    <x v="5"/>
    <n v="0.25"/>
    <n v="2210712"/>
    <n v="0.24"/>
    <n v="1979675"/>
    <n v="231037"/>
    <n v="70"/>
    <x v="1"/>
  </r>
  <r>
    <x v="338"/>
    <x v="5"/>
    <n v="0.23"/>
    <n v="2042507"/>
    <n v="0.22"/>
    <n v="2042507"/>
    <n v="0"/>
    <n v="71"/>
    <x v="0"/>
  </r>
  <r>
    <x v="339"/>
    <x v="5"/>
    <n v="0.21"/>
    <n v="378299"/>
    <n v="0.23"/>
    <n v="401357"/>
    <n v="-23058"/>
    <n v="72"/>
    <x v="4"/>
  </r>
  <r>
    <x v="83"/>
    <x v="5"/>
    <n v="0.21"/>
    <n v="11152059"/>
    <n v="0.22"/>
    <n v="11152059"/>
    <n v="0"/>
    <n v="73"/>
    <x v="0"/>
  </r>
  <r>
    <x v="267"/>
    <x v="5"/>
    <n v="0.19"/>
    <n v="1000000"/>
    <n v="0.2"/>
    <n v="1000000"/>
    <n v="0"/>
    <n v="74"/>
    <x v="0"/>
  </r>
  <r>
    <x v="340"/>
    <x v="5"/>
    <n v="0.19"/>
    <n v="125000"/>
    <n v="0.22"/>
    <n v="125000"/>
    <n v="0"/>
    <n v="75"/>
    <x v="0"/>
  </r>
  <r>
    <x v="341"/>
    <x v="5"/>
    <n v="0.11"/>
    <n v="456376"/>
    <n v="0.11"/>
    <n v="456376"/>
    <n v="0"/>
    <n v="76"/>
    <x v="0"/>
  </r>
  <r>
    <x v="342"/>
    <x v="5"/>
    <n v="0.11"/>
    <n v="2469079"/>
    <n v="0.06"/>
    <n v="1221600"/>
    <n v="1247479"/>
    <n v="77"/>
    <x v="1"/>
  </r>
  <r>
    <x v="189"/>
    <x v="5"/>
    <n v="7.0000000000000007E-2"/>
    <n v="326860"/>
    <n v="7.0000000000000007E-2"/>
    <n v="326860"/>
    <n v="0"/>
    <n v="78"/>
    <x v="0"/>
  </r>
  <r>
    <x v="204"/>
    <x v="5"/>
    <n v="0"/>
    <n v="0"/>
    <n v="0.48"/>
    <n v="510000"/>
    <n v="-510000"/>
    <n v="79"/>
    <x v="4"/>
  </r>
  <r>
    <x v="343"/>
    <x v="6"/>
    <n v="3.79"/>
    <n v="3630984"/>
    <n v="4.0199999999999996"/>
    <n v="3630984"/>
    <n v="0"/>
    <n v="1"/>
    <x v="0"/>
  </r>
  <r>
    <x v="221"/>
    <x v="6"/>
    <n v="3.49"/>
    <n v="2758642"/>
    <n v="3.8"/>
    <n v="2743435"/>
    <n v="15207"/>
    <n v="2"/>
    <x v="1"/>
  </r>
  <r>
    <x v="299"/>
    <x v="6"/>
    <n v="3.29"/>
    <n v="1426985"/>
    <n v="2.98"/>
    <n v="1419522"/>
    <n v="7463"/>
    <n v="3"/>
    <x v="1"/>
  </r>
  <r>
    <x v="344"/>
    <x v="6"/>
    <n v="3.22"/>
    <n v="5671972"/>
    <n v="3.47"/>
    <n v="5673505"/>
    <n v="-1533"/>
    <n v="4"/>
    <x v="4"/>
  </r>
  <r>
    <x v="345"/>
    <x v="6"/>
    <n v="2.59"/>
    <n v="1106604"/>
    <n v="2.61"/>
    <n v="1067105"/>
    <n v="39499"/>
    <n v="5"/>
    <x v="1"/>
  </r>
  <r>
    <x v="346"/>
    <x v="6"/>
    <n v="2.58"/>
    <n v="3865125"/>
    <n v="2.2000000000000002"/>
    <n v="3742944"/>
    <n v="122181"/>
    <n v="6"/>
    <x v="1"/>
  </r>
  <r>
    <x v="249"/>
    <x v="6"/>
    <n v="2.57"/>
    <n v="3806516"/>
    <n v="2.66"/>
    <n v="3760350"/>
    <n v="46166"/>
    <n v="7"/>
    <x v="1"/>
  </r>
  <r>
    <x v="281"/>
    <x v="6"/>
    <n v="2.4900000000000002"/>
    <n v="814642"/>
    <n v="2.5"/>
    <n v="846721"/>
    <n v="-32079"/>
    <n v="8"/>
    <x v="4"/>
  </r>
  <r>
    <x v="347"/>
    <x v="6"/>
    <n v="2.36"/>
    <n v="863902"/>
    <n v="2.36"/>
    <n v="823156"/>
    <n v="40746"/>
    <n v="9"/>
    <x v="1"/>
  </r>
  <r>
    <x v="348"/>
    <x v="6"/>
    <n v="2.0299999999999998"/>
    <n v="349145"/>
    <n v="2.17"/>
    <n v="324915"/>
    <n v="24230"/>
    <n v="10"/>
    <x v="1"/>
  </r>
  <r>
    <x v="303"/>
    <x v="6"/>
    <n v="2.02"/>
    <n v="1927672"/>
    <n v="2.16"/>
    <n v="1927672"/>
    <n v="0"/>
    <n v="11"/>
    <x v="0"/>
  </r>
  <r>
    <x v="349"/>
    <x v="6"/>
    <n v="2.0099999999999998"/>
    <n v="2438783"/>
    <n v="1.96"/>
    <n v="2438783"/>
    <n v="0"/>
    <n v="12"/>
    <x v="0"/>
  </r>
  <r>
    <x v="350"/>
    <x v="6"/>
    <n v="1.94"/>
    <n v="2824633"/>
    <n v="2.04"/>
    <n v="2710742"/>
    <n v="113891"/>
    <n v="13"/>
    <x v="1"/>
  </r>
  <r>
    <x v="314"/>
    <x v="6"/>
    <n v="1.92"/>
    <n v="7850701"/>
    <n v="2.0299999999999998"/>
    <n v="7790701"/>
    <n v="60000"/>
    <n v="14"/>
    <x v="1"/>
  </r>
  <r>
    <x v="351"/>
    <x v="6"/>
    <n v="1.87"/>
    <n v="2902449"/>
    <n v="1.9"/>
    <n v="2902449"/>
    <n v="0"/>
    <n v="15"/>
    <x v="0"/>
  </r>
  <r>
    <x v="323"/>
    <x v="6"/>
    <n v="1.83"/>
    <n v="3344186"/>
    <n v="1.39"/>
    <n v="2202107"/>
    <n v="1142079"/>
    <n v="16"/>
    <x v="1"/>
  </r>
  <r>
    <x v="22"/>
    <x v="6"/>
    <n v="1.82"/>
    <n v="444434"/>
    <n v="2.06"/>
    <n v="444434"/>
    <n v="0"/>
    <n v="17"/>
    <x v="0"/>
  </r>
  <r>
    <x v="352"/>
    <x v="6"/>
    <n v="1.77"/>
    <n v="3961498"/>
    <n v="1.64"/>
    <n v="3807569"/>
    <n v="153929"/>
    <n v="18"/>
    <x v="1"/>
  </r>
  <r>
    <x v="353"/>
    <x v="6"/>
    <n v="1.72"/>
    <n v="2530608"/>
    <n v="1.66"/>
    <n v="2426564"/>
    <n v="104044"/>
    <n v="19"/>
    <x v="1"/>
  </r>
  <r>
    <x v="282"/>
    <x v="6"/>
    <n v="1.7"/>
    <n v="633033"/>
    <n v="1.81"/>
    <n v="633033"/>
    <n v="0"/>
    <n v="20"/>
    <x v="0"/>
  </r>
  <r>
    <x v="298"/>
    <x v="6"/>
    <n v="1.67"/>
    <n v="7781980"/>
    <n v="1.7"/>
    <n v="7781980"/>
    <n v="0"/>
    <n v="21"/>
    <x v="0"/>
  </r>
  <r>
    <x v="354"/>
    <x v="6"/>
    <n v="1.65"/>
    <n v="4858077"/>
    <n v="1.61"/>
    <n v="4858077"/>
    <n v="0"/>
    <n v="22"/>
    <x v="0"/>
  </r>
  <r>
    <x v="355"/>
    <x v="6"/>
    <n v="1.64"/>
    <n v="689567"/>
    <n v="1.49"/>
    <n v="658770"/>
    <n v="30797"/>
    <n v="23"/>
    <x v="1"/>
  </r>
  <r>
    <x v="287"/>
    <x v="6"/>
    <n v="1.64"/>
    <n v="500576"/>
    <n v="1.73"/>
    <n v="500576"/>
    <n v="0"/>
    <n v="24"/>
    <x v="0"/>
  </r>
  <r>
    <x v="228"/>
    <x v="6"/>
    <n v="1.59"/>
    <n v="807098"/>
    <n v="1.65"/>
    <n v="807098"/>
    <n v="0"/>
    <n v="25"/>
    <x v="0"/>
  </r>
  <r>
    <x v="138"/>
    <x v="6"/>
    <n v="1.52"/>
    <n v="1765719"/>
    <n v="1.52"/>
    <n v="1765719"/>
    <n v="0"/>
    <n v="26"/>
    <x v="0"/>
  </r>
  <r>
    <x v="356"/>
    <x v="6"/>
    <n v="1.48"/>
    <n v="3506132"/>
    <n v="1.1399999999999999"/>
    <n v="3384477"/>
    <n v="121655"/>
    <n v="27"/>
    <x v="1"/>
  </r>
  <r>
    <x v="292"/>
    <x v="6"/>
    <n v="1.43"/>
    <n v="504909"/>
    <n v="1.58"/>
    <n v="504909"/>
    <n v="0"/>
    <n v="28"/>
    <x v="0"/>
  </r>
  <r>
    <x v="319"/>
    <x v="6"/>
    <n v="1.43"/>
    <n v="679197"/>
    <n v="1.42"/>
    <n v="679197"/>
    <n v="0"/>
    <n v="29"/>
    <x v="0"/>
  </r>
  <r>
    <x v="357"/>
    <x v="6"/>
    <n v="1.41"/>
    <n v="4045998"/>
    <n v="1.29"/>
    <n v="3645998"/>
    <n v="400000"/>
    <n v="30"/>
    <x v="1"/>
  </r>
  <r>
    <x v="24"/>
    <x v="6"/>
    <n v="1.37"/>
    <n v="715063"/>
    <n v="1.47"/>
    <n v="715063"/>
    <n v="0"/>
    <n v="31"/>
    <x v="0"/>
  </r>
  <r>
    <x v="358"/>
    <x v="6"/>
    <n v="1.31"/>
    <n v="754789"/>
    <n v="1.1299999999999999"/>
    <n v="754789"/>
    <n v="0"/>
    <n v="32"/>
    <x v="0"/>
  </r>
  <r>
    <x v="297"/>
    <x v="6"/>
    <n v="1.3"/>
    <n v="942377"/>
    <n v="1.1399999999999999"/>
    <n v="942377"/>
    <n v="0"/>
    <n v="33"/>
    <x v="0"/>
  </r>
  <r>
    <x v="359"/>
    <x v="6"/>
    <n v="1.28"/>
    <n v="2480393"/>
    <n v="1.36"/>
    <n v="2396575"/>
    <n v="83818"/>
    <n v="34"/>
    <x v="1"/>
  </r>
  <r>
    <x v="360"/>
    <x v="6"/>
    <n v="1.1599999999999999"/>
    <n v="1009845"/>
    <n v="1.1299999999999999"/>
    <n v="951748"/>
    <n v="58097"/>
    <n v="35"/>
    <x v="1"/>
  </r>
  <r>
    <x v="330"/>
    <x v="6"/>
    <n v="1.1499999999999999"/>
    <n v="2100811"/>
    <n v="0.91"/>
    <n v="1830468"/>
    <n v="270343"/>
    <n v="36"/>
    <x v="1"/>
  </r>
  <r>
    <x v="361"/>
    <x v="6"/>
    <n v="1.1299999999999999"/>
    <n v="5661833"/>
    <n v="1.22"/>
    <n v="5519804"/>
    <n v="142029"/>
    <n v="37"/>
    <x v="1"/>
  </r>
  <r>
    <x v="362"/>
    <x v="6"/>
    <n v="1.0900000000000001"/>
    <n v="66715"/>
    <n v="1.1200000000000001"/>
    <n v="63715"/>
    <n v="3000"/>
    <n v="38"/>
    <x v="1"/>
  </r>
  <r>
    <x v="363"/>
    <x v="6"/>
    <n v="1.06"/>
    <n v="1157452"/>
    <n v="1.07"/>
    <n v="1157452"/>
    <n v="0"/>
    <n v="39"/>
    <x v="0"/>
  </r>
  <r>
    <x v="329"/>
    <x v="6"/>
    <n v="1.03"/>
    <n v="177868"/>
    <n v="1.05"/>
    <n v="177868"/>
    <n v="0"/>
    <n v="40"/>
    <x v="0"/>
  </r>
  <r>
    <x v="285"/>
    <x v="6"/>
    <n v="1.02"/>
    <n v="819012"/>
    <n v="0.95"/>
    <n v="819012"/>
    <n v="0"/>
    <n v="41"/>
    <x v="0"/>
  </r>
  <r>
    <x v="364"/>
    <x v="6"/>
    <n v="1"/>
    <n v="375309"/>
    <n v="0.99"/>
    <n v="375309"/>
    <n v="0"/>
    <n v="42"/>
    <x v="0"/>
  </r>
  <r>
    <x v="286"/>
    <x v="6"/>
    <n v="0.93"/>
    <n v="413970"/>
    <n v="0.87"/>
    <n v="413970"/>
    <n v="0"/>
    <n v="43"/>
    <x v="0"/>
  </r>
  <r>
    <x v="365"/>
    <x v="6"/>
    <n v="0.92"/>
    <n v="631218"/>
    <n v="0.69"/>
    <n v="507196"/>
    <n v="124022"/>
    <n v="44"/>
    <x v="1"/>
  </r>
  <r>
    <x v="366"/>
    <x v="6"/>
    <n v="0.9"/>
    <n v="1451085"/>
    <n v="0.94"/>
    <n v="1451085"/>
    <n v="0"/>
    <n v="45"/>
    <x v="0"/>
  </r>
  <r>
    <x v="367"/>
    <x v="6"/>
    <n v="0.84"/>
    <n v="3604945"/>
    <n v="0.87"/>
    <n v="3604945"/>
    <n v="0"/>
    <n v="46"/>
    <x v="0"/>
  </r>
  <r>
    <x v="301"/>
    <x v="6"/>
    <n v="0.82"/>
    <n v="1310391"/>
    <n v="0.91"/>
    <n v="1310391"/>
    <n v="0"/>
    <n v="47"/>
    <x v="0"/>
  </r>
  <r>
    <x v="288"/>
    <x v="6"/>
    <n v="0.8"/>
    <n v="257416"/>
    <n v="0.93"/>
    <n v="257416"/>
    <n v="0"/>
    <n v="48"/>
    <x v="0"/>
  </r>
  <r>
    <x v="368"/>
    <x v="6"/>
    <n v="0.8"/>
    <n v="1232712"/>
    <n v="0.75"/>
    <n v="1017296"/>
    <n v="215416"/>
    <n v="49"/>
    <x v="1"/>
  </r>
  <r>
    <x v="205"/>
    <x v="6"/>
    <n v="0.8"/>
    <n v="463748"/>
    <n v="0.82"/>
    <n v="463748"/>
    <n v="0"/>
    <n v="50"/>
    <x v="0"/>
  </r>
  <r>
    <x v="369"/>
    <x v="6"/>
    <n v="0.79"/>
    <n v="592938"/>
    <n v="0.84"/>
    <n v="592938"/>
    <n v="0"/>
    <n v="51"/>
    <x v="0"/>
  </r>
  <r>
    <x v="291"/>
    <x v="6"/>
    <n v="0.73"/>
    <n v="125319"/>
    <n v="0.74"/>
    <n v="115319"/>
    <n v="10000"/>
    <n v="52"/>
    <x v="1"/>
  </r>
  <r>
    <x v="317"/>
    <x v="6"/>
    <n v="0.73"/>
    <n v="446324"/>
    <n v="0.72"/>
    <n v="446324"/>
    <n v="0"/>
    <n v="53"/>
    <x v="0"/>
  </r>
  <r>
    <x v="370"/>
    <x v="6"/>
    <n v="0.7"/>
    <n v="686300"/>
    <n v="0.72"/>
    <n v="686300"/>
    <n v="0"/>
    <n v="54"/>
    <x v="0"/>
  </r>
  <r>
    <x v="290"/>
    <x v="6"/>
    <n v="0.68"/>
    <n v="846727"/>
    <n v="0.65"/>
    <n v="846727"/>
    <n v="0"/>
    <n v="55"/>
    <x v="0"/>
  </r>
  <r>
    <x v="306"/>
    <x v="6"/>
    <n v="0.68"/>
    <n v="2645799"/>
    <n v="0.82"/>
    <n v="2645799"/>
    <n v="0"/>
    <n v="56"/>
    <x v="0"/>
  </r>
  <r>
    <x v="371"/>
    <x v="6"/>
    <n v="0.64"/>
    <n v="882979"/>
    <n v="0.62"/>
    <n v="882979"/>
    <n v="0"/>
    <n v="57"/>
    <x v="0"/>
  </r>
  <r>
    <x v="372"/>
    <x v="6"/>
    <n v="0.62"/>
    <n v="1933858"/>
    <n v="0.56999999999999995"/>
    <n v="1933858"/>
    <n v="0"/>
    <n v="58"/>
    <x v="0"/>
  </r>
  <r>
    <x v="300"/>
    <x v="6"/>
    <n v="0.61"/>
    <n v="798619"/>
    <n v="0.68"/>
    <n v="798619"/>
    <n v="0"/>
    <n v="59"/>
    <x v="0"/>
  </r>
  <r>
    <x v="373"/>
    <x v="6"/>
    <n v="0.51"/>
    <n v="207444"/>
    <n v="0.55000000000000004"/>
    <n v="207444"/>
    <n v="0"/>
    <n v="60"/>
    <x v="0"/>
  </r>
  <r>
    <x v="328"/>
    <x v="6"/>
    <n v="0.5"/>
    <n v="875340"/>
    <n v="0.44"/>
    <n v="875340"/>
    <n v="0"/>
    <n v="61"/>
    <x v="0"/>
  </r>
  <r>
    <x v="143"/>
    <x v="6"/>
    <n v="0.41"/>
    <n v="500000"/>
    <n v="0.46"/>
    <n v="500000"/>
    <n v="0"/>
    <n v="62"/>
    <x v="0"/>
  </r>
  <r>
    <x v="295"/>
    <x v="6"/>
    <n v="0.34"/>
    <n v="272569"/>
    <n v="0.37"/>
    <n v="272569"/>
    <n v="0"/>
    <n v="63"/>
    <x v="0"/>
  </r>
  <r>
    <x v="313"/>
    <x v="6"/>
    <n v="0.34"/>
    <n v="624810"/>
    <n v="0.34"/>
    <n v="624810"/>
    <n v="0"/>
    <n v="64"/>
    <x v="0"/>
  </r>
  <r>
    <x v="374"/>
    <x v="6"/>
    <n v="0.34"/>
    <n v="1600442"/>
    <n v="0.36"/>
    <n v="1600442"/>
    <n v="0"/>
    <n v="65"/>
    <x v="0"/>
  </r>
  <r>
    <x v="375"/>
    <x v="6"/>
    <n v="0.33"/>
    <n v="1543134"/>
    <n v="0.3"/>
    <n v="1543134"/>
    <n v="0"/>
    <n v="66"/>
    <x v="0"/>
  </r>
  <r>
    <x v="263"/>
    <x v="6"/>
    <n v="0.3"/>
    <n v="666952"/>
    <n v="0.33"/>
    <n v="666952"/>
    <n v="0"/>
    <n v="67"/>
    <x v="0"/>
  </r>
  <r>
    <x v="304"/>
    <x v="6"/>
    <n v="0.28000000000000003"/>
    <n v="79123"/>
    <n v="0.51"/>
    <n v="126053"/>
    <n v="-46930"/>
    <n v="68"/>
    <x v="4"/>
  </r>
  <r>
    <x v="289"/>
    <x v="6"/>
    <n v="0.27"/>
    <n v="300658"/>
    <n v="0.26"/>
    <n v="300658"/>
    <n v="0"/>
    <n v="69"/>
    <x v="0"/>
  </r>
  <r>
    <x v="20"/>
    <x v="6"/>
    <n v="0.23"/>
    <n v="124921"/>
    <n v="0.22"/>
    <n v="124921"/>
    <n v="0"/>
    <n v="70"/>
    <x v="0"/>
  </r>
  <r>
    <x v="376"/>
    <x v="6"/>
    <n v="0.22"/>
    <n v="1102519"/>
    <n v="0.21"/>
    <n v="1102519"/>
    <n v="0"/>
    <n v="71"/>
    <x v="0"/>
  </r>
  <r>
    <x v="326"/>
    <x v="6"/>
    <n v="0.22"/>
    <n v="2654286"/>
    <n v="0.21"/>
    <n v="2654286"/>
    <n v="0"/>
    <n v="72"/>
    <x v="0"/>
  </r>
  <r>
    <x v="334"/>
    <x v="6"/>
    <n v="0.22"/>
    <n v="162477"/>
    <n v="0.25"/>
    <n v="177716"/>
    <n v="-15239"/>
    <n v="73"/>
    <x v="4"/>
  </r>
  <r>
    <x v="377"/>
    <x v="6"/>
    <n v="0.12"/>
    <n v="153335"/>
    <n v="0.14000000000000001"/>
    <n v="153335"/>
    <n v="0"/>
    <n v="74"/>
    <x v="0"/>
  </r>
  <r>
    <x v="378"/>
    <x v="6"/>
    <n v="0.1"/>
    <n v="754789"/>
    <n v="0.11"/>
    <n v="754789"/>
    <n v="0"/>
    <n v="75"/>
    <x v="0"/>
  </r>
  <r>
    <x v="379"/>
    <x v="6"/>
    <n v="0.06"/>
    <n v="59994"/>
    <n v="0.05"/>
    <n v="59994"/>
    <n v="0"/>
    <n v="76"/>
    <x v="0"/>
  </r>
  <r>
    <x v="380"/>
    <x v="6"/>
    <n v="0.03"/>
    <n v="30000"/>
    <n v="0.04"/>
    <n v="30000"/>
    <n v="0"/>
    <n v="77"/>
    <x v="0"/>
  </r>
  <r>
    <x v="1"/>
    <x v="7"/>
    <n v="3.84"/>
    <n v="6827420"/>
    <n v="3.83"/>
    <n v="6966857"/>
    <n v="-139437"/>
    <n v="1"/>
    <x v="4"/>
  </r>
  <r>
    <x v="381"/>
    <x v="7"/>
    <n v="3.59"/>
    <n v="23815322"/>
    <n v="3.14"/>
    <n v="23815322"/>
    <n v="0"/>
    <n v="2"/>
    <x v="0"/>
  </r>
  <r>
    <x v="382"/>
    <x v="7"/>
    <n v="3.13"/>
    <n v="7435786"/>
    <n v="3.43"/>
    <n v="7435786"/>
    <n v="0"/>
    <n v="3"/>
    <x v="0"/>
  </r>
  <r>
    <x v="281"/>
    <x v="7"/>
    <n v="2.4700000000000002"/>
    <n v="1204885"/>
    <n v="2.36"/>
    <n v="1204885"/>
    <n v="0"/>
    <n v="4"/>
    <x v="0"/>
  </r>
  <r>
    <x v="383"/>
    <x v="7"/>
    <n v="2.36"/>
    <n v="5100000"/>
    <n v="2.65"/>
    <n v="5400000"/>
    <n v="-300000"/>
    <n v="5"/>
    <x v="4"/>
  </r>
  <r>
    <x v="384"/>
    <x v="7"/>
    <n v="2.34"/>
    <n v="4978243"/>
    <n v="2.4700000000000002"/>
    <n v="4978243"/>
    <n v="0"/>
    <n v="6"/>
    <x v="0"/>
  </r>
  <r>
    <x v="58"/>
    <x v="7"/>
    <n v="2.14"/>
    <n v="12500000"/>
    <n v="2.57"/>
    <n v="12500000"/>
    <n v="0"/>
    <n v="7"/>
    <x v="0"/>
  </r>
  <r>
    <x v="65"/>
    <x v="7"/>
    <n v="1.98"/>
    <n v="9954026"/>
    <n v="1.72"/>
    <n v="8948803"/>
    <n v="1005223"/>
    <n v="8"/>
    <x v="1"/>
  </r>
  <r>
    <x v="22"/>
    <x v="7"/>
    <n v="1.93"/>
    <n v="707326"/>
    <n v="2.17"/>
    <n v="707326"/>
    <n v="0"/>
    <n v="9"/>
    <x v="0"/>
  </r>
  <r>
    <x v="385"/>
    <x v="7"/>
    <n v="1.91"/>
    <n v="24426763"/>
    <n v="1.63"/>
    <n v="21100000"/>
    <n v="3326763"/>
    <n v="10"/>
    <x v="1"/>
  </r>
  <r>
    <x v="386"/>
    <x v="7"/>
    <n v="1.91"/>
    <n v="15157206"/>
    <n v="1.75"/>
    <n v="15157206"/>
    <n v="0"/>
    <n v="11"/>
    <x v="0"/>
  </r>
  <r>
    <x v="387"/>
    <x v="7"/>
    <n v="1.9"/>
    <n v="2000000"/>
    <n v="2.08"/>
    <n v="2000000"/>
    <n v="0"/>
    <n v="12"/>
    <x v="0"/>
  </r>
  <r>
    <x v="388"/>
    <x v="7"/>
    <n v="1.85"/>
    <n v="16604941"/>
    <n v="1.91"/>
    <n v="16604941"/>
    <n v="0"/>
    <n v="13"/>
    <x v="0"/>
  </r>
  <r>
    <x v="389"/>
    <x v="7"/>
    <n v="1.84"/>
    <n v="1635069"/>
    <n v="2.17"/>
    <n v="1635069"/>
    <n v="0"/>
    <n v="14"/>
    <x v="0"/>
  </r>
  <r>
    <x v="390"/>
    <x v="7"/>
    <n v="1.81"/>
    <n v="790000"/>
    <n v="1.48"/>
    <n v="688346"/>
    <n v="101654"/>
    <n v="15"/>
    <x v="1"/>
  </r>
  <r>
    <x v="391"/>
    <x v="7"/>
    <n v="1.67"/>
    <n v="602254"/>
    <n v="1.31"/>
    <n v="602254"/>
    <n v="0"/>
    <n v="16"/>
    <x v="0"/>
  </r>
  <r>
    <x v="392"/>
    <x v="7"/>
    <n v="1.58"/>
    <n v="12300000"/>
    <n v="1.37"/>
    <n v="10483209"/>
    <n v="1816791"/>
    <n v="17"/>
    <x v="1"/>
  </r>
  <r>
    <x v="393"/>
    <x v="7"/>
    <n v="1.54"/>
    <n v="1731611"/>
    <n v="1.82"/>
    <n v="1731611"/>
    <n v="0"/>
    <n v="18"/>
    <x v="0"/>
  </r>
  <r>
    <x v="52"/>
    <x v="7"/>
    <n v="1.43"/>
    <n v="2843198"/>
    <n v="1.29"/>
    <n v="2843198"/>
    <n v="0"/>
    <n v="19"/>
    <x v="0"/>
  </r>
  <r>
    <x v="394"/>
    <x v="7"/>
    <n v="1.39"/>
    <n v="1373477"/>
    <n v="1.48"/>
    <n v="1373477"/>
    <n v="0"/>
    <n v="20"/>
    <x v="0"/>
  </r>
  <r>
    <x v="395"/>
    <x v="7"/>
    <n v="1.37"/>
    <n v="6000000"/>
    <n v="1.44"/>
    <n v="6000000"/>
    <n v="0"/>
    <n v="21"/>
    <x v="0"/>
  </r>
  <r>
    <x v="70"/>
    <x v="7"/>
    <n v="1.36"/>
    <n v="3400000"/>
    <n v="1.25"/>
    <n v="3100000"/>
    <n v="300000"/>
    <n v="22"/>
    <x v="1"/>
  </r>
  <r>
    <x v="396"/>
    <x v="7"/>
    <n v="1.3"/>
    <n v="868503"/>
    <n v="1.4"/>
    <n v="868503"/>
    <n v="0"/>
    <n v="23"/>
    <x v="0"/>
  </r>
  <r>
    <x v="397"/>
    <x v="7"/>
    <n v="1.3"/>
    <n v="734514"/>
    <n v="1.43"/>
    <n v="734514"/>
    <n v="0"/>
    <n v="24"/>
    <x v="0"/>
  </r>
  <r>
    <x v="49"/>
    <x v="7"/>
    <n v="1.28"/>
    <n v="520058"/>
    <n v="1.43"/>
    <n v="520058"/>
    <n v="0"/>
    <n v="25"/>
    <x v="0"/>
  </r>
  <r>
    <x v="398"/>
    <x v="7"/>
    <n v="1.27"/>
    <n v="3700000"/>
    <n v="1.36"/>
    <n v="3700000"/>
    <n v="0"/>
    <n v="26"/>
    <x v="0"/>
  </r>
  <r>
    <x v="399"/>
    <x v="7"/>
    <n v="1.26"/>
    <n v="3727054"/>
    <n v="1.31"/>
    <n v="3727054"/>
    <n v="0"/>
    <n v="27"/>
    <x v="0"/>
  </r>
  <r>
    <x v="400"/>
    <x v="7"/>
    <n v="1.25"/>
    <n v="2270367"/>
    <n v="1.37"/>
    <n v="2270367"/>
    <n v="0"/>
    <n v="28"/>
    <x v="0"/>
  </r>
  <r>
    <x v="401"/>
    <x v="7"/>
    <n v="1.24"/>
    <n v="25658133"/>
    <n v="1.18"/>
    <n v="25658133"/>
    <n v="0"/>
    <n v="29"/>
    <x v="0"/>
  </r>
  <r>
    <x v="402"/>
    <x v="7"/>
    <n v="1.22"/>
    <n v="16233896"/>
    <n v="1.25"/>
    <n v="16233896"/>
    <n v="0"/>
    <n v="30"/>
    <x v="0"/>
  </r>
  <r>
    <x v="403"/>
    <x v="7"/>
    <n v="1.19"/>
    <n v="4928223"/>
    <n v="1.18"/>
    <n v="4928223"/>
    <n v="0"/>
    <n v="31"/>
    <x v="0"/>
  </r>
  <r>
    <x v="404"/>
    <x v="7"/>
    <n v="1.17"/>
    <n v="2000000"/>
    <n v="1.1499999999999999"/>
    <n v="2000000"/>
    <n v="0"/>
    <n v="32"/>
    <x v="0"/>
  </r>
  <r>
    <x v="405"/>
    <x v="7"/>
    <n v="1.1499999999999999"/>
    <n v="21000000"/>
    <n v="1.26"/>
    <n v="24100000"/>
    <n v="-3100000"/>
    <n v="33"/>
    <x v="4"/>
  </r>
  <r>
    <x v="406"/>
    <x v="7"/>
    <n v="1.1499999999999999"/>
    <n v="8257000"/>
    <n v="0.9"/>
    <n v="8257000"/>
    <n v="0"/>
    <n v="34"/>
    <x v="0"/>
  </r>
  <r>
    <x v="407"/>
    <x v="7"/>
    <n v="1.1399999999999999"/>
    <n v="2007157"/>
    <n v="1.1100000000000001"/>
    <n v="2007157"/>
    <n v="0"/>
    <n v="35"/>
    <x v="0"/>
  </r>
  <r>
    <x v="408"/>
    <x v="7"/>
    <n v="1.1299999999999999"/>
    <n v="1000000"/>
    <n v="1.19"/>
    <n v="1000000"/>
    <n v="0"/>
    <n v="36"/>
    <x v="0"/>
  </r>
  <r>
    <x v="409"/>
    <x v="7"/>
    <n v="1.08"/>
    <n v="9255000"/>
    <n v="1.08"/>
    <n v="9255000"/>
    <n v="0"/>
    <n v="37"/>
    <x v="0"/>
  </r>
  <r>
    <x v="410"/>
    <x v="7"/>
    <n v="1.08"/>
    <n v="2400000"/>
    <n v="1.1200000000000001"/>
    <n v="2400000"/>
    <n v="0"/>
    <n v="38"/>
    <x v="0"/>
  </r>
  <r>
    <x v="411"/>
    <x v="7"/>
    <n v="1.06"/>
    <n v="1194472"/>
    <n v="1.03"/>
    <n v="1112672"/>
    <n v="81800"/>
    <n v="39"/>
    <x v="1"/>
  </r>
  <r>
    <x v="87"/>
    <x v="7"/>
    <n v="1.05"/>
    <n v="48000"/>
    <n v="0.62"/>
    <n v="26919"/>
    <n v="21081"/>
    <n v="40"/>
    <x v="1"/>
  </r>
  <r>
    <x v="86"/>
    <x v="7"/>
    <n v="1.04"/>
    <n v="1043061"/>
    <n v="1.07"/>
    <n v="1043061"/>
    <n v="0"/>
    <n v="41"/>
    <x v="0"/>
  </r>
  <r>
    <x v="412"/>
    <x v="7"/>
    <n v="1.02"/>
    <n v="4500000"/>
    <n v="0.94"/>
    <n v="4500000"/>
    <n v="0"/>
    <n v="42"/>
    <x v="0"/>
  </r>
  <r>
    <x v="413"/>
    <x v="7"/>
    <n v="1.02"/>
    <n v="6000000"/>
    <n v="1.06"/>
    <n v="6000000"/>
    <n v="0"/>
    <n v="43"/>
    <x v="0"/>
  </r>
  <r>
    <x v="414"/>
    <x v="7"/>
    <n v="1"/>
    <n v="60000"/>
    <n v="0.99"/>
    <n v="60000"/>
    <n v="0"/>
    <n v="44"/>
    <x v="0"/>
  </r>
  <r>
    <x v="415"/>
    <x v="7"/>
    <n v="0.95"/>
    <n v="1561427"/>
    <n v="0.96"/>
    <n v="1561427"/>
    <n v="0"/>
    <n v="45"/>
    <x v="0"/>
  </r>
  <r>
    <x v="416"/>
    <x v="7"/>
    <n v="0.95"/>
    <n v="399898"/>
    <n v="1.07"/>
    <n v="399898"/>
    <n v="0"/>
    <n v="46"/>
    <x v="0"/>
  </r>
  <r>
    <x v="417"/>
    <x v="7"/>
    <n v="0.95"/>
    <n v="415007"/>
    <n v="0.96"/>
    <n v="415007"/>
    <n v="0"/>
    <n v="47"/>
    <x v="0"/>
  </r>
  <r>
    <x v="75"/>
    <x v="7"/>
    <n v="0.93"/>
    <n v="700000"/>
    <n v="0.7"/>
    <n v="600000"/>
    <n v="100000"/>
    <n v="48"/>
    <x v="1"/>
  </r>
  <r>
    <x v="418"/>
    <x v="7"/>
    <n v="0.93"/>
    <n v="460386"/>
    <n v="0.96"/>
    <n v="460386"/>
    <n v="0"/>
    <n v="49"/>
    <x v="0"/>
  </r>
  <r>
    <x v="419"/>
    <x v="7"/>
    <n v="0.92"/>
    <n v="226766"/>
    <n v="0.96"/>
    <n v="226766"/>
    <n v="0"/>
    <n v="50"/>
    <x v="0"/>
  </r>
  <r>
    <x v="420"/>
    <x v="7"/>
    <n v="0.92"/>
    <n v="3452265"/>
    <n v="1"/>
    <n v="3452265"/>
    <n v="0"/>
    <n v="51"/>
    <x v="0"/>
  </r>
  <r>
    <x v="421"/>
    <x v="7"/>
    <n v="0.91"/>
    <n v="3065489"/>
    <n v="0.87"/>
    <n v="3065489"/>
    <n v="0"/>
    <n v="52"/>
    <x v="0"/>
  </r>
  <r>
    <x v="39"/>
    <x v="7"/>
    <n v="0.87"/>
    <n v="2647518"/>
    <n v="0.84"/>
    <n v="2647518"/>
    <n v="0"/>
    <n v="53"/>
    <x v="0"/>
  </r>
  <r>
    <x v="422"/>
    <x v="7"/>
    <n v="0.83"/>
    <n v="5097833"/>
    <n v="0.92"/>
    <n v="5500000"/>
    <n v="-402167"/>
    <n v="54"/>
    <x v="4"/>
  </r>
  <r>
    <x v="336"/>
    <x v="7"/>
    <n v="0.81"/>
    <n v="1074870"/>
    <n v="0.7"/>
    <n v="1074870"/>
    <n v="0"/>
    <n v="55"/>
    <x v="0"/>
  </r>
  <r>
    <x v="423"/>
    <x v="7"/>
    <n v="0.78"/>
    <n v="1000000"/>
    <n v="1.1100000000000001"/>
    <n v="1360000"/>
    <n v="-360000"/>
    <n v="56"/>
    <x v="4"/>
  </r>
  <r>
    <x v="424"/>
    <x v="7"/>
    <n v="0.78"/>
    <n v="303512"/>
    <n v="0.81"/>
    <n v="303512"/>
    <n v="0"/>
    <n v="57"/>
    <x v="0"/>
  </r>
  <r>
    <x v="425"/>
    <x v="7"/>
    <n v="0.78"/>
    <n v="2010000"/>
    <n v="0.6"/>
    <n v="1607196"/>
    <n v="402804"/>
    <n v="58"/>
    <x v="1"/>
  </r>
  <r>
    <x v="426"/>
    <x v="7"/>
    <n v="0.75"/>
    <n v="1942668"/>
    <n v="0.69"/>
    <n v="1942668"/>
    <n v="0"/>
    <n v="59"/>
    <x v="0"/>
  </r>
  <r>
    <x v="427"/>
    <x v="7"/>
    <n v="0.73"/>
    <n v="750000"/>
    <n v="0.72"/>
    <n v="750000"/>
    <n v="0"/>
    <n v="60"/>
    <x v="0"/>
  </r>
  <r>
    <x v="428"/>
    <x v="7"/>
    <n v="0.73"/>
    <n v="275000"/>
    <n v="0"/>
    <n v="0"/>
    <n v="275000"/>
    <n v="61"/>
    <x v="2"/>
  </r>
  <r>
    <x v="289"/>
    <x v="7"/>
    <n v="0.72"/>
    <n v="1210830"/>
    <n v="0.7"/>
    <n v="1210830"/>
    <n v="0"/>
    <n v="62"/>
    <x v="0"/>
  </r>
  <r>
    <x v="429"/>
    <x v="7"/>
    <n v="0.72"/>
    <n v="2600000"/>
    <n v="0.8"/>
    <n v="2600000"/>
    <n v="0"/>
    <n v="63"/>
    <x v="0"/>
  </r>
  <r>
    <x v="20"/>
    <x v="7"/>
    <n v="0.7"/>
    <n v="567479"/>
    <n v="0.67"/>
    <n v="567479"/>
    <n v="0"/>
    <n v="64"/>
    <x v="0"/>
  </r>
  <r>
    <x v="430"/>
    <x v="7"/>
    <n v="0.69"/>
    <n v="593778"/>
    <n v="0.79"/>
    <n v="593778"/>
    <n v="0"/>
    <n v="65"/>
    <x v="0"/>
  </r>
  <r>
    <x v="30"/>
    <x v="7"/>
    <n v="0.66"/>
    <n v="245000"/>
    <n v="0.71"/>
    <n v="245000"/>
    <n v="0"/>
    <n v="66"/>
    <x v="0"/>
  </r>
  <r>
    <x v="431"/>
    <x v="7"/>
    <n v="0.61"/>
    <n v="590000"/>
    <n v="0.57999999999999996"/>
    <n v="590000"/>
    <n v="0"/>
    <n v="67"/>
    <x v="0"/>
  </r>
  <r>
    <x v="432"/>
    <x v="7"/>
    <n v="0.61"/>
    <n v="2301840"/>
    <n v="0.6"/>
    <n v="2301840"/>
    <n v="0"/>
    <n v="68"/>
    <x v="0"/>
  </r>
  <r>
    <x v="35"/>
    <x v="7"/>
    <n v="0.56999999999999995"/>
    <n v="302470"/>
    <n v="0.63"/>
    <n v="302470"/>
    <n v="0"/>
    <n v="69"/>
    <x v="0"/>
  </r>
  <r>
    <x v="433"/>
    <x v="7"/>
    <n v="0.51"/>
    <n v="614119"/>
    <n v="0.45"/>
    <n v="614119"/>
    <n v="0"/>
    <n v="70"/>
    <x v="0"/>
  </r>
  <r>
    <x v="34"/>
    <x v="7"/>
    <n v="0.51"/>
    <n v="3810364"/>
    <n v="0.56000000000000005"/>
    <n v="3810364"/>
    <n v="0"/>
    <n v="71"/>
    <x v="0"/>
  </r>
  <r>
    <x v="434"/>
    <x v="7"/>
    <n v="0.51"/>
    <n v="7508691"/>
    <n v="0.48"/>
    <n v="7508691"/>
    <n v="0"/>
    <n v="72"/>
    <x v="0"/>
  </r>
  <r>
    <x v="435"/>
    <x v="7"/>
    <n v="0.49"/>
    <n v="150000"/>
    <n v="1.26"/>
    <n v="400000"/>
    <n v="-250000"/>
    <n v="73"/>
    <x v="4"/>
  </r>
  <r>
    <x v="19"/>
    <x v="7"/>
    <n v="0.49"/>
    <n v="342146"/>
    <n v="0.5"/>
    <n v="342146"/>
    <n v="0"/>
    <n v="74"/>
    <x v="0"/>
  </r>
  <r>
    <x v="436"/>
    <x v="7"/>
    <n v="0.45"/>
    <n v="1705019"/>
    <n v="0.44"/>
    <n v="1705019"/>
    <n v="0"/>
    <n v="75"/>
    <x v="0"/>
  </r>
  <r>
    <x v="437"/>
    <x v="7"/>
    <n v="0.43"/>
    <n v="540000"/>
    <n v="0.03"/>
    <n v="34430"/>
    <n v="505570"/>
    <n v="76"/>
    <x v="1"/>
  </r>
  <r>
    <x v="438"/>
    <x v="7"/>
    <n v="0.41"/>
    <n v="614268"/>
    <n v="0.37"/>
    <n v="614268"/>
    <n v="0"/>
    <n v="77"/>
    <x v="0"/>
  </r>
  <r>
    <x v="439"/>
    <x v="7"/>
    <n v="0.36"/>
    <n v="588586"/>
    <n v="0.39"/>
    <n v="588586"/>
    <n v="0"/>
    <n v="78"/>
    <x v="0"/>
  </r>
  <r>
    <x v="440"/>
    <x v="7"/>
    <n v="0.35"/>
    <n v="1800000"/>
    <n v="0.33"/>
    <n v="1800000"/>
    <n v="0"/>
    <n v="79"/>
    <x v="0"/>
  </r>
  <r>
    <x v="441"/>
    <x v="7"/>
    <n v="0.33"/>
    <n v="4966901"/>
    <n v="0.3"/>
    <n v="4575492"/>
    <n v="391409"/>
    <n v="80"/>
    <x v="1"/>
  </r>
  <r>
    <x v="90"/>
    <x v="7"/>
    <n v="0.32"/>
    <n v="432192"/>
    <n v="0.24"/>
    <n v="319192"/>
    <n v="113000"/>
    <n v="81"/>
    <x v="1"/>
  </r>
  <r>
    <x v="442"/>
    <x v="7"/>
    <n v="0.28000000000000003"/>
    <n v="288479"/>
    <n v="0.26"/>
    <n v="288479"/>
    <n v="0"/>
    <n v="82"/>
    <x v="0"/>
  </r>
  <r>
    <x v="443"/>
    <x v="7"/>
    <n v="0.27"/>
    <n v="4500000"/>
    <n v="0.24"/>
    <n v="4500000"/>
    <n v="0"/>
    <n v="83"/>
    <x v="0"/>
  </r>
  <r>
    <x v="444"/>
    <x v="7"/>
    <n v="0.26"/>
    <n v="175615"/>
    <n v="0.19"/>
    <n v="139333"/>
    <n v="36282"/>
    <n v="84"/>
    <x v="1"/>
  </r>
  <r>
    <x v="445"/>
    <x v="7"/>
    <n v="0.26"/>
    <n v="2000000"/>
    <n v="0.57999999999999996"/>
    <n v="5200000"/>
    <n v="-3200000"/>
    <n v="85"/>
    <x v="4"/>
  </r>
  <r>
    <x v="446"/>
    <x v="7"/>
    <n v="0.26"/>
    <n v="9308691"/>
    <n v="0.25"/>
    <n v="9308691"/>
    <n v="0"/>
    <n v="86"/>
    <x v="0"/>
  </r>
  <r>
    <x v="447"/>
    <x v="7"/>
    <n v="0.13"/>
    <n v="17050"/>
    <n v="0"/>
    <n v="0"/>
    <n v="17050"/>
    <n v="87"/>
    <x v="2"/>
  </r>
  <r>
    <x v="448"/>
    <x v="7"/>
    <n v="0"/>
    <n v="20000"/>
    <n v="0"/>
    <n v="20000"/>
    <n v="0"/>
    <n v="88"/>
    <x v="0"/>
  </r>
  <r>
    <x v="449"/>
    <x v="7"/>
    <n v="0"/>
    <n v="0"/>
    <n v="0"/>
    <n v="0"/>
    <n v="0"/>
    <n v="89"/>
    <x v="3"/>
  </r>
  <r>
    <x v="450"/>
    <x v="7"/>
    <n v="0"/>
    <n v="0"/>
    <n v="0"/>
    <n v="0"/>
    <n v="0"/>
    <n v="90"/>
    <x v="3"/>
  </r>
  <r>
    <x v="451"/>
    <x v="7"/>
    <n v="0"/>
    <n v="0"/>
    <n v="0.15"/>
    <n v="167377"/>
    <n v="-167377"/>
    <n v="91"/>
    <x v="4"/>
  </r>
  <r>
    <x v="452"/>
    <x v="7"/>
    <n v="0"/>
    <n v="0"/>
    <n v="0"/>
    <n v="0"/>
    <n v="0"/>
    <n v="92"/>
    <x v="3"/>
  </r>
  <r>
    <x v="453"/>
    <x v="7"/>
    <n v="0"/>
    <n v="0"/>
    <n v="0"/>
    <n v="0"/>
    <n v="0"/>
    <n v="93"/>
    <x v="3"/>
  </r>
  <r>
    <x v="454"/>
    <x v="7"/>
    <n v="0"/>
    <n v="0"/>
    <n v="0.19"/>
    <n v="983597"/>
    <n v="-983597"/>
    <n v="94"/>
    <x v="4"/>
  </r>
  <r>
    <x v="387"/>
    <x v="8"/>
    <n v="9.43"/>
    <n v="8900529"/>
    <n v="4.87"/>
    <n v="4224000"/>
    <n v="4676529"/>
    <n v="1"/>
    <x v="1"/>
  </r>
  <r>
    <x v="455"/>
    <x v="8"/>
    <n v="6.41"/>
    <n v="10000000"/>
    <n v="6.01"/>
    <n v="9500000"/>
    <n v="500000"/>
    <n v="2"/>
    <x v="1"/>
  </r>
  <r>
    <x v="456"/>
    <x v="8"/>
    <n v="6.38"/>
    <n v="3900000"/>
    <n v="7.6"/>
    <n v="4400000"/>
    <n v="-500000"/>
    <n v="3"/>
    <x v="4"/>
  </r>
  <r>
    <x v="103"/>
    <x v="8"/>
    <n v="5.57"/>
    <n v="14000644"/>
    <n v="4.46"/>
    <n v="11500644"/>
    <n v="2500000"/>
    <n v="4"/>
    <x v="1"/>
  </r>
  <r>
    <x v="457"/>
    <x v="8"/>
    <n v="4.6500000000000004"/>
    <n v="2700000"/>
    <n v="4.53"/>
    <n v="2700000"/>
    <n v="0"/>
    <n v="5"/>
    <x v="0"/>
  </r>
  <r>
    <x v="458"/>
    <x v="8"/>
    <n v="4.18"/>
    <n v="14000000"/>
    <n v="4.28"/>
    <n v="14000000"/>
    <n v="0"/>
    <n v="6"/>
    <x v="0"/>
  </r>
  <r>
    <x v="400"/>
    <x v="8"/>
    <n v="3.67"/>
    <n v="6000080"/>
    <n v="4.01"/>
    <n v="6000080"/>
    <n v="0"/>
    <n v="7"/>
    <x v="0"/>
  </r>
  <r>
    <x v="423"/>
    <x v="8"/>
    <n v="3.48"/>
    <n v="4000084"/>
    <n v="2.98"/>
    <n v="3300084"/>
    <n v="700000"/>
    <n v="8"/>
    <x v="1"/>
  </r>
  <r>
    <x v="459"/>
    <x v="8"/>
    <n v="2.87"/>
    <n v="4000927"/>
    <n v="3.22"/>
    <n v="4000927"/>
    <n v="0"/>
    <n v="9"/>
    <x v="0"/>
  </r>
  <r>
    <x v="460"/>
    <x v="8"/>
    <n v="2.58"/>
    <n v="550496"/>
    <n v="2.91"/>
    <n v="600496"/>
    <n v="-50000"/>
    <n v="10"/>
    <x v="4"/>
  </r>
  <r>
    <x v="395"/>
    <x v="8"/>
    <n v="2.54"/>
    <n v="10000066"/>
    <n v="2.66"/>
    <n v="10000066"/>
    <n v="0"/>
    <n v="11"/>
    <x v="0"/>
  </r>
  <r>
    <x v="461"/>
    <x v="8"/>
    <n v="2.5099999999999998"/>
    <n v="8000000"/>
    <n v="2.4300000000000002"/>
    <n v="8380601"/>
    <n v="-380601"/>
    <n v="12"/>
    <x v="4"/>
  </r>
  <r>
    <x v="17"/>
    <x v="8"/>
    <n v="2.48"/>
    <n v="6000000"/>
    <n v="2.62"/>
    <n v="6500000"/>
    <n v="-500000"/>
    <n v="13"/>
    <x v="4"/>
  </r>
  <r>
    <x v="462"/>
    <x v="8"/>
    <n v="2.44"/>
    <n v="1500000"/>
    <n v="2.68"/>
    <n v="1724655"/>
    <n v="-224655"/>
    <n v="14"/>
    <x v="4"/>
  </r>
  <r>
    <x v="463"/>
    <x v="8"/>
    <n v="2.25"/>
    <n v="4099302"/>
    <n v="2.35"/>
    <n v="4099302"/>
    <n v="0"/>
    <n v="15"/>
    <x v="0"/>
  </r>
  <r>
    <x v="386"/>
    <x v="8"/>
    <n v="2.1"/>
    <n v="15000000"/>
    <n v="1.92"/>
    <n v="15000000"/>
    <n v="0"/>
    <n v="16"/>
    <x v="0"/>
  </r>
  <r>
    <x v="464"/>
    <x v="8"/>
    <n v="1.94"/>
    <n v="8000000"/>
    <n v="1.73"/>
    <n v="7000000"/>
    <n v="1000000"/>
    <n v="17"/>
    <x v="1"/>
  </r>
  <r>
    <x v="401"/>
    <x v="8"/>
    <n v="1.84"/>
    <n v="34002200"/>
    <n v="1.73"/>
    <n v="34002200"/>
    <n v="0"/>
    <n v="18"/>
    <x v="0"/>
  </r>
  <r>
    <x v="465"/>
    <x v="8"/>
    <n v="1.79"/>
    <n v="700000"/>
    <n v="1.79"/>
    <n v="700000"/>
    <n v="0"/>
    <n v="19"/>
    <x v="0"/>
  </r>
  <r>
    <x v="466"/>
    <x v="8"/>
    <n v="1.58"/>
    <n v="20003160"/>
    <n v="1.52"/>
    <n v="20003160"/>
    <n v="0"/>
    <n v="20"/>
    <x v="0"/>
  </r>
  <r>
    <x v="467"/>
    <x v="8"/>
    <n v="1.37"/>
    <n v="9000000"/>
    <n v="0.98"/>
    <n v="6500000"/>
    <n v="2500000"/>
    <n v="21"/>
    <x v="1"/>
  </r>
  <r>
    <x v="468"/>
    <x v="8"/>
    <n v="1.36"/>
    <n v="9998103"/>
    <n v="1.44"/>
    <n v="9998103"/>
    <n v="0"/>
    <n v="22"/>
    <x v="0"/>
  </r>
  <r>
    <x v="406"/>
    <x v="8"/>
    <n v="1.35"/>
    <n v="8700000"/>
    <n v="1.1100000000000001"/>
    <n v="9257000"/>
    <n v="-557000"/>
    <n v="23"/>
    <x v="4"/>
  </r>
  <r>
    <x v="469"/>
    <x v="8"/>
    <n v="1.1499999999999999"/>
    <n v="698742"/>
    <n v="1.27"/>
    <n v="698742"/>
    <n v="0"/>
    <n v="24"/>
    <x v="0"/>
  </r>
  <r>
    <x v="470"/>
    <x v="8"/>
    <n v="1.1399999999999999"/>
    <n v="1200000"/>
    <n v="1.18"/>
    <n v="1200000"/>
    <n v="0"/>
    <n v="25"/>
    <x v="0"/>
  </r>
  <r>
    <x v="471"/>
    <x v="8"/>
    <n v="1.1399999999999999"/>
    <n v="1555373"/>
    <n v="1.1100000000000001"/>
    <n v="1555373"/>
    <n v="0"/>
    <n v="26"/>
    <x v="0"/>
  </r>
  <r>
    <x v="472"/>
    <x v="8"/>
    <n v="1.1100000000000001"/>
    <n v="40411"/>
    <n v="1.1399999999999999"/>
    <n v="40411"/>
    <n v="0"/>
    <n v="27"/>
    <x v="0"/>
  </r>
  <r>
    <x v="473"/>
    <x v="8"/>
    <n v="1.1000000000000001"/>
    <n v="375000"/>
    <n v="1.1200000000000001"/>
    <n v="375000"/>
    <n v="0"/>
    <n v="28"/>
    <x v="0"/>
  </r>
  <r>
    <x v="474"/>
    <x v="8"/>
    <n v="1.07"/>
    <n v="17000000"/>
    <n v="0.99"/>
    <n v="17000000"/>
    <n v="0"/>
    <n v="29"/>
    <x v="0"/>
  </r>
  <r>
    <x v="475"/>
    <x v="8"/>
    <n v="0.99"/>
    <n v="767594"/>
    <n v="0"/>
    <n v="0"/>
    <n v="767594"/>
    <n v="30"/>
    <x v="2"/>
  </r>
  <r>
    <x v="476"/>
    <x v="8"/>
    <n v="0.95"/>
    <n v="955650"/>
    <n v="0"/>
    <n v="0"/>
    <n v="955650"/>
    <n v="31"/>
    <x v="2"/>
  </r>
  <r>
    <x v="409"/>
    <x v="8"/>
    <n v="0.91"/>
    <n v="7000000"/>
    <n v="0.9"/>
    <n v="7000000"/>
    <n v="0"/>
    <n v="32"/>
    <x v="0"/>
  </r>
  <r>
    <x v="477"/>
    <x v="8"/>
    <n v="0.91"/>
    <n v="1100000"/>
    <n v="0.97"/>
    <n v="1100000"/>
    <n v="0"/>
    <n v="33"/>
    <x v="0"/>
  </r>
  <r>
    <x v="478"/>
    <x v="8"/>
    <n v="0.9"/>
    <n v="703959"/>
    <n v="0.91"/>
    <n v="703959"/>
    <n v="0"/>
    <n v="34"/>
    <x v="0"/>
  </r>
  <r>
    <x v="479"/>
    <x v="8"/>
    <n v="0.83"/>
    <n v="1500000"/>
    <n v="0.87"/>
    <n v="1500000"/>
    <n v="0"/>
    <n v="35"/>
    <x v="0"/>
  </r>
  <r>
    <x v="480"/>
    <x v="8"/>
    <n v="0.79"/>
    <n v="246642"/>
    <n v="0.72"/>
    <n v="246642"/>
    <n v="0"/>
    <n v="36"/>
    <x v="0"/>
  </r>
  <r>
    <x v="336"/>
    <x v="8"/>
    <n v="0.75"/>
    <n v="899085"/>
    <n v="0.65"/>
    <n v="899085"/>
    <n v="0"/>
    <n v="37"/>
    <x v="0"/>
  </r>
  <r>
    <x v="481"/>
    <x v="8"/>
    <n v="0.74"/>
    <n v="5000000"/>
    <n v="0.78"/>
    <n v="5000000"/>
    <n v="0"/>
    <n v="38"/>
    <x v="0"/>
  </r>
  <r>
    <x v="482"/>
    <x v="8"/>
    <n v="0.73"/>
    <n v="4504266"/>
    <n v="0.67"/>
    <n v="4504266"/>
    <n v="0"/>
    <n v="39"/>
    <x v="0"/>
  </r>
  <r>
    <x v="483"/>
    <x v="8"/>
    <n v="0.72"/>
    <n v="2000000"/>
    <n v="0.36"/>
    <n v="1000000"/>
    <n v="1000000"/>
    <n v="40"/>
    <x v="1"/>
  </r>
  <r>
    <x v="484"/>
    <x v="8"/>
    <n v="0.69"/>
    <n v="4100000"/>
    <n v="0"/>
    <n v="0"/>
    <n v="4100000"/>
    <n v="41"/>
    <x v="2"/>
  </r>
  <r>
    <x v="485"/>
    <x v="8"/>
    <n v="0.66"/>
    <n v="1000000"/>
    <n v="0.73"/>
    <n v="1000000"/>
    <n v="0"/>
    <n v="42"/>
    <x v="0"/>
  </r>
  <r>
    <x v="486"/>
    <x v="8"/>
    <n v="0.61"/>
    <n v="850000"/>
    <n v="0.65"/>
    <n v="850000"/>
    <n v="0"/>
    <n v="43"/>
    <x v="0"/>
  </r>
  <r>
    <x v="487"/>
    <x v="8"/>
    <n v="0.56999999999999995"/>
    <n v="625000"/>
    <n v="0.57999999999999996"/>
    <n v="625000"/>
    <n v="0"/>
    <n v="44"/>
    <x v="0"/>
  </r>
  <r>
    <x v="79"/>
    <x v="8"/>
    <n v="0.56000000000000005"/>
    <n v="500000"/>
    <n v="0.81"/>
    <n v="696890"/>
    <n v="-196890"/>
    <n v="45"/>
    <x v="4"/>
  </r>
  <r>
    <x v="414"/>
    <x v="8"/>
    <n v="0.56000000000000005"/>
    <n v="30337"/>
    <n v="0.56999999999999995"/>
    <n v="31147"/>
    <n v="-810"/>
    <n v="46"/>
    <x v="4"/>
  </r>
  <r>
    <x v="402"/>
    <x v="8"/>
    <n v="0.54"/>
    <n v="6400000"/>
    <n v="0.54"/>
    <n v="6400000"/>
    <n v="0"/>
    <n v="47"/>
    <x v="0"/>
  </r>
  <r>
    <x v="384"/>
    <x v="8"/>
    <n v="0.53"/>
    <n v="1017349"/>
    <n v="0.56000000000000005"/>
    <n v="1017349"/>
    <n v="0"/>
    <n v="48"/>
    <x v="0"/>
  </r>
  <r>
    <x v="413"/>
    <x v="8"/>
    <n v="0.53"/>
    <n v="2820824"/>
    <n v="0.55000000000000004"/>
    <n v="2820824"/>
    <n v="0"/>
    <n v="49"/>
    <x v="0"/>
  </r>
  <r>
    <x v="411"/>
    <x v="8"/>
    <n v="0.5"/>
    <n v="510716"/>
    <n v="0.1"/>
    <n v="100000"/>
    <n v="410716"/>
    <n v="50"/>
    <x v="1"/>
  </r>
  <r>
    <x v="435"/>
    <x v="8"/>
    <n v="0.49"/>
    <n v="135000"/>
    <n v="0.47"/>
    <n v="135000"/>
    <n v="0"/>
    <n v="51"/>
    <x v="0"/>
  </r>
  <r>
    <x v="488"/>
    <x v="8"/>
    <n v="0.49"/>
    <n v="550000"/>
    <n v="0.5"/>
    <n v="550000"/>
    <n v="0"/>
    <n v="52"/>
    <x v="0"/>
  </r>
  <r>
    <x v="489"/>
    <x v="8"/>
    <n v="0.47"/>
    <n v="200097"/>
    <n v="0.49"/>
    <n v="200097"/>
    <n v="0"/>
    <n v="53"/>
    <x v="0"/>
  </r>
  <r>
    <x v="490"/>
    <x v="8"/>
    <n v="0.33"/>
    <n v="10087890"/>
    <n v="0.31"/>
    <n v="10087890"/>
    <n v="0"/>
    <n v="54"/>
    <x v="0"/>
  </r>
  <r>
    <x v="392"/>
    <x v="8"/>
    <n v="0.32"/>
    <n v="2236711"/>
    <n v="0"/>
    <n v="0"/>
    <n v="2236711"/>
    <n v="55"/>
    <x v="2"/>
  </r>
  <r>
    <x v="491"/>
    <x v="8"/>
    <n v="0.3"/>
    <n v="5000000"/>
    <n v="0.31"/>
    <n v="5000000"/>
    <n v="0"/>
    <n v="56"/>
    <x v="0"/>
  </r>
  <r>
    <x v="317"/>
    <x v="8"/>
    <n v="0.26"/>
    <n v="215540"/>
    <n v="0.25"/>
    <n v="215540"/>
    <n v="0"/>
    <n v="57"/>
    <x v="0"/>
  </r>
  <r>
    <x v="394"/>
    <x v="8"/>
    <n v="0.23"/>
    <n v="201223"/>
    <n v="0.24"/>
    <n v="201223"/>
    <n v="0"/>
    <n v="58"/>
    <x v="0"/>
  </r>
  <r>
    <x v="426"/>
    <x v="8"/>
    <n v="0.21"/>
    <n v="490729"/>
    <n v="0"/>
    <n v="0"/>
    <n v="490729"/>
    <n v="59"/>
    <x v="2"/>
  </r>
  <r>
    <x v="492"/>
    <x v="8"/>
    <n v="0"/>
    <n v="0"/>
    <n v="4.78"/>
    <n v="2500315"/>
    <n v="-2500315"/>
    <n v="60"/>
    <x v="4"/>
  </r>
  <r>
    <x v="405"/>
    <x v="8"/>
    <n v="0"/>
    <n v="0"/>
    <n v="0"/>
    <n v="0"/>
    <n v="0"/>
    <n v="61"/>
    <x v="3"/>
  </r>
  <r>
    <x v="362"/>
    <x v="8"/>
    <n v="0"/>
    <n v="0"/>
    <n v="0"/>
    <n v="0"/>
    <n v="0"/>
    <n v="62"/>
    <x v="3"/>
  </r>
  <r>
    <x v="493"/>
    <x v="8"/>
    <n v="0"/>
    <n v="0"/>
    <n v="0"/>
    <n v="0"/>
    <n v="0"/>
    <n v="63"/>
    <x v="3"/>
  </r>
  <r>
    <x v="494"/>
    <x v="8"/>
    <n v="0"/>
    <n v="0"/>
    <n v="0"/>
    <n v="0"/>
    <n v="0"/>
    <n v="64"/>
    <x v="3"/>
  </r>
  <r>
    <x v="495"/>
    <x v="8"/>
    <n v="0"/>
    <n v="0"/>
    <n v="0.62"/>
    <n v="1000188"/>
    <n v="-1000188"/>
    <n v="65"/>
    <x v="4"/>
  </r>
  <r>
    <x v="496"/>
    <x v="8"/>
    <n v="0"/>
    <n v="0"/>
    <n v="0"/>
    <n v="0"/>
    <n v="0"/>
    <n v="66"/>
    <x v="3"/>
  </r>
  <r>
    <x v="416"/>
    <x v="8"/>
    <n v="0"/>
    <n v="0"/>
    <n v="0"/>
    <n v="0"/>
    <n v="0"/>
    <n v="67"/>
    <x v="3"/>
  </r>
  <r>
    <x v="497"/>
    <x v="8"/>
    <n v="0"/>
    <n v="0"/>
    <n v="0.34"/>
    <n v="759800"/>
    <n v="-759800"/>
    <n v="68"/>
    <x v="4"/>
  </r>
  <r>
    <x v="396"/>
    <x v="8"/>
    <n v="0"/>
    <n v="0"/>
    <n v="1.1200000000000001"/>
    <n v="632333"/>
    <n v="-632333"/>
    <n v="69"/>
    <x v="4"/>
  </r>
  <r>
    <x v="498"/>
    <x v="8"/>
    <n v="0"/>
    <n v="0"/>
    <n v="0.51"/>
    <n v="3139951"/>
    <n v="-3139951"/>
    <n v="70"/>
    <x v="4"/>
  </r>
  <r>
    <x v="397"/>
    <x v="9"/>
    <n v="2.92"/>
    <n v="3267559"/>
    <n v="3.25"/>
    <n v="3267559"/>
    <n v="0"/>
    <n v="1"/>
    <x v="0"/>
  </r>
  <r>
    <x v="387"/>
    <x v="9"/>
    <n v="2.02"/>
    <n v="4225000"/>
    <n v="2.25"/>
    <n v="4225000"/>
    <n v="0"/>
    <n v="2"/>
    <x v="0"/>
  </r>
  <r>
    <x v="23"/>
    <x v="9"/>
    <n v="1.66"/>
    <n v="3922401"/>
    <n v="1.47"/>
    <n v="3772401"/>
    <n v="150000"/>
    <n v="3"/>
    <x v="1"/>
  </r>
  <r>
    <x v="29"/>
    <x v="9"/>
    <n v="1.49"/>
    <n v="4756932"/>
    <n v="1.62"/>
    <n v="4756932"/>
    <n v="0"/>
    <n v="4"/>
    <x v="0"/>
  </r>
  <r>
    <x v="499"/>
    <x v="9"/>
    <n v="1.37"/>
    <n v="5763697"/>
    <n v="1.31"/>
    <n v="5763697"/>
    <n v="0"/>
    <n v="5"/>
    <x v="0"/>
  </r>
  <r>
    <x v="500"/>
    <x v="9"/>
    <n v="1.36"/>
    <n v="1242965"/>
    <n v="1.35"/>
    <n v="1242965"/>
    <n v="0"/>
    <n v="6"/>
    <x v="0"/>
  </r>
  <r>
    <x v="457"/>
    <x v="9"/>
    <n v="1.23"/>
    <n v="1583030"/>
    <n v="1.23"/>
    <n v="1583030"/>
    <n v="0"/>
    <n v="7"/>
    <x v="0"/>
  </r>
  <r>
    <x v="451"/>
    <x v="9"/>
    <n v="1.22"/>
    <n v="2871106"/>
    <n v="1.33"/>
    <n v="2871106"/>
    <n v="0"/>
    <n v="8"/>
    <x v="0"/>
  </r>
  <r>
    <x v="501"/>
    <x v="9"/>
    <n v="1.17"/>
    <n v="873167"/>
    <n v="1.1100000000000001"/>
    <n v="873167"/>
    <n v="0"/>
    <n v="9"/>
    <x v="0"/>
  </r>
  <r>
    <x v="418"/>
    <x v="9"/>
    <n v="1.1599999999999999"/>
    <n v="1134218"/>
    <n v="1.22"/>
    <n v="1134218"/>
    <n v="0"/>
    <n v="10"/>
    <x v="0"/>
  </r>
  <r>
    <x v="27"/>
    <x v="9"/>
    <n v="1.1499999999999999"/>
    <n v="3265582"/>
    <n v="1.22"/>
    <n v="3265582"/>
    <n v="0"/>
    <n v="11"/>
    <x v="0"/>
  </r>
  <r>
    <x v="417"/>
    <x v="9"/>
    <n v="1.1499999999999999"/>
    <n v="1000000"/>
    <n v="1.19"/>
    <n v="1000000"/>
    <n v="0"/>
    <n v="12"/>
    <x v="0"/>
  </r>
  <r>
    <x v="502"/>
    <x v="9"/>
    <n v="1.1399999999999999"/>
    <n v="31745614"/>
    <n v="1.24"/>
    <n v="31745614"/>
    <n v="0"/>
    <n v="13"/>
    <x v="0"/>
  </r>
  <r>
    <x v="503"/>
    <x v="9"/>
    <n v="1.1299999999999999"/>
    <n v="614625"/>
    <n v="1.24"/>
    <n v="614625"/>
    <n v="0"/>
    <n v="14"/>
    <x v="0"/>
  </r>
  <r>
    <x v="504"/>
    <x v="9"/>
    <n v="1.1200000000000001"/>
    <n v="3062071"/>
    <n v="1.22"/>
    <n v="3062071"/>
    <n v="0"/>
    <n v="15"/>
    <x v="0"/>
  </r>
  <r>
    <x v="443"/>
    <x v="9"/>
    <n v="1.1000000000000001"/>
    <n v="36323195"/>
    <n v="1"/>
    <n v="36323195"/>
    <n v="0"/>
    <n v="16"/>
    <x v="0"/>
  </r>
  <r>
    <x v="505"/>
    <x v="9"/>
    <n v="1.1000000000000001"/>
    <n v="7161360"/>
    <n v="0.93"/>
    <n v="7161360"/>
    <n v="0"/>
    <n v="17"/>
    <x v="0"/>
  </r>
  <r>
    <x v="53"/>
    <x v="9"/>
    <n v="1.0900000000000001"/>
    <n v="9291212"/>
    <n v="1.1200000000000001"/>
    <n v="9291212"/>
    <n v="0"/>
    <n v="18"/>
    <x v="0"/>
  </r>
  <r>
    <x v="103"/>
    <x v="9"/>
    <n v="1.06"/>
    <n v="5866500"/>
    <n v="0.8"/>
    <n v="4466500"/>
    <n v="1400000"/>
    <n v="19"/>
    <x v="1"/>
  </r>
  <r>
    <x v="506"/>
    <x v="9"/>
    <n v="1.05"/>
    <n v="2477151"/>
    <n v="1.1599999999999999"/>
    <n v="2477151"/>
    <n v="0"/>
    <n v="20"/>
    <x v="0"/>
  </r>
  <r>
    <x v="10"/>
    <x v="9"/>
    <n v="1.03"/>
    <n v="6966784"/>
    <n v="1.1200000000000001"/>
    <n v="6966784"/>
    <n v="0"/>
    <n v="21"/>
    <x v="0"/>
  </r>
  <r>
    <x v="507"/>
    <x v="9"/>
    <n v="1.02"/>
    <n v="5328775"/>
    <n v="0.92"/>
    <n v="5328775"/>
    <n v="0"/>
    <n v="22"/>
    <x v="0"/>
  </r>
  <r>
    <x v="442"/>
    <x v="9"/>
    <n v="1.01"/>
    <n v="2057744"/>
    <n v="0.95"/>
    <n v="2057744"/>
    <n v="0"/>
    <n v="23"/>
    <x v="0"/>
  </r>
  <r>
    <x v="409"/>
    <x v="9"/>
    <n v="1"/>
    <n v="17000000"/>
    <n v="1.01"/>
    <n v="17000000"/>
    <n v="0"/>
    <n v="24"/>
    <x v="0"/>
  </r>
  <r>
    <x v="396"/>
    <x v="9"/>
    <n v="1"/>
    <n v="1327472"/>
    <n v="1.19"/>
    <n v="1445297"/>
    <n v="-117825"/>
    <n v="25"/>
    <x v="4"/>
  </r>
  <r>
    <x v="508"/>
    <x v="9"/>
    <n v="0.99"/>
    <n v="11111066"/>
    <n v="1.07"/>
    <n v="11111066"/>
    <n v="0"/>
    <n v="26"/>
    <x v="0"/>
  </r>
  <r>
    <x v="509"/>
    <x v="9"/>
    <n v="0.96"/>
    <n v="4341762"/>
    <n v="0.83"/>
    <n v="4341762"/>
    <n v="0"/>
    <n v="27"/>
    <x v="0"/>
  </r>
  <r>
    <x v="510"/>
    <x v="9"/>
    <n v="0.95"/>
    <n v="2670132"/>
    <n v="1.04"/>
    <n v="2670132"/>
    <n v="0"/>
    <n v="28"/>
    <x v="0"/>
  </r>
  <r>
    <x v="76"/>
    <x v="9"/>
    <n v="0.95"/>
    <n v="10505030"/>
    <n v="0.71"/>
    <n v="10565418"/>
    <n v="-60388"/>
    <n v="29"/>
    <x v="4"/>
  </r>
  <r>
    <x v="433"/>
    <x v="9"/>
    <n v="0.94"/>
    <n v="2228907"/>
    <n v="0.84"/>
    <n v="2228907"/>
    <n v="0"/>
    <n v="30"/>
    <x v="0"/>
  </r>
  <r>
    <x v="511"/>
    <x v="9"/>
    <n v="0.93"/>
    <n v="596807"/>
    <n v="0.92"/>
    <n v="558026"/>
    <n v="38781"/>
    <n v="31"/>
    <x v="1"/>
  </r>
  <r>
    <x v="512"/>
    <x v="9"/>
    <n v="0.93"/>
    <n v="3014222"/>
    <n v="0.81"/>
    <n v="3014222"/>
    <n v="0"/>
    <n v="32"/>
    <x v="0"/>
  </r>
  <r>
    <x v="49"/>
    <x v="9"/>
    <n v="0.93"/>
    <n v="749511"/>
    <n v="1.1100000000000001"/>
    <n v="787244"/>
    <n v="-37733"/>
    <n v="33"/>
    <x v="4"/>
  </r>
  <r>
    <x v="9"/>
    <x v="9"/>
    <n v="0.92"/>
    <n v="703759"/>
    <n v="1.08"/>
    <n v="703759"/>
    <n v="0"/>
    <n v="34"/>
    <x v="0"/>
  </r>
  <r>
    <x v="412"/>
    <x v="9"/>
    <n v="0.89"/>
    <n v="7802836"/>
    <n v="0.94"/>
    <n v="8802836"/>
    <n v="-1000000"/>
    <n v="35"/>
    <x v="4"/>
  </r>
  <r>
    <x v="68"/>
    <x v="9"/>
    <n v="0.89"/>
    <n v="1851010"/>
    <n v="0.87"/>
    <n v="1851010"/>
    <n v="0"/>
    <n v="36"/>
    <x v="0"/>
  </r>
  <r>
    <x v="513"/>
    <x v="9"/>
    <n v="0.85"/>
    <n v="11275320"/>
    <n v="0.87"/>
    <n v="11275320"/>
    <n v="0"/>
    <n v="37"/>
    <x v="0"/>
  </r>
  <r>
    <x v="514"/>
    <x v="9"/>
    <n v="0.83"/>
    <n v="7731899"/>
    <n v="0.89"/>
    <n v="7731899"/>
    <n v="0"/>
    <n v="38"/>
    <x v="0"/>
  </r>
  <r>
    <x v="515"/>
    <x v="9"/>
    <n v="0.82"/>
    <n v="1637136"/>
    <n v="0.83"/>
    <n v="1637136"/>
    <n v="0"/>
    <n v="39"/>
    <x v="0"/>
  </r>
  <r>
    <x v="439"/>
    <x v="9"/>
    <n v="0.81"/>
    <n v="2587622"/>
    <n v="0.89"/>
    <n v="2587622"/>
    <n v="0"/>
    <n v="40"/>
    <x v="0"/>
  </r>
  <r>
    <x v="82"/>
    <x v="9"/>
    <n v="0.8"/>
    <n v="4293622"/>
    <n v="0.89"/>
    <n v="4293622"/>
    <n v="0"/>
    <n v="41"/>
    <x v="0"/>
  </r>
  <r>
    <x v="516"/>
    <x v="9"/>
    <n v="0.79"/>
    <n v="5479394"/>
    <n v="0.61"/>
    <n v="5074047"/>
    <n v="405347"/>
    <n v="42"/>
    <x v="1"/>
  </r>
  <r>
    <x v="517"/>
    <x v="9"/>
    <n v="0.78"/>
    <n v="4152361"/>
    <n v="0.85"/>
    <n v="4152361"/>
    <n v="0"/>
    <n v="43"/>
    <x v="0"/>
  </r>
  <r>
    <x v="518"/>
    <x v="9"/>
    <n v="0.78"/>
    <n v="2835590"/>
    <n v="0.76"/>
    <n v="2835590"/>
    <n v="0"/>
    <n v="44"/>
    <x v="0"/>
  </r>
  <r>
    <x v="519"/>
    <x v="9"/>
    <n v="0.77"/>
    <n v="1400000"/>
    <n v="0.85"/>
    <n v="1600000"/>
    <n v="-200000"/>
    <n v="45"/>
    <x v="4"/>
  </r>
  <r>
    <x v="479"/>
    <x v="9"/>
    <n v="0.77"/>
    <n v="3089054"/>
    <n v="0.83"/>
    <n v="3089054"/>
    <n v="0"/>
    <n v="46"/>
    <x v="0"/>
  </r>
  <r>
    <x v="480"/>
    <x v="9"/>
    <n v="0.76"/>
    <n v="524769"/>
    <n v="0.71"/>
    <n v="524769"/>
    <n v="0"/>
    <n v="47"/>
    <x v="0"/>
  </r>
  <r>
    <x v="520"/>
    <x v="9"/>
    <n v="0.76"/>
    <n v="5651471"/>
    <n v="0.66"/>
    <n v="5651471"/>
    <n v="0"/>
    <n v="48"/>
    <x v="0"/>
  </r>
  <r>
    <x v="436"/>
    <x v="9"/>
    <n v="0.76"/>
    <n v="5646469"/>
    <n v="0.74"/>
    <n v="5646469"/>
    <n v="0"/>
    <n v="49"/>
    <x v="0"/>
  </r>
  <r>
    <x v="456"/>
    <x v="9"/>
    <n v="0.74"/>
    <n v="1000000"/>
    <n v="0.8"/>
    <n v="1000000"/>
    <n v="0"/>
    <n v="50"/>
    <x v="0"/>
  </r>
  <r>
    <x v="521"/>
    <x v="9"/>
    <n v="0.73"/>
    <n v="1832502"/>
    <n v="0.79"/>
    <n v="1832502"/>
    <n v="0"/>
    <n v="51"/>
    <x v="0"/>
  </r>
  <r>
    <x v="522"/>
    <x v="9"/>
    <n v="0.72"/>
    <n v="2014859"/>
    <n v="0.7"/>
    <n v="2014859"/>
    <n v="0"/>
    <n v="52"/>
    <x v="0"/>
  </r>
  <r>
    <x v="523"/>
    <x v="9"/>
    <n v="0.69"/>
    <n v="12975000"/>
    <n v="0.51"/>
    <n v="12975000"/>
    <n v="0"/>
    <n v="53"/>
    <x v="0"/>
  </r>
  <r>
    <x v="34"/>
    <x v="9"/>
    <n v="0.69"/>
    <n v="10306033"/>
    <n v="0.77"/>
    <n v="10306033"/>
    <n v="0"/>
    <n v="54"/>
    <x v="0"/>
  </r>
  <r>
    <x v="524"/>
    <x v="9"/>
    <n v="0.69"/>
    <n v="1283835"/>
    <n v="0"/>
    <n v="0"/>
    <n v="1283835"/>
    <n v="55"/>
    <x v="2"/>
  </r>
  <r>
    <x v="424"/>
    <x v="9"/>
    <n v="0.69"/>
    <n v="531460"/>
    <n v="0.65"/>
    <n v="471460"/>
    <n v="60000"/>
    <n v="56"/>
    <x v="1"/>
  </r>
  <r>
    <x v="525"/>
    <x v="9"/>
    <n v="0.68"/>
    <n v="2167490"/>
    <n v="0.57999999999999996"/>
    <n v="2167490"/>
    <n v="0"/>
    <n v="57"/>
    <x v="0"/>
  </r>
  <r>
    <x v="526"/>
    <x v="9"/>
    <n v="0.67"/>
    <n v="5381627"/>
    <n v="0.46"/>
    <n v="3897956"/>
    <n v="1483671"/>
    <n v="58"/>
    <x v="1"/>
  </r>
  <r>
    <x v="416"/>
    <x v="9"/>
    <n v="0.66"/>
    <n v="549728"/>
    <n v="0.76"/>
    <n v="549728"/>
    <n v="0"/>
    <n v="59"/>
    <x v="0"/>
  </r>
  <r>
    <x v="527"/>
    <x v="9"/>
    <n v="0.66"/>
    <n v="3782542"/>
    <n v="0.65"/>
    <n v="3782542"/>
    <n v="0"/>
    <n v="60"/>
    <x v="0"/>
  </r>
  <r>
    <x v="528"/>
    <x v="9"/>
    <n v="0.64"/>
    <n v="14429132"/>
    <n v="0.64"/>
    <n v="14429132"/>
    <n v="0"/>
    <n v="61"/>
    <x v="0"/>
  </r>
  <r>
    <x v="529"/>
    <x v="9"/>
    <n v="0.64"/>
    <n v="4103779"/>
    <n v="0.62"/>
    <n v="4103779"/>
    <n v="0"/>
    <n v="62"/>
    <x v="0"/>
  </r>
  <r>
    <x v="336"/>
    <x v="9"/>
    <n v="0.64"/>
    <n v="1696933"/>
    <n v="0.25"/>
    <n v="750000"/>
    <n v="946933"/>
    <n v="63"/>
    <x v="1"/>
  </r>
  <r>
    <x v="530"/>
    <x v="9"/>
    <n v="0.63"/>
    <n v="2960125"/>
    <n v="0.64"/>
    <n v="2960125"/>
    <n v="0"/>
    <n v="64"/>
    <x v="0"/>
  </r>
  <r>
    <x v="14"/>
    <x v="9"/>
    <n v="0.61"/>
    <n v="913272"/>
    <n v="0.65"/>
    <n v="913272"/>
    <n v="0"/>
    <n v="65"/>
    <x v="0"/>
  </r>
  <r>
    <x v="531"/>
    <x v="9"/>
    <n v="0.61"/>
    <n v="1025591"/>
    <n v="0.59"/>
    <n v="1025591"/>
    <n v="0"/>
    <n v="66"/>
    <x v="0"/>
  </r>
  <r>
    <x v="493"/>
    <x v="9"/>
    <n v="0.6"/>
    <n v="515079"/>
    <n v="0.37"/>
    <n v="316412"/>
    <n v="198667"/>
    <n v="67"/>
    <x v="1"/>
  </r>
  <r>
    <x v="532"/>
    <x v="9"/>
    <n v="0.59"/>
    <n v="3203146"/>
    <n v="0.42"/>
    <n v="2523952"/>
    <n v="679194"/>
    <n v="68"/>
    <x v="1"/>
  </r>
  <r>
    <x v="430"/>
    <x v="9"/>
    <n v="0.57999999999999996"/>
    <n v="1000000"/>
    <n v="0.81"/>
    <n v="1186502"/>
    <n v="-186502"/>
    <n v="69"/>
    <x v="4"/>
  </r>
  <r>
    <x v="533"/>
    <x v="9"/>
    <n v="0.55000000000000004"/>
    <n v="29299855"/>
    <n v="0.57999999999999996"/>
    <n v="29299855"/>
    <n v="0"/>
    <n v="70"/>
    <x v="0"/>
  </r>
  <r>
    <x v="534"/>
    <x v="9"/>
    <n v="0.55000000000000004"/>
    <n v="4211864"/>
    <n v="0.61"/>
    <n v="4211864"/>
    <n v="0"/>
    <n v="71"/>
    <x v="0"/>
  </r>
  <r>
    <x v="441"/>
    <x v="9"/>
    <n v="0.54"/>
    <n v="15884563"/>
    <n v="0.54"/>
    <n v="15884563"/>
    <n v="0"/>
    <n v="72"/>
    <x v="0"/>
  </r>
  <r>
    <x v="535"/>
    <x v="9"/>
    <n v="0.54"/>
    <n v="844730"/>
    <n v="0.59"/>
    <n v="844730"/>
    <n v="0"/>
    <n v="73"/>
    <x v="0"/>
  </r>
  <r>
    <x v="536"/>
    <x v="9"/>
    <n v="0.52"/>
    <n v="459965"/>
    <n v="0.51"/>
    <n v="436257"/>
    <n v="23708"/>
    <n v="74"/>
    <x v="1"/>
  </r>
  <r>
    <x v="20"/>
    <x v="9"/>
    <n v="0.5"/>
    <n v="804264"/>
    <n v="0.48"/>
    <n v="804264"/>
    <n v="0"/>
    <n v="75"/>
    <x v="0"/>
  </r>
  <r>
    <x v="537"/>
    <x v="9"/>
    <n v="0.5"/>
    <n v="3926956"/>
    <n v="0.52"/>
    <n v="3926956"/>
    <n v="0"/>
    <n v="76"/>
    <x v="0"/>
  </r>
  <r>
    <x v="7"/>
    <x v="9"/>
    <n v="0.5"/>
    <n v="2201214"/>
    <n v="0.53"/>
    <n v="2201214"/>
    <n v="0"/>
    <n v="77"/>
    <x v="0"/>
  </r>
  <r>
    <x v="445"/>
    <x v="9"/>
    <n v="0.48"/>
    <n v="7290321"/>
    <n v="0.42"/>
    <n v="7290321"/>
    <n v="0"/>
    <n v="78"/>
    <x v="0"/>
  </r>
  <r>
    <x v="538"/>
    <x v="9"/>
    <n v="0.47"/>
    <n v="3348310"/>
    <n v="0.52"/>
    <n v="3348310"/>
    <n v="0"/>
    <n v="79"/>
    <x v="0"/>
  </r>
  <r>
    <x v="395"/>
    <x v="9"/>
    <n v="0.47"/>
    <n v="4074222"/>
    <n v="0.7"/>
    <n v="5664222"/>
    <n v="-1590000"/>
    <n v="80"/>
    <x v="4"/>
  </r>
  <r>
    <x v="539"/>
    <x v="9"/>
    <n v="0.47"/>
    <n v="2007672"/>
    <n v="0.49"/>
    <n v="2007672"/>
    <n v="0"/>
    <n v="81"/>
    <x v="0"/>
  </r>
  <r>
    <x v="540"/>
    <x v="9"/>
    <n v="0.47"/>
    <n v="3571429"/>
    <n v="0.44"/>
    <n v="3571429"/>
    <n v="0"/>
    <n v="82"/>
    <x v="0"/>
  </r>
  <r>
    <x v="541"/>
    <x v="9"/>
    <n v="0.46"/>
    <n v="326882"/>
    <n v="0.41"/>
    <n v="326882"/>
    <n v="0"/>
    <n v="83"/>
    <x v="0"/>
  </r>
  <r>
    <x v="542"/>
    <x v="9"/>
    <n v="0.46"/>
    <n v="2100416"/>
    <n v="0.45"/>
    <n v="2100416"/>
    <n v="0"/>
    <n v="84"/>
    <x v="0"/>
  </r>
  <r>
    <x v="392"/>
    <x v="9"/>
    <n v="0.45"/>
    <n v="6998113"/>
    <n v="0"/>
    <n v="0"/>
    <n v="6998113"/>
    <n v="85"/>
    <x v="2"/>
  </r>
  <r>
    <x v="543"/>
    <x v="9"/>
    <n v="0.44"/>
    <n v="4444775"/>
    <n v="0.43"/>
    <n v="4444775"/>
    <n v="0"/>
    <n v="86"/>
    <x v="0"/>
  </r>
  <r>
    <x v="544"/>
    <x v="9"/>
    <n v="0.43"/>
    <n v="6754925"/>
    <n v="0.42"/>
    <n v="6754925"/>
    <n v="0"/>
    <n v="87"/>
    <x v="0"/>
  </r>
  <r>
    <x v="545"/>
    <x v="9"/>
    <n v="0.43"/>
    <n v="691000"/>
    <n v="0.48"/>
    <n v="691000"/>
    <n v="0"/>
    <n v="88"/>
    <x v="0"/>
  </r>
  <r>
    <x v="453"/>
    <x v="9"/>
    <n v="0.42"/>
    <n v="6681267"/>
    <n v="0.41"/>
    <n v="6681267"/>
    <n v="0"/>
    <n v="89"/>
    <x v="0"/>
  </r>
  <r>
    <x v="546"/>
    <x v="9"/>
    <n v="0.41"/>
    <n v="2232891"/>
    <n v="0.53"/>
    <n v="3000000"/>
    <n v="-767109"/>
    <n v="90"/>
    <x v="4"/>
  </r>
  <r>
    <x v="547"/>
    <x v="9"/>
    <n v="0.4"/>
    <n v="3000000"/>
    <n v="0.4"/>
    <n v="3000000"/>
    <n v="0"/>
    <n v="91"/>
    <x v="0"/>
  </r>
  <r>
    <x v="419"/>
    <x v="9"/>
    <n v="0.4"/>
    <n v="196342"/>
    <n v="0.38"/>
    <n v="177342"/>
    <n v="19000"/>
    <n v="92"/>
    <x v="1"/>
  </r>
  <r>
    <x v="548"/>
    <x v="9"/>
    <n v="0.4"/>
    <n v="3088051"/>
    <n v="0.42"/>
    <n v="3088051"/>
    <n v="0"/>
    <n v="93"/>
    <x v="0"/>
  </r>
  <r>
    <x v="25"/>
    <x v="9"/>
    <n v="0.39"/>
    <n v="655571"/>
    <n v="0.38"/>
    <n v="655571"/>
    <n v="0"/>
    <n v="94"/>
    <x v="0"/>
  </r>
  <r>
    <x v="549"/>
    <x v="9"/>
    <n v="0.38"/>
    <n v="421691"/>
    <n v="0.38"/>
    <n v="421691"/>
    <n v="0"/>
    <n v="95"/>
    <x v="0"/>
  </r>
  <r>
    <x v="550"/>
    <x v="9"/>
    <n v="0.36"/>
    <n v="1627157"/>
    <n v="0.38"/>
    <n v="1627157"/>
    <n v="0"/>
    <n v="96"/>
    <x v="0"/>
  </r>
  <r>
    <x v="497"/>
    <x v="9"/>
    <n v="0.36"/>
    <n v="1891723"/>
    <n v="0.39"/>
    <n v="1891723"/>
    <n v="0"/>
    <n v="97"/>
    <x v="0"/>
  </r>
  <r>
    <x v="551"/>
    <x v="9"/>
    <n v="0.35"/>
    <n v="4389471"/>
    <n v="0.37"/>
    <n v="4389471"/>
    <n v="0"/>
    <n v="98"/>
    <x v="0"/>
  </r>
  <r>
    <x v="552"/>
    <x v="9"/>
    <n v="0.35"/>
    <n v="4041828"/>
    <n v="0.38"/>
    <n v="4041828"/>
    <n v="0"/>
    <n v="99"/>
    <x v="0"/>
  </r>
  <r>
    <x v="553"/>
    <x v="9"/>
    <n v="0.35"/>
    <n v="1637734"/>
    <n v="0.36"/>
    <n v="1637734"/>
    <n v="0"/>
    <n v="100"/>
    <x v="0"/>
  </r>
  <r>
    <x v="554"/>
    <x v="9"/>
    <n v="0.34"/>
    <n v="9393640"/>
    <n v="0.28000000000000003"/>
    <n v="9393640"/>
    <n v="0"/>
    <n v="101"/>
    <x v="0"/>
  </r>
  <r>
    <x v="471"/>
    <x v="9"/>
    <n v="0.34"/>
    <n v="1029484"/>
    <n v="0"/>
    <n v="0"/>
    <n v="1029484"/>
    <n v="102"/>
    <x v="2"/>
  </r>
  <r>
    <x v="19"/>
    <x v="9"/>
    <n v="0.34"/>
    <n v="468936"/>
    <n v="0.35"/>
    <n v="468936"/>
    <n v="0"/>
    <n v="103"/>
    <x v="0"/>
  </r>
  <r>
    <x v="36"/>
    <x v="9"/>
    <n v="0.33"/>
    <n v="3282291"/>
    <n v="0.34"/>
    <n v="3282291"/>
    <n v="0"/>
    <n v="104"/>
    <x v="0"/>
  </r>
  <r>
    <x v="472"/>
    <x v="9"/>
    <n v="0.33"/>
    <n v="26553"/>
    <n v="0.35"/>
    <n v="26553"/>
    <n v="0"/>
    <n v="105"/>
    <x v="0"/>
  </r>
  <r>
    <x v="555"/>
    <x v="9"/>
    <n v="0.32"/>
    <n v="2240862"/>
    <n v="0.32"/>
    <n v="2240862"/>
    <n v="0"/>
    <n v="106"/>
    <x v="0"/>
  </r>
  <r>
    <x v="556"/>
    <x v="9"/>
    <n v="0.32"/>
    <n v="1510190"/>
    <n v="0.34"/>
    <n v="1510190"/>
    <n v="0"/>
    <n v="107"/>
    <x v="0"/>
  </r>
  <r>
    <x v="359"/>
    <x v="9"/>
    <n v="0.31"/>
    <n v="1804467"/>
    <n v="0.35"/>
    <n v="1804467"/>
    <n v="0"/>
    <n v="108"/>
    <x v="0"/>
  </r>
  <r>
    <x v="557"/>
    <x v="9"/>
    <n v="0.31"/>
    <n v="1778165"/>
    <n v="0.28999999999999998"/>
    <n v="1778165"/>
    <n v="0"/>
    <n v="109"/>
    <x v="0"/>
  </r>
  <r>
    <x v="558"/>
    <x v="9"/>
    <n v="0.31"/>
    <n v="2211438"/>
    <n v="0.31"/>
    <n v="2211438"/>
    <n v="0"/>
    <n v="110"/>
    <x v="0"/>
  </r>
  <r>
    <x v="559"/>
    <x v="9"/>
    <n v="0.31"/>
    <n v="11099364"/>
    <n v="0.31"/>
    <n v="11099364"/>
    <n v="0"/>
    <n v="111"/>
    <x v="0"/>
  </r>
  <r>
    <x v="560"/>
    <x v="9"/>
    <n v="0.31"/>
    <n v="859438"/>
    <n v="0.31"/>
    <n v="859438"/>
    <n v="0"/>
    <n v="112"/>
    <x v="0"/>
  </r>
  <r>
    <x v="16"/>
    <x v="9"/>
    <n v="0.31"/>
    <n v="288000"/>
    <n v="0.22"/>
    <n v="288000"/>
    <n v="0"/>
    <n v="113"/>
    <x v="0"/>
  </r>
  <r>
    <x v="476"/>
    <x v="9"/>
    <n v="0.3"/>
    <n v="674214"/>
    <n v="0"/>
    <n v="0"/>
    <n v="674214"/>
    <n v="114"/>
    <x v="2"/>
  </r>
  <r>
    <x v="78"/>
    <x v="9"/>
    <n v="0.3"/>
    <n v="2658753"/>
    <n v="0"/>
    <n v="0"/>
    <n v="2658753"/>
    <n v="115"/>
    <x v="2"/>
  </r>
  <r>
    <x v="561"/>
    <x v="9"/>
    <n v="0.3"/>
    <n v="1333202"/>
    <n v="0.31"/>
    <n v="1333202"/>
    <n v="0"/>
    <n v="116"/>
    <x v="0"/>
  </r>
  <r>
    <x v="562"/>
    <x v="9"/>
    <n v="0.3"/>
    <n v="1152910"/>
    <n v="0.33"/>
    <n v="1152910"/>
    <n v="0"/>
    <n v="117"/>
    <x v="0"/>
  </r>
  <r>
    <x v="563"/>
    <x v="9"/>
    <n v="0.28999999999999998"/>
    <n v="1760544"/>
    <n v="0.27"/>
    <n v="1760544"/>
    <n v="0"/>
    <n v="118"/>
    <x v="0"/>
  </r>
  <r>
    <x v="564"/>
    <x v="9"/>
    <n v="0.28000000000000003"/>
    <n v="890918"/>
    <n v="0.32"/>
    <n v="890918"/>
    <n v="0"/>
    <n v="119"/>
    <x v="0"/>
  </r>
  <r>
    <x v="5"/>
    <x v="9"/>
    <n v="0.28000000000000003"/>
    <n v="500000"/>
    <n v="0.28000000000000003"/>
    <n v="500000"/>
    <n v="0"/>
    <n v="120"/>
    <x v="0"/>
  </r>
  <r>
    <x v="13"/>
    <x v="9"/>
    <n v="0.28000000000000003"/>
    <n v="1495838"/>
    <n v="0.3"/>
    <n v="1495838"/>
    <n v="0"/>
    <n v="121"/>
    <x v="0"/>
  </r>
  <r>
    <x v="565"/>
    <x v="9"/>
    <n v="0.27"/>
    <n v="11111066"/>
    <n v="0.28999999999999998"/>
    <n v="11111066"/>
    <n v="0"/>
    <n v="122"/>
    <x v="0"/>
  </r>
  <r>
    <x v="317"/>
    <x v="9"/>
    <n v="0.27"/>
    <n v="500319"/>
    <n v="0.5"/>
    <n v="922102"/>
    <n v="-421783"/>
    <n v="123"/>
    <x v="4"/>
  </r>
  <r>
    <x v="566"/>
    <x v="9"/>
    <n v="0.27"/>
    <n v="8697917"/>
    <n v="0.21"/>
    <n v="8697917"/>
    <n v="0"/>
    <n v="124"/>
    <x v="0"/>
  </r>
  <r>
    <x v="401"/>
    <x v="9"/>
    <n v="0.27"/>
    <n v="11000000"/>
    <n v="0.26"/>
    <n v="11000000"/>
    <n v="0"/>
    <n v="125"/>
    <x v="0"/>
  </r>
  <r>
    <x v="567"/>
    <x v="9"/>
    <n v="0.26"/>
    <n v="2425852"/>
    <n v="0.24"/>
    <n v="2425852"/>
    <n v="0"/>
    <n v="126"/>
    <x v="0"/>
  </r>
  <r>
    <x v="2"/>
    <x v="9"/>
    <n v="0.26"/>
    <n v="1509548"/>
    <n v="0.27"/>
    <n v="1509548"/>
    <n v="0"/>
    <n v="127"/>
    <x v="0"/>
  </r>
  <r>
    <x v="568"/>
    <x v="9"/>
    <n v="0.26"/>
    <n v="1882205"/>
    <n v="0.25"/>
    <n v="1882205"/>
    <n v="0"/>
    <n v="128"/>
    <x v="0"/>
  </r>
  <r>
    <x v="8"/>
    <x v="9"/>
    <n v="0.26"/>
    <n v="1193042"/>
    <n v="0.28999999999999998"/>
    <n v="1193042"/>
    <n v="0"/>
    <n v="129"/>
    <x v="0"/>
  </r>
  <r>
    <x v="569"/>
    <x v="9"/>
    <n v="0.25"/>
    <n v="5919207"/>
    <n v="0.22"/>
    <n v="5919207"/>
    <n v="0"/>
    <n v="130"/>
    <x v="0"/>
  </r>
  <r>
    <x v="570"/>
    <x v="9"/>
    <n v="0.25"/>
    <n v="2346009"/>
    <n v="0.27"/>
    <n v="2346009"/>
    <n v="0"/>
    <n v="131"/>
    <x v="0"/>
  </r>
  <r>
    <x v="571"/>
    <x v="9"/>
    <n v="0.25"/>
    <n v="2744559"/>
    <n v="0.28000000000000003"/>
    <n v="2744559"/>
    <n v="0"/>
    <n v="132"/>
    <x v="0"/>
  </r>
  <r>
    <x v="572"/>
    <x v="9"/>
    <n v="0.24"/>
    <n v="706958"/>
    <n v="0.24"/>
    <n v="706958"/>
    <n v="0"/>
    <n v="133"/>
    <x v="0"/>
  </r>
  <r>
    <x v="573"/>
    <x v="9"/>
    <n v="0.24"/>
    <n v="772042"/>
    <n v="0.24"/>
    <n v="772042"/>
    <n v="0"/>
    <n v="134"/>
    <x v="0"/>
  </r>
  <r>
    <x v="574"/>
    <x v="9"/>
    <n v="0.24"/>
    <n v="2787855"/>
    <n v="0.25"/>
    <n v="2787855"/>
    <n v="0"/>
    <n v="135"/>
    <x v="0"/>
  </r>
  <r>
    <x v="575"/>
    <x v="9"/>
    <n v="0.24"/>
    <n v="1297468"/>
    <n v="0.19"/>
    <n v="1124667"/>
    <n v="172801"/>
    <n v="136"/>
    <x v="1"/>
  </r>
  <r>
    <x v="50"/>
    <x v="9"/>
    <n v="0.24"/>
    <n v="764851"/>
    <n v="0.23"/>
    <n v="764851"/>
    <n v="0"/>
    <n v="137"/>
    <x v="0"/>
  </r>
  <r>
    <x v="576"/>
    <x v="9"/>
    <n v="0.24"/>
    <n v="2025155"/>
    <n v="0.27"/>
    <n v="2025155"/>
    <n v="0"/>
    <n v="138"/>
    <x v="0"/>
  </r>
  <r>
    <x v="360"/>
    <x v="9"/>
    <n v="0.23"/>
    <n v="597542"/>
    <n v="0.24"/>
    <n v="597542"/>
    <n v="0"/>
    <n v="139"/>
    <x v="0"/>
  </r>
  <r>
    <x v="577"/>
    <x v="9"/>
    <n v="0.23"/>
    <n v="5401807"/>
    <n v="0.23"/>
    <n v="5401807"/>
    <n v="0"/>
    <n v="140"/>
    <x v="0"/>
  </r>
  <r>
    <x v="578"/>
    <x v="9"/>
    <n v="0.23"/>
    <n v="657517"/>
    <n v="0.27"/>
    <n v="657517"/>
    <n v="0"/>
    <n v="141"/>
    <x v="0"/>
  </r>
  <r>
    <x v="579"/>
    <x v="9"/>
    <n v="0.23"/>
    <n v="1532554"/>
    <n v="0.23"/>
    <n v="1532554"/>
    <n v="0"/>
    <n v="142"/>
    <x v="0"/>
  </r>
  <r>
    <x v="3"/>
    <x v="9"/>
    <n v="0.22"/>
    <n v="1802709"/>
    <n v="0"/>
    <n v="0"/>
    <n v="1802709"/>
    <n v="143"/>
    <x v="2"/>
  </r>
  <r>
    <x v="22"/>
    <x v="9"/>
    <n v="0.21"/>
    <n v="150014"/>
    <n v="0.24"/>
    <n v="150014"/>
    <n v="0"/>
    <n v="144"/>
    <x v="0"/>
  </r>
  <r>
    <x v="580"/>
    <x v="9"/>
    <n v="0.21"/>
    <n v="1040781"/>
    <n v="0.24"/>
    <n v="1040781"/>
    <n v="0"/>
    <n v="145"/>
    <x v="0"/>
  </r>
  <r>
    <x v="581"/>
    <x v="9"/>
    <n v="0.21"/>
    <n v="1373373"/>
    <n v="0.23"/>
    <n v="1373373"/>
    <n v="0"/>
    <n v="146"/>
    <x v="0"/>
  </r>
  <r>
    <x v="481"/>
    <x v="9"/>
    <n v="0.2"/>
    <n v="3000000"/>
    <n v="0.22"/>
    <n v="3000000"/>
    <n v="0"/>
    <n v="147"/>
    <x v="0"/>
  </r>
  <r>
    <x v="11"/>
    <x v="9"/>
    <n v="0.19"/>
    <n v="1063054"/>
    <n v="0.24"/>
    <n v="1063054"/>
    <n v="0"/>
    <n v="148"/>
    <x v="0"/>
  </r>
  <r>
    <x v="582"/>
    <x v="9"/>
    <n v="0.19"/>
    <n v="2639365"/>
    <n v="0.2"/>
    <n v="2639365"/>
    <n v="0"/>
    <n v="149"/>
    <x v="0"/>
  </r>
  <r>
    <x v="32"/>
    <x v="9"/>
    <n v="0.19"/>
    <n v="363311"/>
    <n v="0.17"/>
    <n v="363311"/>
    <n v="0"/>
    <n v="150"/>
    <x v="0"/>
  </r>
  <r>
    <x v="583"/>
    <x v="9"/>
    <n v="0.19"/>
    <n v="7618268"/>
    <n v="0.19"/>
    <n v="7618268"/>
    <n v="0"/>
    <n v="151"/>
    <x v="0"/>
  </r>
  <r>
    <x v="393"/>
    <x v="9"/>
    <n v="0.18"/>
    <n v="394865"/>
    <n v="0.21"/>
    <n v="394865"/>
    <n v="0"/>
    <n v="152"/>
    <x v="0"/>
  </r>
  <r>
    <x v="584"/>
    <x v="9"/>
    <n v="0.17"/>
    <n v="468589"/>
    <n v="0.19"/>
    <n v="468589"/>
    <n v="0"/>
    <n v="153"/>
    <x v="0"/>
  </r>
  <r>
    <x v="6"/>
    <x v="9"/>
    <n v="0.17"/>
    <n v="934135"/>
    <n v="0.2"/>
    <n v="974201"/>
    <n v="-40066"/>
    <n v="154"/>
    <x v="4"/>
  </r>
  <r>
    <x v="585"/>
    <x v="9"/>
    <n v="0.17"/>
    <n v="1000000"/>
    <n v="0.18"/>
    <n v="1000000"/>
    <n v="0"/>
    <n v="155"/>
    <x v="0"/>
  </r>
  <r>
    <x v="586"/>
    <x v="9"/>
    <n v="0.16"/>
    <n v="223377"/>
    <n v="0.16"/>
    <n v="223377"/>
    <n v="0"/>
    <n v="156"/>
    <x v="0"/>
  </r>
  <r>
    <x v="587"/>
    <x v="9"/>
    <n v="0.16"/>
    <n v="345712"/>
    <n v="0.2"/>
    <n v="345712"/>
    <n v="0"/>
    <n v="157"/>
    <x v="0"/>
  </r>
  <r>
    <x v="588"/>
    <x v="9"/>
    <n v="0.16"/>
    <n v="819720"/>
    <n v="0.22"/>
    <n v="1119720"/>
    <n v="-300000"/>
    <n v="158"/>
    <x v="4"/>
  </r>
  <r>
    <x v="63"/>
    <x v="9"/>
    <n v="0.15"/>
    <n v="6545936"/>
    <n v="0"/>
    <n v="0"/>
    <n v="6545936"/>
    <n v="159"/>
    <x v="2"/>
  </r>
  <r>
    <x v="589"/>
    <x v="9"/>
    <n v="0.15"/>
    <n v="1498686"/>
    <n v="0.14000000000000001"/>
    <n v="1498686"/>
    <n v="0"/>
    <n v="160"/>
    <x v="0"/>
  </r>
  <r>
    <x v="334"/>
    <x v="9"/>
    <n v="0.15"/>
    <n v="319958"/>
    <n v="0.21"/>
    <n v="448317"/>
    <n v="-128359"/>
    <n v="161"/>
    <x v="4"/>
  </r>
  <r>
    <x v="590"/>
    <x v="9"/>
    <n v="0.14000000000000001"/>
    <n v="1223645"/>
    <n v="0.14000000000000001"/>
    <n v="1223645"/>
    <n v="0"/>
    <n v="162"/>
    <x v="0"/>
  </r>
  <r>
    <x v="591"/>
    <x v="9"/>
    <n v="0.14000000000000001"/>
    <n v="4965400"/>
    <n v="0.12"/>
    <n v="4965400"/>
    <n v="0"/>
    <n v="163"/>
    <x v="0"/>
  </r>
  <r>
    <x v="592"/>
    <x v="9"/>
    <n v="0.13"/>
    <n v="1253532"/>
    <n v="0.15"/>
    <n v="1253532"/>
    <n v="0"/>
    <n v="164"/>
    <x v="0"/>
  </r>
  <r>
    <x v="24"/>
    <x v="9"/>
    <n v="0.13"/>
    <n v="197316"/>
    <n v="0.14000000000000001"/>
    <n v="197316"/>
    <n v="0"/>
    <n v="165"/>
    <x v="0"/>
  </r>
  <r>
    <x v="235"/>
    <x v="9"/>
    <n v="0.13"/>
    <n v="902150"/>
    <n v="0.06"/>
    <n v="754768"/>
    <n v="147382"/>
    <n v="166"/>
    <x v="1"/>
  </r>
  <r>
    <x v="422"/>
    <x v="9"/>
    <n v="0.13"/>
    <n v="1536747"/>
    <n v="0.28000000000000003"/>
    <n v="3275917"/>
    <n v="-1739170"/>
    <n v="167"/>
    <x v="4"/>
  </r>
  <r>
    <x v="593"/>
    <x v="9"/>
    <n v="0.12"/>
    <n v="985000"/>
    <n v="0.14000000000000001"/>
    <n v="985000"/>
    <n v="0"/>
    <n v="168"/>
    <x v="0"/>
  </r>
  <r>
    <x v="594"/>
    <x v="9"/>
    <n v="0.12"/>
    <n v="1553109"/>
    <n v="0.13"/>
    <n v="1725315"/>
    <n v="-172206"/>
    <n v="169"/>
    <x v="4"/>
  </r>
  <r>
    <x v="595"/>
    <x v="9"/>
    <n v="0.11"/>
    <n v="120000"/>
    <n v="0"/>
    <n v="0"/>
    <n v="120000"/>
    <n v="170"/>
    <x v="2"/>
  </r>
  <r>
    <x v="356"/>
    <x v="9"/>
    <n v="0.11"/>
    <n v="792709"/>
    <n v="0.09"/>
    <n v="792709"/>
    <n v="0"/>
    <n v="171"/>
    <x v="0"/>
  </r>
  <r>
    <x v="596"/>
    <x v="9"/>
    <n v="0.11"/>
    <n v="547326"/>
    <n v="0.09"/>
    <n v="487900"/>
    <n v="59426"/>
    <n v="172"/>
    <x v="1"/>
  </r>
  <r>
    <x v="597"/>
    <x v="9"/>
    <n v="0.1"/>
    <n v="1561895"/>
    <n v="0.1"/>
    <n v="1561895"/>
    <n v="0"/>
    <n v="173"/>
    <x v="0"/>
  </r>
  <r>
    <x v="598"/>
    <x v="9"/>
    <n v="0.1"/>
    <n v="49830"/>
    <n v="0.11"/>
    <n v="49830"/>
    <n v="0"/>
    <n v="174"/>
    <x v="0"/>
  </r>
  <r>
    <x v="432"/>
    <x v="9"/>
    <n v="0.09"/>
    <n v="657436"/>
    <n v="0"/>
    <n v="0"/>
    <n v="657436"/>
    <n v="175"/>
    <x v="2"/>
  </r>
  <r>
    <x v="599"/>
    <x v="9"/>
    <n v="0.09"/>
    <n v="523317"/>
    <n v="0.1"/>
    <n v="523317"/>
    <n v="0"/>
    <n v="176"/>
    <x v="0"/>
  </r>
  <r>
    <x v="600"/>
    <x v="9"/>
    <n v="0.09"/>
    <n v="480069"/>
    <n v="0.08"/>
    <n v="480069"/>
    <n v="0"/>
    <n v="177"/>
    <x v="0"/>
  </r>
  <r>
    <x v="484"/>
    <x v="9"/>
    <n v="0.08"/>
    <n v="1000000"/>
    <n v="0"/>
    <n v="0"/>
    <n v="1000000"/>
    <n v="178"/>
    <x v="2"/>
  </r>
  <r>
    <x v="601"/>
    <x v="9"/>
    <n v="0.08"/>
    <n v="6311223"/>
    <n v="0.08"/>
    <n v="6311223"/>
    <n v="0"/>
    <n v="179"/>
    <x v="0"/>
  </r>
  <r>
    <x v="400"/>
    <x v="9"/>
    <n v="7.0000000000000007E-2"/>
    <n v="270000"/>
    <n v="1.08"/>
    <n v="3500000"/>
    <n v="-3230000"/>
    <n v="180"/>
    <x v="4"/>
  </r>
  <r>
    <x v="602"/>
    <x v="9"/>
    <n v="7.0000000000000007E-2"/>
    <n v="1141195"/>
    <n v="7.0000000000000007E-2"/>
    <n v="1141195"/>
    <n v="0"/>
    <n v="181"/>
    <x v="0"/>
  </r>
  <r>
    <x v="603"/>
    <x v="9"/>
    <n v="7.0000000000000007E-2"/>
    <n v="542333"/>
    <n v="0"/>
    <n v="0"/>
    <n v="542333"/>
    <n v="182"/>
    <x v="2"/>
  </r>
  <r>
    <x v="89"/>
    <x v="9"/>
    <n v="7.0000000000000007E-2"/>
    <n v="272416"/>
    <n v="0"/>
    <n v="0"/>
    <n v="272416"/>
    <n v="183"/>
    <x v="2"/>
  </r>
  <r>
    <x v="604"/>
    <x v="9"/>
    <n v="7.0000000000000007E-2"/>
    <n v="4189441"/>
    <n v="0.17"/>
    <n v="9164642"/>
    <n v="-4975201"/>
    <n v="184"/>
    <x v="4"/>
  </r>
  <r>
    <x v="605"/>
    <x v="9"/>
    <n v="0.06"/>
    <n v="216851"/>
    <n v="0.06"/>
    <n v="216851"/>
    <n v="0"/>
    <n v="185"/>
    <x v="0"/>
  </r>
  <r>
    <x v="606"/>
    <x v="9"/>
    <n v="0.06"/>
    <n v="1020332"/>
    <n v="0.09"/>
    <n v="1388069"/>
    <n v="-367737"/>
    <n v="186"/>
    <x v="4"/>
  </r>
  <r>
    <x v="607"/>
    <x v="9"/>
    <n v="0.05"/>
    <n v="2000000"/>
    <n v="0"/>
    <n v="0"/>
    <n v="2000000"/>
    <n v="187"/>
    <x v="2"/>
  </r>
  <r>
    <x v="64"/>
    <x v="9"/>
    <n v="0.05"/>
    <n v="466962"/>
    <n v="0.05"/>
    <n v="466962"/>
    <n v="0"/>
    <n v="188"/>
    <x v="0"/>
  </r>
  <r>
    <x v="608"/>
    <x v="9"/>
    <n v="0.04"/>
    <n v="1830871"/>
    <n v="0.09"/>
    <n v="4339039"/>
    <n v="-2508168"/>
    <n v="189"/>
    <x v="4"/>
  </r>
  <r>
    <x v="609"/>
    <x v="9"/>
    <n v="0.04"/>
    <n v="488800"/>
    <n v="0"/>
    <n v="0"/>
    <n v="488800"/>
    <n v="190"/>
    <x v="2"/>
  </r>
  <r>
    <x v="454"/>
    <x v="9"/>
    <n v="0.03"/>
    <n v="346518"/>
    <n v="0.03"/>
    <n v="346518"/>
    <n v="0"/>
    <n v="191"/>
    <x v="0"/>
  </r>
  <r>
    <x v="610"/>
    <x v="9"/>
    <n v="0.03"/>
    <n v="135312"/>
    <n v="0.03"/>
    <n v="135312"/>
    <n v="0"/>
    <n v="192"/>
    <x v="0"/>
  </r>
  <r>
    <x v="611"/>
    <x v="9"/>
    <n v="0.03"/>
    <n v="1205388"/>
    <n v="0.03"/>
    <n v="1205388"/>
    <n v="0"/>
    <n v="193"/>
    <x v="0"/>
  </r>
  <r>
    <x v="612"/>
    <x v="9"/>
    <n v="0"/>
    <n v="0"/>
    <n v="0"/>
    <n v="0"/>
    <n v="0"/>
    <n v="194"/>
    <x v="3"/>
  </r>
  <r>
    <x v="613"/>
    <x v="9"/>
    <n v="0"/>
    <n v="0"/>
    <n v="0"/>
    <n v="0"/>
    <n v="0"/>
    <n v="195"/>
    <x v="3"/>
  </r>
  <r>
    <x v="55"/>
    <x v="9"/>
    <n v="0"/>
    <n v="0"/>
    <n v="0"/>
    <n v="0"/>
    <n v="0"/>
    <n v="196"/>
    <x v="3"/>
  </r>
  <r>
    <x v="289"/>
    <x v="9"/>
    <n v="0"/>
    <n v="0"/>
    <n v="0"/>
    <n v="0"/>
    <n v="0"/>
    <n v="197"/>
    <x v="3"/>
  </r>
  <r>
    <x v="487"/>
    <x v="9"/>
    <n v="0"/>
    <n v="0"/>
    <n v="0"/>
    <n v="0"/>
    <n v="0"/>
    <n v="198"/>
    <x v="3"/>
  </r>
  <r>
    <x v="614"/>
    <x v="9"/>
    <n v="0"/>
    <n v="0"/>
    <n v="0"/>
    <n v="0"/>
    <n v="0"/>
    <n v="199"/>
    <x v="3"/>
  </r>
  <r>
    <x v="615"/>
    <x v="9"/>
    <n v="0"/>
    <n v="0"/>
    <n v="0"/>
    <n v="0"/>
    <n v="0"/>
    <n v="200"/>
    <x v="3"/>
  </r>
  <r>
    <x v="54"/>
    <x v="9"/>
    <n v="0"/>
    <n v="0"/>
    <n v="0"/>
    <n v="0"/>
    <n v="0"/>
    <n v="201"/>
    <x v="3"/>
  </r>
  <r>
    <x v="616"/>
    <x v="9"/>
    <n v="0"/>
    <n v="0"/>
    <n v="0.19"/>
    <n v="1270964"/>
    <n v="-1270964"/>
    <n v="202"/>
    <x v="4"/>
  </r>
  <r>
    <x v="211"/>
    <x v="10"/>
    <n v="3.17"/>
    <n v="1697055"/>
    <n v="2.96"/>
    <n v="1697055"/>
    <n v="0"/>
    <n v="1"/>
    <x v="0"/>
  </r>
  <r>
    <x v="617"/>
    <x v="10"/>
    <n v="3.1"/>
    <n v="2532684"/>
    <n v="3.23"/>
    <n v="2532684"/>
    <n v="0"/>
    <n v="2"/>
    <x v="0"/>
  </r>
  <r>
    <x v="618"/>
    <x v="10"/>
    <n v="3.06"/>
    <n v="919677"/>
    <n v="3.26"/>
    <n v="919677"/>
    <n v="0"/>
    <n v="3"/>
    <x v="0"/>
  </r>
  <r>
    <x v="212"/>
    <x v="10"/>
    <n v="3.02"/>
    <n v="796219"/>
    <n v="3.04"/>
    <n v="796219"/>
    <n v="0"/>
    <n v="4"/>
    <x v="0"/>
  </r>
  <r>
    <x v="619"/>
    <x v="10"/>
    <n v="2.93"/>
    <n v="4562120"/>
    <n v="3.05"/>
    <n v="4562120"/>
    <n v="0"/>
    <n v="5"/>
    <x v="0"/>
  </r>
  <r>
    <x v="174"/>
    <x v="10"/>
    <n v="2.91"/>
    <n v="1371160"/>
    <n v="2.97"/>
    <n v="1371160"/>
    <n v="0"/>
    <n v="6"/>
    <x v="0"/>
  </r>
  <r>
    <x v="620"/>
    <x v="10"/>
    <n v="2.6"/>
    <n v="100119"/>
    <n v="2.62"/>
    <n v="100119"/>
    <n v="0"/>
    <n v="7"/>
    <x v="0"/>
  </r>
  <r>
    <x v="141"/>
    <x v="10"/>
    <n v="2.5499999999999998"/>
    <n v="1428000"/>
    <n v="0"/>
    <n v="0"/>
    <n v="1428000"/>
    <n v="8"/>
    <x v="2"/>
  </r>
  <r>
    <x v="621"/>
    <x v="10"/>
    <n v="2.4500000000000002"/>
    <n v="4890924"/>
    <n v="2.58"/>
    <n v="4890924"/>
    <n v="0"/>
    <n v="9"/>
    <x v="0"/>
  </r>
  <r>
    <x v="167"/>
    <x v="10"/>
    <n v="2.39"/>
    <n v="1193854"/>
    <n v="2.46"/>
    <n v="1193854"/>
    <n v="0"/>
    <n v="10"/>
    <x v="0"/>
  </r>
  <r>
    <x v="622"/>
    <x v="10"/>
    <n v="2.37"/>
    <n v="514601"/>
    <n v="2.58"/>
    <n v="514601"/>
    <n v="0"/>
    <n v="11"/>
    <x v="0"/>
  </r>
  <r>
    <x v="623"/>
    <x v="10"/>
    <n v="2.2999999999999998"/>
    <n v="397666"/>
    <n v="2.21"/>
    <n v="397666"/>
    <n v="0"/>
    <n v="12"/>
    <x v="0"/>
  </r>
  <r>
    <x v="624"/>
    <x v="10"/>
    <n v="2.2799999999999998"/>
    <n v="4412178"/>
    <n v="3.29"/>
    <n v="5886301"/>
    <n v="-1474123"/>
    <n v="13"/>
    <x v="4"/>
  </r>
  <r>
    <x v="625"/>
    <x v="10"/>
    <n v="2.0499999999999998"/>
    <n v="3190960"/>
    <n v="1.71"/>
    <n v="2636360"/>
    <n v="554600"/>
    <n v="14"/>
    <x v="1"/>
  </r>
  <r>
    <x v="157"/>
    <x v="10"/>
    <n v="2.0299999999999998"/>
    <n v="1368659"/>
    <n v="2.02"/>
    <n v="1368659"/>
    <n v="0"/>
    <n v="15"/>
    <x v="0"/>
  </r>
  <r>
    <x v="626"/>
    <x v="10"/>
    <n v="1.97"/>
    <n v="3773449"/>
    <n v="1.96"/>
    <n v="3773449"/>
    <n v="0"/>
    <n v="16"/>
    <x v="0"/>
  </r>
  <r>
    <x v="292"/>
    <x v="10"/>
    <n v="1.95"/>
    <n v="552786"/>
    <n v="2.09"/>
    <n v="552786"/>
    <n v="0"/>
    <n v="17"/>
    <x v="0"/>
  </r>
  <r>
    <x v="627"/>
    <x v="10"/>
    <n v="1.86"/>
    <n v="475963"/>
    <n v="1.6"/>
    <n v="364826"/>
    <n v="111137"/>
    <n v="18"/>
    <x v="1"/>
  </r>
  <r>
    <x v="262"/>
    <x v="10"/>
    <n v="1.78"/>
    <n v="399033"/>
    <n v="1.95"/>
    <n v="399033"/>
    <n v="0"/>
    <n v="19"/>
    <x v="0"/>
  </r>
  <r>
    <x v="628"/>
    <x v="10"/>
    <n v="1.77"/>
    <n v="4191540"/>
    <n v="1.38"/>
    <n v="3638170"/>
    <n v="553370"/>
    <n v="20"/>
    <x v="1"/>
  </r>
  <r>
    <x v="629"/>
    <x v="10"/>
    <n v="1.76"/>
    <n v="1122967"/>
    <n v="1.51"/>
    <n v="1122967"/>
    <n v="0"/>
    <n v="21"/>
    <x v="0"/>
  </r>
  <r>
    <x v="187"/>
    <x v="10"/>
    <n v="1.69"/>
    <n v="1922769"/>
    <n v="1.74"/>
    <n v="1922769"/>
    <n v="0"/>
    <n v="22"/>
    <x v="0"/>
  </r>
  <r>
    <x v="630"/>
    <x v="10"/>
    <n v="1.63"/>
    <n v="1036700"/>
    <n v="1.44"/>
    <n v="1036700"/>
    <n v="0"/>
    <n v="23"/>
    <x v="0"/>
  </r>
  <r>
    <x v="631"/>
    <x v="10"/>
    <n v="1.62"/>
    <n v="589383"/>
    <n v="1.56"/>
    <n v="589383"/>
    <n v="0"/>
    <n v="24"/>
    <x v="0"/>
  </r>
  <r>
    <x v="632"/>
    <x v="10"/>
    <n v="1.59"/>
    <n v="2588683"/>
    <n v="1.49"/>
    <n v="2588683"/>
    <n v="0"/>
    <n v="25"/>
    <x v="0"/>
  </r>
  <r>
    <x v="633"/>
    <x v="10"/>
    <n v="1.56"/>
    <n v="304984"/>
    <n v="2.79"/>
    <n v="498340"/>
    <n v="-193356"/>
    <n v="26"/>
    <x v="4"/>
  </r>
  <r>
    <x v="166"/>
    <x v="10"/>
    <n v="1.46"/>
    <n v="532100"/>
    <n v="1.36"/>
    <n v="532100"/>
    <n v="0"/>
    <n v="27"/>
    <x v="0"/>
  </r>
  <r>
    <x v="197"/>
    <x v="10"/>
    <n v="1.46"/>
    <n v="590600"/>
    <n v="1.25"/>
    <n v="590600"/>
    <n v="0"/>
    <n v="28"/>
    <x v="0"/>
  </r>
  <r>
    <x v="634"/>
    <x v="10"/>
    <n v="1.44"/>
    <n v="22850935"/>
    <n v="1.47"/>
    <n v="22850935"/>
    <n v="0"/>
    <n v="29"/>
    <x v="0"/>
  </r>
  <r>
    <x v="635"/>
    <x v="10"/>
    <n v="1.41"/>
    <n v="1874000"/>
    <n v="1.38"/>
    <n v="1874000"/>
    <n v="0"/>
    <n v="30"/>
    <x v="0"/>
  </r>
  <r>
    <x v="307"/>
    <x v="10"/>
    <n v="1.38"/>
    <n v="1006844"/>
    <n v="1.39"/>
    <n v="1006844"/>
    <n v="0"/>
    <n v="31"/>
    <x v="0"/>
  </r>
  <r>
    <x v="636"/>
    <x v="10"/>
    <n v="1.1399999999999999"/>
    <n v="416754"/>
    <n v="1.05"/>
    <n v="416754"/>
    <n v="0"/>
    <n v="32"/>
    <x v="0"/>
  </r>
  <r>
    <x v="637"/>
    <x v="10"/>
    <n v="1.1299999999999999"/>
    <n v="296028"/>
    <n v="1.06"/>
    <n v="296028"/>
    <n v="0"/>
    <n v="33"/>
    <x v="0"/>
  </r>
  <r>
    <x v="186"/>
    <x v="10"/>
    <n v="1.1200000000000001"/>
    <n v="768429"/>
    <n v="1.06"/>
    <n v="768429"/>
    <n v="0"/>
    <n v="34"/>
    <x v="0"/>
  </r>
  <r>
    <x v="216"/>
    <x v="10"/>
    <n v="1.06"/>
    <n v="563942"/>
    <n v="1.07"/>
    <n v="570782"/>
    <n v="-6840"/>
    <n v="35"/>
    <x v="4"/>
  </r>
  <r>
    <x v="214"/>
    <x v="10"/>
    <n v="1.05"/>
    <n v="868829"/>
    <n v="0.95"/>
    <n v="868829"/>
    <n v="0"/>
    <n v="36"/>
    <x v="0"/>
  </r>
  <r>
    <x v="638"/>
    <x v="10"/>
    <n v="1.03"/>
    <n v="203000"/>
    <n v="1.07"/>
    <n v="203000"/>
    <n v="0"/>
    <n v="37"/>
    <x v="0"/>
  </r>
  <r>
    <x v="639"/>
    <x v="10"/>
    <n v="1.03"/>
    <n v="2412629"/>
    <n v="1.06"/>
    <n v="2412629"/>
    <n v="0"/>
    <n v="38"/>
    <x v="0"/>
  </r>
  <r>
    <x v="640"/>
    <x v="10"/>
    <n v="0.99"/>
    <n v="228000"/>
    <n v="1"/>
    <n v="228000"/>
    <n v="0"/>
    <n v="39"/>
    <x v="0"/>
  </r>
  <r>
    <x v="641"/>
    <x v="10"/>
    <n v="0.98"/>
    <n v="388808"/>
    <n v="0.98"/>
    <n v="388808"/>
    <n v="0"/>
    <n v="40"/>
    <x v="0"/>
  </r>
  <r>
    <x v="642"/>
    <x v="10"/>
    <n v="0.97"/>
    <n v="236523"/>
    <n v="0.99"/>
    <n v="236523"/>
    <n v="0"/>
    <n v="41"/>
    <x v="0"/>
  </r>
  <r>
    <x v="219"/>
    <x v="10"/>
    <n v="0.97"/>
    <n v="1048872"/>
    <n v="0.99"/>
    <n v="1048872"/>
    <n v="0"/>
    <n v="42"/>
    <x v="0"/>
  </r>
  <r>
    <x v="643"/>
    <x v="10"/>
    <n v="0.96"/>
    <n v="2530000"/>
    <n v="1.23"/>
    <n v="3000000"/>
    <n v="-470000"/>
    <n v="43"/>
    <x v="4"/>
  </r>
  <r>
    <x v="383"/>
    <x v="10"/>
    <n v="0.95"/>
    <n v="1098228"/>
    <n v="0.98"/>
    <n v="1098228"/>
    <n v="0"/>
    <n v="44"/>
    <x v="0"/>
  </r>
  <r>
    <x v="644"/>
    <x v="10"/>
    <n v="0.94"/>
    <n v="852876"/>
    <n v="0.87"/>
    <n v="852876"/>
    <n v="0"/>
    <n v="45"/>
    <x v="0"/>
  </r>
  <r>
    <x v="213"/>
    <x v="10"/>
    <n v="0.94"/>
    <n v="1098266"/>
    <n v="0.94"/>
    <n v="1098266"/>
    <n v="0"/>
    <n v="46"/>
    <x v="0"/>
  </r>
  <r>
    <x v="645"/>
    <x v="10"/>
    <n v="0.94"/>
    <n v="477250"/>
    <n v="0.97"/>
    <n v="477250"/>
    <n v="0"/>
    <n v="47"/>
    <x v="0"/>
  </r>
  <r>
    <x v="363"/>
    <x v="10"/>
    <n v="0.92"/>
    <n v="800000"/>
    <n v="0.89"/>
    <n v="800000"/>
    <n v="0"/>
    <n v="48"/>
    <x v="0"/>
  </r>
  <r>
    <x v="646"/>
    <x v="10"/>
    <n v="0.91"/>
    <n v="1324854"/>
    <n v="0.86"/>
    <n v="1324854"/>
    <n v="0"/>
    <n v="49"/>
    <x v="0"/>
  </r>
  <r>
    <x v="285"/>
    <x v="10"/>
    <n v="0.85"/>
    <n v="549028"/>
    <n v="0.77"/>
    <n v="549028"/>
    <n v="0"/>
    <n v="50"/>
    <x v="0"/>
  </r>
  <r>
    <x v="322"/>
    <x v="10"/>
    <n v="0.85"/>
    <n v="757269"/>
    <n v="0.78"/>
    <n v="745709"/>
    <n v="11560"/>
    <n v="51"/>
    <x v="1"/>
  </r>
  <r>
    <x v="647"/>
    <x v="10"/>
    <n v="0.82"/>
    <n v="58500"/>
    <n v="0.79"/>
    <n v="58500"/>
    <n v="0"/>
    <n v="52"/>
    <x v="0"/>
  </r>
  <r>
    <x v="648"/>
    <x v="10"/>
    <n v="0.78"/>
    <n v="589611"/>
    <n v="0.73"/>
    <n v="589611"/>
    <n v="0"/>
    <n v="53"/>
    <x v="0"/>
  </r>
  <r>
    <x v="649"/>
    <x v="10"/>
    <n v="0.74"/>
    <n v="173973"/>
    <n v="0.76"/>
    <n v="173973"/>
    <n v="0"/>
    <n v="54"/>
    <x v="0"/>
  </r>
  <r>
    <x v="650"/>
    <x v="10"/>
    <n v="0.69"/>
    <n v="1540418"/>
    <n v="0.75"/>
    <n v="1540418"/>
    <n v="0"/>
    <n v="55"/>
    <x v="0"/>
  </r>
  <r>
    <x v="651"/>
    <x v="10"/>
    <n v="0.68"/>
    <n v="201457"/>
    <n v="0.7"/>
    <n v="201457"/>
    <n v="0"/>
    <n v="56"/>
    <x v="0"/>
  </r>
  <r>
    <x v="652"/>
    <x v="10"/>
    <n v="0.64"/>
    <n v="455612"/>
    <n v="0.71"/>
    <n v="455612"/>
    <n v="0"/>
    <n v="57"/>
    <x v="0"/>
  </r>
  <r>
    <x v="653"/>
    <x v="10"/>
    <n v="0.62"/>
    <n v="63964"/>
    <n v="0.68"/>
    <n v="63964"/>
    <n v="0"/>
    <n v="58"/>
    <x v="0"/>
  </r>
  <r>
    <x v="654"/>
    <x v="10"/>
    <n v="0.6"/>
    <n v="2862772"/>
    <n v="0.6"/>
    <n v="2862772"/>
    <n v="0"/>
    <n v="59"/>
    <x v="0"/>
  </r>
  <r>
    <x v="655"/>
    <x v="10"/>
    <n v="0.57999999999999996"/>
    <n v="911491"/>
    <n v="0.57999999999999996"/>
    <n v="911491"/>
    <n v="0"/>
    <n v="60"/>
    <x v="0"/>
  </r>
  <r>
    <x v="301"/>
    <x v="10"/>
    <n v="0.57999999999999996"/>
    <n v="736889"/>
    <n v="0.62"/>
    <n v="736889"/>
    <n v="0"/>
    <n v="61"/>
    <x v="0"/>
  </r>
  <r>
    <x v="656"/>
    <x v="10"/>
    <n v="0.56999999999999995"/>
    <n v="341552"/>
    <n v="0.59"/>
    <n v="341552"/>
    <n v="0"/>
    <n v="62"/>
    <x v="0"/>
  </r>
  <r>
    <x v="249"/>
    <x v="10"/>
    <n v="0.51"/>
    <n v="604466"/>
    <n v="0.52"/>
    <n v="604466"/>
    <n v="0"/>
    <n v="63"/>
    <x v="0"/>
  </r>
  <r>
    <x v="657"/>
    <x v="10"/>
    <n v="0.27"/>
    <n v="106602"/>
    <n v="0.27"/>
    <n v="106602"/>
    <n v="0"/>
    <n v="64"/>
    <x v="0"/>
  </r>
  <r>
    <x v="658"/>
    <x v="10"/>
    <n v="0"/>
    <n v="0"/>
    <n v="0"/>
    <n v="0"/>
    <n v="0"/>
    <n v="65"/>
    <x v="3"/>
  </r>
  <r>
    <x v="659"/>
    <x v="10"/>
    <n v="0"/>
    <n v="0"/>
    <n v="0"/>
    <n v="0"/>
    <n v="0"/>
    <n v="66"/>
    <x v="3"/>
  </r>
  <r>
    <x v="660"/>
    <x v="10"/>
    <n v="0"/>
    <n v="0"/>
    <n v="0"/>
    <n v="0"/>
    <n v="0"/>
    <n v="67"/>
    <x v="3"/>
  </r>
  <r>
    <x v="661"/>
    <x v="10"/>
    <n v="0"/>
    <n v="0"/>
    <n v="0"/>
    <n v="0"/>
    <n v="0"/>
    <n v="68"/>
    <x v="3"/>
  </r>
  <r>
    <x v="662"/>
    <x v="10"/>
    <n v="0"/>
    <n v="0"/>
    <n v="0"/>
    <n v="0"/>
    <n v="0"/>
    <n v="69"/>
    <x v="3"/>
  </r>
  <r>
    <x v="663"/>
    <x v="10"/>
    <n v="0"/>
    <n v="0"/>
    <n v="0"/>
    <n v="0"/>
    <n v="0"/>
    <n v="70"/>
    <x v="3"/>
  </r>
  <r>
    <x v="316"/>
    <x v="10"/>
    <n v="0"/>
    <n v="0"/>
    <n v="0"/>
    <n v="0"/>
    <n v="0"/>
    <n v="71"/>
    <x v="3"/>
  </r>
  <r>
    <x v="664"/>
    <x v="10"/>
    <n v="0"/>
    <n v="0"/>
    <n v="0"/>
    <n v="0"/>
    <n v="0"/>
    <n v="72"/>
    <x v="3"/>
  </r>
  <r>
    <x v="665"/>
    <x v="10"/>
    <n v="0"/>
    <n v="0"/>
    <n v="0.24"/>
    <n v="29730"/>
    <n v="-29730"/>
    <n v="73"/>
    <x v="4"/>
  </r>
  <r>
    <x v="666"/>
    <x v="10"/>
    <n v="0"/>
    <n v="0"/>
    <n v="2.68"/>
    <n v="850000"/>
    <n v="-850000"/>
    <n v="74"/>
    <x v="4"/>
  </r>
  <r>
    <x v="667"/>
    <x v="10"/>
    <n v="0"/>
    <n v="0"/>
    <n v="0"/>
    <n v="0"/>
    <n v="0"/>
    <n v="75"/>
    <x v="3"/>
  </r>
  <r>
    <x v="387"/>
    <x v="11"/>
    <n v="9.32"/>
    <n v="198200"/>
    <n v="8.52"/>
    <n v="156950"/>
    <n v="41250"/>
    <n v="1"/>
    <x v="1"/>
  </r>
  <r>
    <x v="668"/>
    <x v="11"/>
    <n v="9.07"/>
    <n v="614500"/>
    <n v="4.96"/>
    <n v="317000"/>
    <n v="297500"/>
    <n v="2"/>
    <x v="1"/>
  </r>
  <r>
    <x v="456"/>
    <x v="11"/>
    <n v="8.51"/>
    <n v="117400"/>
    <n v="8.84"/>
    <n v="108600"/>
    <n v="8800"/>
    <n v="3"/>
    <x v="1"/>
  </r>
  <r>
    <x v="669"/>
    <x v="11"/>
    <n v="7.35"/>
    <n v="532842"/>
    <n v="7.11"/>
    <n v="532842"/>
    <n v="0"/>
    <n v="4"/>
    <x v="0"/>
  </r>
  <r>
    <x v="670"/>
    <x v="11"/>
    <n v="7.25"/>
    <n v="445622"/>
    <n v="7.11"/>
    <n v="445622"/>
    <n v="0"/>
    <n v="5"/>
    <x v="0"/>
  </r>
  <r>
    <x v="471"/>
    <x v="11"/>
    <n v="6.58"/>
    <n v="202500"/>
    <n v="8.07"/>
    <n v="239800"/>
    <n v="-37300"/>
    <n v="6"/>
    <x v="4"/>
  </r>
  <r>
    <x v="386"/>
    <x v="11"/>
    <n v="5.25"/>
    <n v="845800"/>
    <n v="5.1100000000000003"/>
    <n v="845800"/>
    <n v="0"/>
    <n v="7"/>
    <x v="0"/>
  </r>
  <r>
    <x v="671"/>
    <x v="11"/>
    <n v="4.4000000000000004"/>
    <n v="203654"/>
    <n v="4.42"/>
    <n v="203654"/>
    <n v="0"/>
    <n v="8"/>
    <x v="0"/>
  </r>
  <r>
    <x v="672"/>
    <x v="11"/>
    <n v="4.24"/>
    <n v="650000"/>
    <n v="4.79"/>
    <n v="650000"/>
    <n v="0"/>
    <n v="9"/>
    <x v="0"/>
  </r>
  <r>
    <x v="452"/>
    <x v="11"/>
    <n v="3.9"/>
    <n v="16500"/>
    <n v="4.37"/>
    <n v="16500"/>
    <n v="0"/>
    <n v="10"/>
    <x v="0"/>
  </r>
  <r>
    <x v="362"/>
    <x v="11"/>
    <n v="2.7"/>
    <n v="5009"/>
    <n v="3.04"/>
    <n v="5009"/>
    <n v="0"/>
    <n v="11"/>
    <x v="0"/>
  </r>
  <r>
    <x v="673"/>
    <x v="11"/>
    <n v="1.79"/>
    <n v="76600"/>
    <n v="0.85"/>
    <n v="36600"/>
    <n v="40000"/>
    <n v="12"/>
    <x v="1"/>
  </r>
  <r>
    <x v="674"/>
    <x v="11"/>
    <n v="1.34"/>
    <n v="175500"/>
    <n v="0"/>
    <n v="0"/>
    <n v="175500"/>
    <n v="13"/>
    <x v="2"/>
  </r>
  <r>
    <x v="675"/>
    <x v="11"/>
    <n v="1.29"/>
    <n v="2000"/>
    <n v="2.46"/>
    <n v="3370"/>
    <n v="-1370"/>
    <n v="14"/>
    <x v="4"/>
  </r>
  <r>
    <x v="484"/>
    <x v="11"/>
    <n v="0.86"/>
    <n v="116100"/>
    <n v="0"/>
    <n v="0"/>
    <n v="116100"/>
    <n v="15"/>
    <x v="2"/>
  </r>
  <r>
    <x v="103"/>
    <x v="11"/>
    <n v="0"/>
    <n v="0"/>
    <n v="0"/>
    <n v="0"/>
    <n v="0"/>
    <n v="16"/>
    <x v="3"/>
  </r>
  <r>
    <x v="435"/>
    <x v="11"/>
    <n v="0"/>
    <n v="0"/>
    <n v="0"/>
    <n v="0"/>
    <n v="0"/>
    <n v="17"/>
    <x v="3"/>
  </r>
  <r>
    <x v="423"/>
    <x v="11"/>
    <n v="0"/>
    <n v="0"/>
    <n v="0"/>
    <n v="0"/>
    <n v="0"/>
    <n v="18"/>
    <x v="3"/>
  </r>
  <r>
    <x v="676"/>
    <x v="11"/>
    <n v="0"/>
    <n v="0"/>
    <n v="0"/>
    <n v="0"/>
    <n v="0"/>
    <n v="19"/>
    <x v="3"/>
  </r>
  <r>
    <x v="677"/>
    <x v="11"/>
    <n v="0"/>
    <n v="0"/>
    <n v="2.91"/>
    <n v="216400"/>
    <n v="-216400"/>
    <n v="20"/>
    <x v="4"/>
  </r>
  <r>
    <x v="457"/>
    <x v="11"/>
    <n v="0"/>
    <n v="0"/>
    <n v="0"/>
    <n v="0"/>
    <n v="0"/>
    <n v="21"/>
    <x v="3"/>
  </r>
  <r>
    <x v="458"/>
    <x v="11"/>
    <n v="0"/>
    <n v="0"/>
    <n v="2.3199999999999998"/>
    <n v="160000"/>
    <n v="-160000"/>
    <n v="22"/>
    <x v="4"/>
  </r>
  <r>
    <x v="678"/>
    <x v="11"/>
    <n v="0"/>
    <n v="0"/>
    <n v="0"/>
    <n v="0"/>
    <n v="0"/>
    <n v="23"/>
    <x v="3"/>
  </r>
  <r>
    <x v="409"/>
    <x v="11"/>
    <n v="0"/>
    <n v="0"/>
    <n v="1.7"/>
    <n v="280000"/>
    <n v="-280000"/>
    <n v="24"/>
    <x v="4"/>
  </r>
  <r>
    <x v="77"/>
    <x v="11"/>
    <n v="0"/>
    <n v="0"/>
    <n v="6.56"/>
    <n v="39550"/>
    <n v="-39550"/>
    <n v="25"/>
    <x v="4"/>
  </r>
  <r>
    <x v="431"/>
    <x v="12"/>
    <n v="8.49"/>
    <n v="1196175"/>
    <n v="6.83"/>
    <n v="937475"/>
    <n v="258700"/>
    <n v="1"/>
    <x v="1"/>
  </r>
  <r>
    <x v="456"/>
    <x v="12"/>
    <n v="8.39"/>
    <n v="833250"/>
    <n v="9.3699999999999992"/>
    <n v="804250"/>
    <n v="29000"/>
    <n v="2"/>
    <x v="1"/>
  </r>
  <r>
    <x v="673"/>
    <x v="12"/>
    <n v="7.8"/>
    <n v="2392050"/>
    <n v="5.03"/>
    <n v="1513550"/>
    <n v="878500"/>
    <n v="3"/>
    <x v="1"/>
  </r>
  <r>
    <x v="679"/>
    <x v="12"/>
    <n v="6.91"/>
    <n v="686500"/>
    <n v="5.3"/>
    <n v="514625"/>
    <n v="171875"/>
    <n v="4"/>
    <x v="1"/>
  </r>
  <r>
    <x v="680"/>
    <x v="12"/>
    <n v="5.86"/>
    <n v="23971000"/>
    <n v="5.66"/>
    <n v="23971000"/>
    <n v="0"/>
    <n v="5"/>
    <x v="0"/>
  </r>
  <r>
    <x v="404"/>
    <x v="12"/>
    <n v="5.0199999999999996"/>
    <n v="1259996"/>
    <n v="5.44"/>
    <n v="1259996"/>
    <n v="0"/>
    <n v="6"/>
    <x v="0"/>
  </r>
  <r>
    <x v="681"/>
    <x v="12"/>
    <n v="4.5599999999999996"/>
    <n v="4730000"/>
    <n v="0"/>
    <n v="0"/>
    <n v="4730000"/>
    <n v="7"/>
    <x v="2"/>
  </r>
  <r>
    <x v="682"/>
    <x v="12"/>
    <n v="4.45"/>
    <n v="10812000"/>
    <n v="0"/>
    <n v="0"/>
    <n v="10812000"/>
    <n v="8"/>
    <x v="2"/>
  </r>
  <r>
    <x v="683"/>
    <x v="12"/>
    <n v="4.34"/>
    <n v="220506"/>
    <n v="4.3499999999999996"/>
    <n v="220506"/>
    <n v="0"/>
    <n v="9"/>
    <x v="0"/>
  </r>
  <r>
    <x v="684"/>
    <x v="12"/>
    <n v="4.33"/>
    <n v="4892500"/>
    <n v="0"/>
    <n v="0"/>
    <n v="4892500"/>
    <n v="10"/>
    <x v="2"/>
  </r>
  <r>
    <x v="685"/>
    <x v="12"/>
    <n v="4.32"/>
    <n v="3841000"/>
    <n v="0.03"/>
    <n v="25000"/>
    <n v="3816000"/>
    <n v="11"/>
    <x v="1"/>
  </r>
  <r>
    <x v="686"/>
    <x v="12"/>
    <n v="3.64"/>
    <n v="348261"/>
    <n v="4.1500000000000004"/>
    <n v="348261"/>
    <n v="0"/>
    <n v="12"/>
    <x v="0"/>
  </r>
  <r>
    <x v="671"/>
    <x v="12"/>
    <n v="3.57"/>
    <n v="1191494"/>
    <n v="0"/>
    <n v="0"/>
    <n v="1191494"/>
    <n v="13"/>
    <x v="2"/>
  </r>
  <r>
    <x v="362"/>
    <x v="12"/>
    <n v="3.55"/>
    <n v="47405"/>
    <n v="4.13"/>
    <n v="47405"/>
    <n v="0"/>
    <n v="14"/>
    <x v="0"/>
  </r>
  <r>
    <x v="425"/>
    <x v="12"/>
    <n v="3.1"/>
    <n v="1157710"/>
    <n v="2.48"/>
    <n v="882710"/>
    <n v="275000"/>
    <n v="15"/>
    <x v="1"/>
  </r>
  <r>
    <x v="687"/>
    <x v="12"/>
    <n v="2.39"/>
    <n v="6784980"/>
    <n v="3.1"/>
    <n v="9401000"/>
    <n v="-2616020"/>
    <n v="16"/>
    <x v="4"/>
  </r>
  <r>
    <x v="389"/>
    <x v="12"/>
    <n v="2.27"/>
    <n v="293888"/>
    <n v="2.66"/>
    <n v="268888"/>
    <n v="25000"/>
    <n v="17"/>
    <x v="1"/>
  </r>
  <r>
    <x v="390"/>
    <x v="12"/>
    <n v="1.82"/>
    <n v="115700"/>
    <n v="4.2300000000000004"/>
    <n v="263700"/>
    <n v="-148000"/>
    <n v="18"/>
    <x v="4"/>
  </r>
  <r>
    <x v="688"/>
    <x v="12"/>
    <n v="1.81"/>
    <n v="362404"/>
    <n v="2.02"/>
    <n v="362404"/>
    <n v="0"/>
    <n v="19"/>
    <x v="0"/>
  </r>
  <r>
    <x v="484"/>
    <x v="12"/>
    <n v="0.86"/>
    <n v="833250"/>
    <n v="0"/>
    <n v="0"/>
    <n v="833250"/>
    <n v="20"/>
    <x v="2"/>
  </r>
  <r>
    <x v="689"/>
    <x v="12"/>
    <n v="0.7"/>
    <n v="202000"/>
    <n v="0"/>
    <n v="0"/>
    <n v="202000"/>
    <n v="21"/>
    <x v="2"/>
  </r>
  <r>
    <x v="690"/>
    <x v="12"/>
    <n v="0"/>
    <n v="0"/>
    <n v="0"/>
    <n v="0"/>
    <n v="0"/>
    <n v="22"/>
    <x v="3"/>
  </r>
  <r>
    <x v="387"/>
    <x v="12"/>
    <n v="0"/>
    <n v="0"/>
    <n v="8.06"/>
    <n v="1036800"/>
    <n v="-1036800"/>
    <n v="23"/>
    <x v="4"/>
  </r>
  <r>
    <x v="457"/>
    <x v="12"/>
    <n v="0"/>
    <n v="0"/>
    <n v="0"/>
    <n v="0"/>
    <n v="0"/>
    <n v="24"/>
    <x v="3"/>
  </r>
  <r>
    <x v="410"/>
    <x v="12"/>
    <n v="0"/>
    <n v="0"/>
    <n v="3.21"/>
    <n v="924000"/>
    <n v="-924000"/>
    <n v="25"/>
    <x v="4"/>
  </r>
  <r>
    <x v="132"/>
    <x v="12"/>
    <n v="0"/>
    <n v="0"/>
    <n v="0"/>
    <n v="0"/>
    <n v="0"/>
    <n v="26"/>
    <x v="3"/>
  </r>
  <r>
    <x v="309"/>
    <x v="12"/>
    <n v="0"/>
    <n v="0"/>
    <n v="3.59"/>
    <n v="1350000"/>
    <n v="-1350000"/>
    <n v="27"/>
    <x v="4"/>
  </r>
  <r>
    <x v="691"/>
    <x v="12"/>
    <n v="0"/>
    <n v="0"/>
    <n v="4"/>
    <n v="2900000"/>
    <n v="-2900000"/>
    <n v="28"/>
    <x v="4"/>
  </r>
  <r>
    <x v="692"/>
    <x v="12"/>
    <n v="0"/>
    <n v="0"/>
    <n v="0"/>
    <n v="0"/>
    <n v="0"/>
    <n v="29"/>
    <x v="3"/>
  </r>
  <r>
    <x v="693"/>
    <x v="12"/>
    <n v="0"/>
    <n v="0"/>
    <n v="0"/>
    <n v="0"/>
    <n v="0"/>
    <n v="30"/>
    <x v="3"/>
  </r>
  <r>
    <x v="668"/>
    <x v="12"/>
    <n v="0"/>
    <n v="0"/>
    <n v="0"/>
    <n v="0"/>
    <n v="0"/>
    <n v="31"/>
    <x v="3"/>
  </r>
  <r>
    <x v="694"/>
    <x v="12"/>
    <n v="0"/>
    <n v="0"/>
    <n v="0"/>
    <n v="0"/>
    <n v="0"/>
    <n v="32"/>
    <x v="3"/>
  </r>
  <r>
    <x v="77"/>
    <x v="12"/>
    <n v="0"/>
    <n v="0"/>
    <n v="3.37"/>
    <n v="142000"/>
    <n v="-142000"/>
    <n v="33"/>
    <x v="4"/>
  </r>
  <r>
    <x v="695"/>
    <x v="12"/>
    <n v="0"/>
    <n v="0"/>
    <n v="2.72"/>
    <n v="6428708"/>
    <n v="-6428708"/>
    <n v="34"/>
    <x v="4"/>
  </r>
  <r>
    <x v="456"/>
    <x v="13"/>
    <n v="8.32"/>
    <n v="2211700"/>
    <n v="9.5"/>
    <n v="2073000"/>
    <n v="138700"/>
    <n v="1"/>
    <x v="1"/>
  </r>
  <r>
    <x v="387"/>
    <x v="13"/>
    <n v="6.84"/>
    <n v="2801250"/>
    <n v="6.83"/>
    <n v="2233000"/>
    <n v="568250"/>
    <n v="2"/>
    <x v="1"/>
  </r>
  <r>
    <x v="669"/>
    <x v="13"/>
    <n v="3.47"/>
    <n v="4853700"/>
    <n v="3.11"/>
    <n v="4145369"/>
    <n v="708331"/>
    <n v="3"/>
    <x v="1"/>
  </r>
  <r>
    <x v="696"/>
    <x v="13"/>
    <n v="3.17"/>
    <n v="6369321"/>
    <n v="3"/>
    <n v="6169321"/>
    <n v="200000"/>
    <n v="4"/>
    <x v="1"/>
  </r>
  <r>
    <x v="697"/>
    <x v="13"/>
    <n v="2.89"/>
    <n v="5121820"/>
    <n v="1.06"/>
    <n v="1835403"/>
    <n v="3286417"/>
    <n v="5"/>
    <x v="1"/>
  </r>
  <r>
    <x v="698"/>
    <x v="13"/>
    <n v="2.75"/>
    <n v="13211977"/>
    <n v="1.67"/>
    <n v="7991127"/>
    <n v="5220850"/>
    <n v="6"/>
    <x v="1"/>
  </r>
  <r>
    <x v="614"/>
    <x v="13"/>
    <n v="2.74"/>
    <n v="4627646"/>
    <n v="2.75"/>
    <n v="4627646"/>
    <n v="0"/>
    <n v="7"/>
    <x v="0"/>
  </r>
  <r>
    <x v="699"/>
    <x v="13"/>
    <n v="2.66"/>
    <n v="13068929"/>
    <n v="2.83"/>
    <n v="11817929"/>
    <n v="1251000"/>
    <n v="8"/>
    <x v="1"/>
  </r>
  <r>
    <x v="680"/>
    <x v="13"/>
    <n v="2.5499999999999998"/>
    <n v="27979000"/>
    <n v="2.6"/>
    <n v="27979000"/>
    <n v="0"/>
    <n v="9"/>
    <x v="0"/>
  </r>
  <r>
    <x v="700"/>
    <x v="13"/>
    <n v="2.2000000000000002"/>
    <n v="56436660"/>
    <n v="2.72"/>
    <n v="56436660"/>
    <n v="0"/>
    <n v="10"/>
    <x v="0"/>
  </r>
  <r>
    <x v="701"/>
    <x v="13"/>
    <n v="2.19"/>
    <n v="1782579"/>
    <n v="2.09"/>
    <n v="1676579"/>
    <n v="106000"/>
    <n v="11"/>
    <x v="1"/>
  </r>
  <r>
    <x v="702"/>
    <x v="13"/>
    <n v="2.11"/>
    <n v="12041259"/>
    <n v="1.97"/>
    <n v="12010002"/>
    <n v="31257"/>
    <n v="12"/>
    <x v="1"/>
  </r>
  <r>
    <x v="703"/>
    <x v="13"/>
    <n v="2.02"/>
    <n v="21445780"/>
    <n v="2.13"/>
    <n v="18245780"/>
    <n v="3200000"/>
    <n v="13"/>
    <x v="1"/>
  </r>
  <r>
    <x v="704"/>
    <x v="13"/>
    <n v="2"/>
    <n v="752312"/>
    <n v="1.85"/>
    <n v="632312"/>
    <n v="120000"/>
    <n v="14"/>
    <x v="1"/>
  </r>
  <r>
    <x v="550"/>
    <x v="13"/>
    <n v="1.97"/>
    <n v="1727767"/>
    <n v="2.2200000000000002"/>
    <n v="1672804"/>
    <n v="54963"/>
    <n v="15"/>
    <x v="1"/>
  </r>
  <r>
    <x v="525"/>
    <x v="13"/>
    <n v="1.79"/>
    <n v="1124564"/>
    <n v="0.75"/>
    <n v="484564"/>
    <n v="640000"/>
    <n v="16"/>
    <x v="1"/>
  </r>
  <r>
    <x v="705"/>
    <x v="13"/>
    <n v="1.77"/>
    <n v="5757000"/>
    <n v="0.48"/>
    <n v="1400000"/>
    <n v="4357000"/>
    <n v="17"/>
    <x v="1"/>
  </r>
  <r>
    <x v="706"/>
    <x v="13"/>
    <n v="1.7"/>
    <n v="2666100"/>
    <n v="1.92"/>
    <n v="2666100"/>
    <n v="0"/>
    <n v="18"/>
    <x v="0"/>
  </r>
  <r>
    <x v="707"/>
    <x v="13"/>
    <n v="1.7"/>
    <n v="28447618"/>
    <n v="1.91"/>
    <n v="28447618"/>
    <n v="0"/>
    <n v="19"/>
    <x v="0"/>
  </r>
  <r>
    <x v="708"/>
    <x v="13"/>
    <n v="1.68"/>
    <n v="2412936"/>
    <n v="1.87"/>
    <n v="2412936"/>
    <n v="0"/>
    <n v="20"/>
    <x v="0"/>
  </r>
  <r>
    <x v="709"/>
    <x v="13"/>
    <n v="1.64"/>
    <n v="2128443"/>
    <n v="1.75"/>
    <n v="2128443"/>
    <n v="0"/>
    <n v="21"/>
    <x v="0"/>
  </r>
  <r>
    <x v="710"/>
    <x v="13"/>
    <n v="1.53"/>
    <n v="4719600"/>
    <n v="1.8"/>
    <n v="4719600"/>
    <n v="0"/>
    <n v="22"/>
    <x v="0"/>
  </r>
  <r>
    <x v="711"/>
    <x v="13"/>
    <n v="1.44"/>
    <n v="3162974"/>
    <n v="1.47"/>
    <n v="2887974"/>
    <n v="275000"/>
    <n v="23"/>
    <x v="1"/>
  </r>
  <r>
    <x v="695"/>
    <x v="13"/>
    <n v="1.42"/>
    <n v="9213820"/>
    <n v="0"/>
    <n v="0"/>
    <n v="9213820"/>
    <n v="24"/>
    <x v="2"/>
  </r>
  <r>
    <x v="712"/>
    <x v="13"/>
    <n v="1.31"/>
    <n v="764197"/>
    <n v="0.98"/>
    <n v="629197"/>
    <n v="135000"/>
    <n v="25"/>
    <x v="1"/>
  </r>
  <r>
    <x v="713"/>
    <x v="13"/>
    <n v="1.29"/>
    <n v="4377812"/>
    <n v="1.52"/>
    <n v="3341236"/>
    <n v="1036576"/>
    <n v="26"/>
    <x v="1"/>
  </r>
  <r>
    <x v="714"/>
    <x v="13"/>
    <n v="1.1499999999999999"/>
    <n v="6030000"/>
    <n v="1.24"/>
    <n v="6030000"/>
    <n v="0"/>
    <n v="27"/>
    <x v="0"/>
  </r>
  <r>
    <x v="715"/>
    <x v="13"/>
    <n v="1.07"/>
    <n v="985950"/>
    <n v="1.05"/>
    <n v="823108"/>
    <n v="162842"/>
    <n v="28"/>
    <x v="1"/>
  </r>
  <r>
    <x v="716"/>
    <x v="13"/>
    <n v="1.03"/>
    <n v="201322"/>
    <n v="1.02"/>
    <n v="201322"/>
    <n v="0"/>
    <n v="29"/>
    <x v="0"/>
  </r>
  <r>
    <x v="681"/>
    <x v="13"/>
    <n v="1.02"/>
    <n v="2818000"/>
    <n v="0"/>
    <n v="0"/>
    <n v="2818000"/>
    <n v="30"/>
    <x v="2"/>
  </r>
  <r>
    <x v="717"/>
    <x v="13"/>
    <n v="0.99"/>
    <n v="1359402"/>
    <n v="1.1299999999999999"/>
    <n v="1359402"/>
    <n v="0"/>
    <n v="31"/>
    <x v="0"/>
  </r>
  <r>
    <x v="581"/>
    <x v="13"/>
    <n v="0.97"/>
    <n v="1260571"/>
    <n v="0.85"/>
    <n v="884736"/>
    <n v="375835"/>
    <n v="32"/>
    <x v="1"/>
  </r>
  <r>
    <x v="718"/>
    <x v="13"/>
    <n v="0.93"/>
    <n v="500000"/>
    <n v="1.03"/>
    <n v="500000"/>
    <n v="0"/>
    <n v="33"/>
    <x v="0"/>
  </r>
  <r>
    <x v="685"/>
    <x v="13"/>
    <n v="0.89"/>
    <n v="2121000"/>
    <n v="7.0000000000000007E-2"/>
    <n v="150000"/>
    <n v="1971000"/>
    <n v="34"/>
    <x v="1"/>
  </r>
  <r>
    <x v="484"/>
    <x v="13"/>
    <n v="0.85"/>
    <n v="2197000"/>
    <n v="0"/>
    <n v="0"/>
    <n v="2197000"/>
    <n v="35"/>
    <x v="2"/>
  </r>
  <r>
    <x v="719"/>
    <x v="13"/>
    <n v="0.8"/>
    <n v="8100000"/>
    <n v="0.88"/>
    <n v="8100000"/>
    <n v="0"/>
    <n v="36"/>
    <x v="0"/>
  </r>
  <r>
    <x v="720"/>
    <x v="13"/>
    <n v="0.76"/>
    <n v="412817"/>
    <n v="0.84"/>
    <n v="412817"/>
    <n v="0"/>
    <n v="37"/>
    <x v="0"/>
  </r>
  <r>
    <x v="721"/>
    <x v="13"/>
    <n v="0.75"/>
    <n v="506109"/>
    <n v="0.8"/>
    <n v="506109"/>
    <n v="0"/>
    <n v="38"/>
    <x v="0"/>
  </r>
  <r>
    <x v="722"/>
    <x v="13"/>
    <n v="0.73"/>
    <n v="884689"/>
    <n v="0.71"/>
    <n v="884689"/>
    <n v="0"/>
    <n v="39"/>
    <x v="0"/>
  </r>
  <r>
    <x v="723"/>
    <x v="13"/>
    <n v="0.68"/>
    <n v="2800000"/>
    <n v="0"/>
    <n v="0"/>
    <n v="2800000"/>
    <n v="40"/>
    <x v="2"/>
  </r>
  <r>
    <x v="724"/>
    <x v="13"/>
    <n v="0.65"/>
    <n v="709209"/>
    <n v="0.45"/>
    <n v="433922"/>
    <n v="275287"/>
    <n v="41"/>
    <x v="1"/>
  </r>
  <r>
    <x v="725"/>
    <x v="13"/>
    <n v="0.64"/>
    <n v="2750000"/>
    <n v="0"/>
    <n v="0"/>
    <n v="2750000"/>
    <n v="42"/>
    <x v="2"/>
  </r>
  <r>
    <x v="726"/>
    <x v="13"/>
    <n v="0.62"/>
    <n v="1809163"/>
    <n v="0.87"/>
    <n v="1809163"/>
    <n v="0"/>
    <n v="43"/>
    <x v="0"/>
  </r>
  <r>
    <x v="727"/>
    <x v="13"/>
    <n v="0.62"/>
    <n v="7321050"/>
    <n v="0.73"/>
    <n v="7321050"/>
    <n v="0"/>
    <n v="44"/>
    <x v="0"/>
  </r>
  <r>
    <x v="728"/>
    <x v="13"/>
    <n v="0.57999999999999996"/>
    <n v="680473"/>
    <n v="0.49"/>
    <n v="471178"/>
    <n v="209295"/>
    <n v="45"/>
    <x v="1"/>
  </r>
  <r>
    <x v="520"/>
    <x v="13"/>
    <n v="0.56000000000000005"/>
    <n v="822092"/>
    <n v="0"/>
    <n v="0"/>
    <n v="822092"/>
    <n v="46"/>
    <x v="2"/>
  </r>
  <r>
    <x v="729"/>
    <x v="13"/>
    <n v="0.56000000000000005"/>
    <n v="247000"/>
    <n v="0.68"/>
    <n v="247000"/>
    <n v="0"/>
    <n v="47"/>
    <x v="0"/>
  </r>
  <r>
    <x v="730"/>
    <x v="13"/>
    <n v="0.53"/>
    <n v="2254278"/>
    <n v="0.49"/>
    <n v="2254278"/>
    <n v="0"/>
    <n v="48"/>
    <x v="0"/>
  </r>
  <r>
    <x v="731"/>
    <x v="13"/>
    <n v="0.51"/>
    <n v="4150000"/>
    <n v="0.32"/>
    <n v="2300000"/>
    <n v="1850000"/>
    <n v="49"/>
    <x v="1"/>
  </r>
  <r>
    <x v="670"/>
    <x v="13"/>
    <n v="0.5"/>
    <n v="594162"/>
    <n v="0"/>
    <n v="0"/>
    <n v="594162"/>
    <n v="50"/>
    <x v="2"/>
  </r>
  <r>
    <x v="732"/>
    <x v="13"/>
    <n v="0.49"/>
    <n v="84013"/>
    <n v="0"/>
    <n v="0"/>
    <n v="84013"/>
    <n v="51"/>
    <x v="2"/>
  </r>
  <r>
    <x v="514"/>
    <x v="13"/>
    <n v="0.46"/>
    <n v="835000"/>
    <n v="0.55000000000000004"/>
    <n v="835000"/>
    <n v="0"/>
    <n v="52"/>
    <x v="0"/>
  </r>
  <r>
    <x v="733"/>
    <x v="13"/>
    <n v="0.43"/>
    <n v="2085000"/>
    <n v="0.5"/>
    <n v="2085000"/>
    <n v="0"/>
    <n v="53"/>
    <x v="0"/>
  </r>
  <r>
    <x v="734"/>
    <x v="13"/>
    <n v="0.43"/>
    <n v="4556962"/>
    <n v="0.52"/>
    <n v="4556962"/>
    <n v="0"/>
    <n v="54"/>
    <x v="0"/>
  </r>
  <r>
    <x v="735"/>
    <x v="13"/>
    <n v="0.41"/>
    <n v="623137"/>
    <n v="0.28999999999999998"/>
    <n v="383724"/>
    <n v="239413"/>
    <n v="55"/>
    <x v="1"/>
  </r>
  <r>
    <x v="736"/>
    <x v="13"/>
    <n v="0.4"/>
    <n v="325669"/>
    <n v="0.51"/>
    <n v="325669"/>
    <n v="0"/>
    <n v="56"/>
    <x v="0"/>
  </r>
  <r>
    <x v="737"/>
    <x v="13"/>
    <n v="0.39"/>
    <n v="535000"/>
    <n v="0.47"/>
    <n v="535000"/>
    <n v="0"/>
    <n v="57"/>
    <x v="0"/>
  </r>
  <r>
    <x v="738"/>
    <x v="13"/>
    <n v="0.38"/>
    <n v="1500000"/>
    <n v="0"/>
    <n v="0"/>
    <n v="1500000"/>
    <n v="58"/>
    <x v="2"/>
  </r>
  <r>
    <x v="601"/>
    <x v="13"/>
    <n v="0.34"/>
    <n v="5267054"/>
    <n v="0.38"/>
    <n v="5267054"/>
    <n v="0"/>
    <n v="59"/>
    <x v="0"/>
  </r>
  <r>
    <x v="739"/>
    <x v="13"/>
    <n v="0.34"/>
    <n v="828694"/>
    <n v="0.35"/>
    <n v="828694"/>
    <n v="0"/>
    <n v="60"/>
    <x v="0"/>
  </r>
  <r>
    <x v="672"/>
    <x v="13"/>
    <n v="0.34"/>
    <n v="1000000"/>
    <n v="0"/>
    <n v="0"/>
    <n v="1000000"/>
    <n v="61"/>
    <x v="2"/>
  </r>
  <r>
    <x v="740"/>
    <x v="13"/>
    <n v="0.32"/>
    <n v="1045525"/>
    <n v="0.37"/>
    <n v="1045525"/>
    <n v="0"/>
    <n v="62"/>
    <x v="0"/>
  </r>
  <r>
    <x v="741"/>
    <x v="13"/>
    <n v="0.32"/>
    <n v="94334"/>
    <n v="0.37"/>
    <n v="94334"/>
    <n v="0"/>
    <n v="63"/>
    <x v="0"/>
  </r>
  <r>
    <x v="742"/>
    <x v="13"/>
    <n v="0.31"/>
    <n v="2614000"/>
    <n v="0.38"/>
    <n v="2614000"/>
    <n v="0"/>
    <n v="64"/>
    <x v="0"/>
  </r>
  <r>
    <x v="471"/>
    <x v="13"/>
    <n v="0.28999999999999998"/>
    <n v="170000"/>
    <n v="0.32"/>
    <n v="170000"/>
    <n v="0"/>
    <n v="65"/>
    <x v="0"/>
  </r>
  <r>
    <x v="53"/>
    <x v="13"/>
    <n v="0.27"/>
    <n v="450000"/>
    <n v="0"/>
    <n v="0"/>
    <n v="450000"/>
    <n v="66"/>
    <x v="2"/>
  </r>
  <r>
    <x v="743"/>
    <x v="13"/>
    <n v="0.27"/>
    <n v="848509"/>
    <n v="0.4"/>
    <n v="882135"/>
    <n v="-33626"/>
    <n v="67"/>
    <x v="4"/>
  </r>
  <r>
    <x v="744"/>
    <x v="13"/>
    <n v="0.24"/>
    <n v="2000000"/>
    <n v="0.26"/>
    <n v="2000000"/>
    <n v="0"/>
    <n v="68"/>
    <x v="0"/>
  </r>
  <r>
    <x v="745"/>
    <x v="13"/>
    <n v="0.23"/>
    <n v="137771"/>
    <n v="0.24"/>
    <n v="137771"/>
    <n v="0"/>
    <n v="69"/>
    <x v="0"/>
  </r>
  <r>
    <x v="746"/>
    <x v="13"/>
    <n v="0.22"/>
    <n v="330152"/>
    <n v="0.24"/>
    <n v="326854"/>
    <n v="3298"/>
    <n v="70"/>
    <x v="1"/>
  </r>
  <r>
    <x v="747"/>
    <x v="13"/>
    <n v="0.21"/>
    <n v="595869"/>
    <n v="0.22"/>
    <n v="595869"/>
    <n v="0"/>
    <n v="71"/>
    <x v="0"/>
  </r>
  <r>
    <x v="748"/>
    <x v="13"/>
    <n v="0.21"/>
    <n v="16063"/>
    <n v="0.28000000000000003"/>
    <n v="16063"/>
    <n v="0"/>
    <n v="72"/>
    <x v="0"/>
  </r>
  <r>
    <x v="538"/>
    <x v="13"/>
    <n v="0.2"/>
    <n v="279395"/>
    <n v="0.25"/>
    <n v="279395"/>
    <n v="0"/>
    <n v="73"/>
    <x v="0"/>
  </r>
  <r>
    <x v="749"/>
    <x v="13"/>
    <n v="0.19"/>
    <n v="1611047"/>
    <n v="0.28000000000000003"/>
    <n v="1611047"/>
    <n v="0"/>
    <n v="74"/>
    <x v="0"/>
  </r>
  <r>
    <x v="750"/>
    <x v="13"/>
    <n v="0.15"/>
    <n v="1728585"/>
    <n v="0.18"/>
    <n v="1728585"/>
    <n v="0"/>
    <n v="75"/>
    <x v="0"/>
  </r>
  <r>
    <x v="751"/>
    <x v="13"/>
    <n v="0.15"/>
    <n v="386791"/>
    <n v="0"/>
    <n v="0"/>
    <n v="386791"/>
    <n v="76"/>
    <x v="2"/>
  </r>
  <r>
    <x v="752"/>
    <x v="13"/>
    <n v="0.15"/>
    <n v="550000"/>
    <n v="0"/>
    <n v="0"/>
    <n v="550000"/>
    <n v="77"/>
    <x v="2"/>
  </r>
  <r>
    <x v="753"/>
    <x v="13"/>
    <n v="0.13"/>
    <n v="210429"/>
    <n v="0"/>
    <n v="0"/>
    <n v="210429"/>
    <n v="78"/>
    <x v="2"/>
  </r>
  <r>
    <x v="754"/>
    <x v="13"/>
    <n v="7.0000000000000007E-2"/>
    <n v="196607"/>
    <n v="0.1"/>
    <n v="196607"/>
    <n v="0"/>
    <n v="79"/>
    <x v="0"/>
  </r>
  <r>
    <x v="755"/>
    <x v="13"/>
    <n v="0.06"/>
    <n v="35987"/>
    <n v="0"/>
    <n v="0"/>
    <n v="35987"/>
    <n v="80"/>
    <x v="2"/>
  </r>
  <r>
    <x v="756"/>
    <x v="13"/>
    <n v="0.02"/>
    <n v="11043"/>
    <n v="0"/>
    <n v="0"/>
    <n v="11043"/>
    <n v="81"/>
    <x v="2"/>
  </r>
  <r>
    <x v="757"/>
    <x v="13"/>
    <n v="0"/>
    <n v="0"/>
    <n v="0"/>
    <n v="0"/>
    <n v="0"/>
    <n v="82"/>
    <x v="3"/>
  </r>
  <r>
    <x v="562"/>
    <x v="13"/>
    <n v="0"/>
    <n v="0"/>
    <n v="0"/>
    <n v="0"/>
    <n v="0"/>
    <n v="83"/>
    <x v="3"/>
  </r>
  <r>
    <x v="758"/>
    <x v="13"/>
    <n v="0"/>
    <n v="0"/>
    <n v="0"/>
    <n v="0"/>
    <n v="0"/>
    <n v="84"/>
    <x v="3"/>
  </r>
  <r>
    <x v="759"/>
    <x v="13"/>
    <n v="0"/>
    <n v="0"/>
    <n v="0"/>
    <n v="0"/>
    <n v="0"/>
    <n v="85"/>
    <x v="3"/>
  </r>
  <r>
    <x v="77"/>
    <x v="13"/>
    <n v="0"/>
    <n v="0"/>
    <n v="1.02"/>
    <n v="109000"/>
    <n v="-109000"/>
    <n v="86"/>
    <x v="4"/>
  </r>
  <r>
    <x v="499"/>
    <x v="13"/>
    <n v="0"/>
    <n v="0"/>
    <n v="0"/>
    <n v="0"/>
    <n v="0"/>
    <n v="87"/>
    <x v="3"/>
  </r>
  <r>
    <x v="445"/>
    <x v="13"/>
    <n v="0"/>
    <n v="0"/>
    <n v="0"/>
    <n v="0"/>
    <n v="0"/>
    <n v="88"/>
    <x v="3"/>
  </r>
  <r>
    <x v="222"/>
    <x v="13"/>
    <n v="0"/>
    <n v="0"/>
    <n v="0.36"/>
    <n v="146000"/>
    <n v="-146000"/>
    <n v="89"/>
    <x v="4"/>
  </r>
  <r>
    <x v="760"/>
    <x v="13"/>
    <n v="0"/>
    <n v="0"/>
    <n v="0"/>
    <n v="0"/>
    <n v="0"/>
    <n v="90"/>
    <x v="3"/>
  </r>
  <r>
    <x v="761"/>
    <x v="13"/>
    <n v="0"/>
    <n v="0"/>
    <n v="0.63"/>
    <n v="1174183"/>
    <n v="-1174183"/>
    <n v="91"/>
    <x v="4"/>
  </r>
  <r>
    <x v="687"/>
    <x v="13"/>
    <n v="0"/>
    <n v="0"/>
    <n v="0"/>
    <n v="0"/>
    <n v="0"/>
    <n v="92"/>
    <x v="3"/>
  </r>
  <r>
    <x v="762"/>
    <x v="13"/>
    <n v="0"/>
    <n v="0"/>
    <n v="1.17"/>
    <n v="410202"/>
    <n v="-410202"/>
    <n v="93"/>
    <x v="4"/>
  </r>
  <r>
    <x v="673"/>
    <x v="13"/>
    <n v="0"/>
    <n v="0"/>
    <n v="0"/>
    <n v="0"/>
    <n v="0"/>
    <n v="94"/>
    <x v="3"/>
  </r>
  <r>
    <x v="763"/>
    <x v="13"/>
    <n v="0"/>
    <n v="0"/>
    <n v="0"/>
    <n v="0"/>
    <n v="0"/>
    <n v="95"/>
    <x v="3"/>
  </r>
  <r>
    <x v="516"/>
    <x v="13"/>
    <n v="0"/>
    <n v="0"/>
    <n v="0"/>
    <n v="0"/>
    <n v="0"/>
    <n v="96"/>
    <x v="3"/>
  </r>
  <r>
    <x v="458"/>
    <x v="13"/>
    <n v="0"/>
    <n v="0"/>
    <n v="1.28"/>
    <n v="1577756"/>
    <n v="-1577756"/>
    <n v="97"/>
    <x v="4"/>
  </r>
  <r>
    <x v="7"/>
    <x v="13"/>
    <n v="0"/>
    <n v="0"/>
    <n v="0"/>
    <n v="0"/>
    <n v="0"/>
    <n v="98"/>
    <x v="3"/>
  </r>
  <r>
    <x v="764"/>
    <x v="13"/>
    <n v="0"/>
    <n v="0"/>
    <n v="0.3"/>
    <n v="717116"/>
    <n v="-717116"/>
    <n v="99"/>
    <x v="4"/>
  </r>
  <r>
    <x v="649"/>
    <x v="14"/>
    <n v="4.6399999999999997"/>
    <n v="1400000"/>
    <n v="4.91"/>
    <n v="1400000"/>
    <n v="0"/>
    <n v="1"/>
    <x v="0"/>
  </r>
  <r>
    <x v="651"/>
    <x v="14"/>
    <n v="4.29"/>
    <n v="1623740"/>
    <n v="4.5199999999999996"/>
    <n v="1623740"/>
    <n v="0"/>
    <n v="2"/>
    <x v="0"/>
  </r>
  <r>
    <x v="618"/>
    <x v="14"/>
    <n v="3.65"/>
    <n v="1400000"/>
    <n v="3.99"/>
    <n v="1400000"/>
    <n v="0"/>
    <n v="3"/>
    <x v="0"/>
  </r>
  <r>
    <x v="286"/>
    <x v="14"/>
    <n v="3.33"/>
    <n v="1511202"/>
    <n v="3.1"/>
    <n v="1511202"/>
    <n v="0"/>
    <n v="4"/>
    <x v="0"/>
  </r>
  <r>
    <x v="658"/>
    <x v="14"/>
    <n v="3.29"/>
    <n v="3778182"/>
    <n v="2.74"/>
    <n v="3215362"/>
    <n v="562820"/>
    <n v="5"/>
    <x v="1"/>
  </r>
  <r>
    <x v="343"/>
    <x v="14"/>
    <n v="3.18"/>
    <n v="3100000"/>
    <n v="3.34"/>
    <n v="3100000"/>
    <n v="0"/>
    <n v="6"/>
    <x v="0"/>
  </r>
  <r>
    <x v="218"/>
    <x v="14"/>
    <n v="3.07"/>
    <n v="96000"/>
    <n v="3.25"/>
    <n v="96000"/>
    <n v="0"/>
    <n v="7"/>
    <x v="0"/>
  </r>
  <r>
    <x v="765"/>
    <x v="14"/>
    <n v="2.96"/>
    <n v="5169750"/>
    <n v="2.86"/>
    <n v="5169750"/>
    <n v="0"/>
    <n v="8"/>
    <x v="0"/>
  </r>
  <r>
    <x v="294"/>
    <x v="14"/>
    <n v="2.94"/>
    <n v="1310000"/>
    <n v="3.07"/>
    <n v="1310000"/>
    <n v="0"/>
    <n v="9"/>
    <x v="0"/>
  </r>
  <r>
    <x v="639"/>
    <x v="14"/>
    <n v="2.9"/>
    <n v="8682397"/>
    <n v="3.06"/>
    <n v="8682397"/>
    <n v="0"/>
    <n v="10"/>
    <x v="0"/>
  </r>
  <r>
    <x v="766"/>
    <x v="14"/>
    <n v="2.88"/>
    <n v="3000000"/>
    <n v="3.08"/>
    <n v="3000000"/>
    <n v="0"/>
    <n v="11"/>
    <x v="0"/>
  </r>
  <r>
    <x v="767"/>
    <x v="14"/>
    <n v="2.87"/>
    <n v="3266269"/>
    <n v="3.13"/>
    <n v="3266269"/>
    <n v="0"/>
    <n v="12"/>
    <x v="0"/>
  </r>
  <r>
    <x v="162"/>
    <x v="14"/>
    <n v="2.67"/>
    <n v="200000"/>
    <n v="2.57"/>
    <n v="200000"/>
    <n v="0"/>
    <n v="13"/>
    <x v="0"/>
  </r>
  <r>
    <x v="768"/>
    <x v="14"/>
    <n v="2.67"/>
    <n v="2594920"/>
    <n v="2.82"/>
    <n v="2594920"/>
    <n v="0"/>
    <n v="14"/>
    <x v="0"/>
  </r>
  <r>
    <x v="632"/>
    <x v="14"/>
    <n v="2.2999999999999998"/>
    <n v="4758000"/>
    <n v="2.2000000000000002"/>
    <n v="4758000"/>
    <n v="0"/>
    <n v="15"/>
    <x v="0"/>
  </r>
  <r>
    <x v="619"/>
    <x v="14"/>
    <n v="2.27"/>
    <n v="4500000"/>
    <n v="2.42"/>
    <n v="4500000"/>
    <n v="0"/>
    <n v="16"/>
    <x v="0"/>
  </r>
  <r>
    <x v="769"/>
    <x v="14"/>
    <n v="2.25"/>
    <n v="4153532"/>
    <n v="2.2200000000000002"/>
    <n v="3720403"/>
    <n v="433129"/>
    <n v="17"/>
    <x v="1"/>
  </r>
  <r>
    <x v="292"/>
    <x v="14"/>
    <n v="1.98"/>
    <n v="713774"/>
    <n v="2.17"/>
    <n v="713774"/>
    <n v="0"/>
    <n v="18"/>
    <x v="0"/>
  </r>
  <r>
    <x v="290"/>
    <x v="14"/>
    <n v="1.85"/>
    <n v="2343540"/>
    <n v="1.76"/>
    <n v="2343540"/>
    <n v="0"/>
    <n v="19"/>
    <x v="0"/>
  </r>
  <r>
    <x v="770"/>
    <x v="14"/>
    <n v="1.77"/>
    <n v="5238213"/>
    <n v="2.08"/>
    <n v="5695553"/>
    <n v="-457340"/>
    <n v="20"/>
    <x v="4"/>
  </r>
  <r>
    <x v="771"/>
    <x v="14"/>
    <n v="1.74"/>
    <n v="3829170"/>
    <n v="1.66"/>
    <n v="3829170"/>
    <n v="0"/>
    <n v="21"/>
    <x v="0"/>
  </r>
  <r>
    <x v="772"/>
    <x v="14"/>
    <n v="1.66"/>
    <n v="1123909"/>
    <n v="1.72"/>
    <n v="1123909"/>
    <n v="0"/>
    <n v="22"/>
    <x v="0"/>
  </r>
  <r>
    <x v="157"/>
    <x v="14"/>
    <n v="1.63"/>
    <n v="1401093"/>
    <n v="1.79"/>
    <n v="1501093"/>
    <n v="-100000"/>
    <n v="23"/>
    <x v="4"/>
  </r>
  <r>
    <x v="634"/>
    <x v="14"/>
    <n v="1.63"/>
    <n v="32820234"/>
    <n v="1.7"/>
    <n v="32820234"/>
    <n v="0"/>
    <n v="24"/>
    <x v="0"/>
  </r>
  <r>
    <x v="657"/>
    <x v="14"/>
    <n v="1.62"/>
    <n v="824704"/>
    <n v="1.69"/>
    <n v="824704"/>
    <n v="0"/>
    <n v="25"/>
    <x v="0"/>
  </r>
  <r>
    <x v="623"/>
    <x v="14"/>
    <n v="1.6"/>
    <n v="351548"/>
    <n v="1.57"/>
    <n v="351548"/>
    <n v="0"/>
    <n v="26"/>
    <x v="0"/>
  </r>
  <r>
    <x v="211"/>
    <x v="14"/>
    <n v="1.58"/>
    <n v="1076952"/>
    <n v="1.51"/>
    <n v="1076952"/>
    <n v="0"/>
    <n v="27"/>
    <x v="0"/>
  </r>
  <r>
    <x v="306"/>
    <x v="14"/>
    <n v="1.53"/>
    <n v="6084948"/>
    <n v="1.84"/>
    <n v="6084948"/>
    <n v="0"/>
    <n v="28"/>
    <x v="0"/>
  </r>
  <r>
    <x v="773"/>
    <x v="14"/>
    <n v="1.48"/>
    <n v="1032838"/>
    <n v="1.47"/>
    <n v="1032838"/>
    <n v="0"/>
    <n v="29"/>
    <x v="0"/>
  </r>
  <r>
    <x v="214"/>
    <x v="14"/>
    <n v="1.4"/>
    <n v="1480514"/>
    <n v="1.31"/>
    <n v="1480514"/>
    <n v="0"/>
    <n v="30"/>
    <x v="0"/>
  </r>
  <r>
    <x v="664"/>
    <x v="14"/>
    <n v="1.39"/>
    <n v="12082508"/>
    <n v="1.07"/>
    <n v="9428983"/>
    <n v="2653525"/>
    <n v="31"/>
    <x v="1"/>
  </r>
  <r>
    <x v="774"/>
    <x v="14"/>
    <n v="1.3"/>
    <n v="1728391"/>
    <n v="1.43"/>
    <n v="1728391"/>
    <n v="0"/>
    <n v="32"/>
    <x v="0"/>
  </r>
  <r>
    <x v="775"/>
    <x v="14"/>
    <n v="1.29"/>
    <n v="117519"/>
    <n v="1.28"/>
    <n v="117519"/>
    <n v="0"/>
    <n v="33"/>
    <x v="0"/>
  </r>
  <r>
    <x v="625"/>
    <x v="14"/>
    <n v="1.27"/>
    <n v="2527778"/>
    <n v="1.32"/>
    <n v="2527778"/>
    <n v="0"/>
    <n v="34"/>
    <x v="0"/>
  </r>
  <r>
    <x v="776"/>
    <x v="14"/>
    <n v="1.25"/>
    <n v="850000"/>
    <n v="1.27"/>
    <n v="900000"/>
    <n v="-50000"/>
    <n v="35"/>
    <x v="4"/>
  </r>
  <r>
    <x v="777"/>
    <x v="14"/>
    <n v="1.22"/>
    <n v="400000"/>
    <n v="1.41"/>
    <n v="400000"/>
    <n v="0"/>
    <n v="36"/>
    <x v="0"/>
  </r>
  <r>
    <x v="141"/>
    <x v="14"/>
    <n v="0.98"/>
    <n v="700000"/>
    <n v="1.07"/>
    <n v="700000"/>
    <n v="0"/>
    <n v="37"/>
    <x v="0"/>
  </r>
  <r>
    <x v="195"/>
    <x v="14"/>
    <n v="0.95"/>
    <n v="806895"/>
    <n v="1.03"/>
    <n v="806895"/>
    <n v="0"/>
    <n v="38"/>
    <x v="0"/>
  </r>
  <r>
    <x v="778"/>
    <x v="14"/>
    <n v="0.9"/>
    <n v="650000"/>
    <n v="1.08"/>
    <n v="650000"/>
    <n v="0"/>
    <n v="39"/>
    <x v="0"/>
  </r>
  <r>
    <x v="779"/>
    <x v="14"/>
    <n v="0.86"/>
    <n v="400428"/>
    <n v="0.83"/>
    <n v="400428"/>
    <n v="0"/>
    <n v="40"/>
    <x v="0"/>
  </r>
  <r>
    <x v="780"/>
    <x v="14"/>
    <n v="0.77"/>
    <n v="879586"/>
    <n v="0.65"/>
    <n v="784586"/>
    <n v="95000"/>
    <n v="41"/>
    <x v="1"/>
  </r>
  <r>
    <x v="781"/>
    <x v="14"/>
    <n v="0.7"/>
    <n v="206034"/>
    <n v="0.7"/>
    <n v="206034"/>
    <n v="0"/>
    <n v="42"/>
    <x v="0"/>
  </r>
  <r>
    <x v="333"/>
    <x v="14"/>
    <n v="0.7"/>
    <n v="2856784"/>
    <n v="1.32"/>
    <n v="5170576"/>
    <n v="-2313792"/>
    <n v="43"/>
    <x v="4"/>
  </r>
  <r>
    <x v="342"/>
    <x v="14"/>
    <n v="0.61"/>
    <n v="5000000"/>
    <n v="0"/>
    <n v="0"/>
    <n v="5000000"/>
    <n v="44"/>
    <x v="2"/>
  </r>
  <r>
    <x v="782"/>
    <x v="14"/>
    <n v="0.6"/>
    <n v="100837"/>
    <n v="0.63"/>
    <n v="100837"/>
    <n v="0"/>
    <n v="45"/>
    <x v="0"/>
  </r>
  <r>
    <x v="783"/>
    <x v="14"/>
    <n v="0.55000000000000004"/>
    <n v="6785449"/>
    <n v="0.5"/>
    <n v="6785449"/>
    <n v="0"/>
    <n v="46"/>
    <x v="0"/>
  </r>
  <r>
    <x v="332"/>
    <x v="14"/>
    <n v="0.53"/>
    <n v="4735620"/>
    <n v="0.54"/>
    <n v="4735620"/>
    <n v="0"/>
    <n v="47"/>
    <x v="0"/>
  </r>
  <r>
    <x v="784"/>
    <x v="14"/>
    <n v="0.53"/>
    <n v="750551"/>
    <n v="0.47"/>
    <n v="750551"/>
    <n v="0"/>
    <n v="48"/>
    <x v="0"/>
  </r>
  <r>
    <x v="785"/>
    <x v="14"/>
    <n v="0.52"/>
    <n v="811786"/>
    <n v="0.43"/>
    <n v="811786"/>
    <n v="0"/>
    <n v="49"/>
    <x v="0"/>
  </r>
  <r>
    <x v="212"/>
    <x v="14"/>
    <n v="0.51"/>
    <n v="170898"/>
    <n v="0.53"/>
    <n v="170898"/>
    <n v="0"/>
    <n v="50"/>
    <x v="0"/>
  </r>
  <r>
    <x v="786"/>
    <x v="14"/>
    <n v="0.48"/>
    <n v="6000000"/>
    <n v="0.38"/>
    <n v="5000000"/>
    <n v="1000000"/>
    <n v="51"/>
    <x v="1"/>
  </r>
  <r>
    <x v="787"/>
    <x v="14"/>
    <n v="0.45"/>
    <n v="400000"/>
    <n v="0.46"/>
    <n v="400000"/>
    <n v="0"/>
    <n v="52"/>
    <x v="0"/>
  </r>
  <r>
    <x v="788"/>
    <x v="14"/>
    <n v="0.42"/>
    <n v="3967687"/>
    <n v="0.46"/>
    <n v="3967687"/>
    <n v="0"/>
    <n v="53"/>
    <x v="0"/>
  </r>
  <r>
    <x v="789"/>
    <x v="14"/>
    <n v="0.39"/>
    <n v="100000"/>
    <n v="0.6"/>
    <n v="150000"/>
    <n v="-50000"/>
    <n v="54"/>
    <x v="4"/>
  </r>
  <r>
    <x v="790"/>
    <x v="14"/>
    <n v="0.28999999999999998"/>
    <n v="933664"/>
    <n v="0.28999999999999998"/>
    <n v="933664"/>
    <n v="0"/>
    <n v="55"/>
    <x v="0"/>
  </r>
  <r>
    <x v="633"/>
    <x v="14"/>
    <n v="0.27"/>
    <n v="68032"/>
    <n v="0.31"/>
    <n v="68032"/>
    <n v="0"/>
    <n v="56"/>
    <x v="0"/>
  </r>
  <r>
    <x v="791"/>
    <x v="14"/>
    <n v="0.26"/>
    <n v="156075"/>
    <n v="0.3"/>
    <n v="156075"/>
    <n v="0"/>
    <n v="57"/>
    <x v="0"/>
  </r>
  <r>
    <x v="792"/>
    <x v="14"/>
    <n v="0.25"/>
    <n v="65048"/>
    <n v="0.26"/>
    <n v="65048"/>
    <n v="0"/>
    <n v="58"/>
    <x v="0"/>
  </r>
  <r>
    <x v="793"/>
    <x v="14"/>
    <n v="0.18"/>
    <n v="714215"/>
    <n v="0.2"/>
    <n v="714215"/>
    <n v="0"/>
    <n v="59"/>
    <x v="0"/>
  </r>
  <r>
    <x v="794"/>
    <x v="14"/>
    <n v="0.15"/>
    <n v="700000"/>
    <n v="0.18"/>
    <n v="1075761"/>
    <n v="-375761"/>
    <n v="60"/>
    <x v="4"/>
  </r>
  <r>
    <x v="795"/>
    <x v="14"/>
    <n v="0.12"/>
    <n v="90600"/>
    <n v="0.12"/>
    <n v="90600"/>
    <n v="0"/>
    <n v="61"/>
    <x v="0"/>
  </r>
  <r>
    <x v="796"/>
    <x v="14"/>
    <n v="0"/>
    <n v="2562406"/>
    <n v="0"/>
    <n v="2562406"/>
    <n v="0"/>
    <n v="62"/>
    <x v="0"/>
  </r>
  <r>
    <x v="797"/>
    <x v="14"/>
    <n v="0"/>
    <n v="0"/>
    <n v="0"/>
    <n v="0"/>
    <n v="0"/>
    <n v="63"/>
    <x v="3"/>
  </r>
  <r>
    <x v="798"/>
    <x v="15"/>
    <m/>
    <m/>
    <m/>
    <m/>
    <m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A14555-C6BA-4A2C-88E8-A5D8B746DCFB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mpany Name">
  <location ref="A6:B570" firstHeaderRow="1" firstDataRow="1" firstDataCol="1" rowPageCount="1" colPageCount="1"/>
  <pivotFields count="9">
    <pivotField axis="axisRow" showAll="0">
      <items count="800">
        <item x="414"/>
        <item x="92"/>
        <item x="84"/>
        <item x="729"/>
        <item x="369"/>
        <item x="656"/>
        <item x="473"/>
        <item x="119"/>
        <item x="789"/>
        <item x="125"/>
        <item x="620"/>
        <item x="392"/>
        <item x="697"/>
        <item x="62"/>
        <item x="767"/>
        <item x="439"/>
        <item x="724"/>
        <item x="750"/>
        <item x="12"/>
        <item x="442"/>
        <item x="365"/>
        <item x="81"/>
        <item x="346"/>
        <item x="46"/>
        <item x="390"/>
        <item x="180"/>
        <item x="323"/>
        <item x="319"/>
        <item x="547"/>
        <item x="203"/>
        <item x="712"/>
        <item x="379"/>
        <item x="393"/>
        <item x="500"/>
        <item x="606"/>
        <item x="297"/>
        <item x="318"/>
        <item x="727"/>
        <item x="366"/>
        <item x="449"/>
        <item x="581"/>
        <item x="263"/>
        <item x="232"/>
        <item x="699"/>
        <item x="758"/>
        <item x="563"/>
        <item x="591"/>
        <item x="584"/>
        <item x="266"/>
        <item x="245"/>
        <item x="570"/>
        <item x="536"/>
        <item x="291"/>
        <item x="382"/>
        <item x="301"/>
        <item x="673"/>
        <item x="545"/>
        <item x="527"/>
        <item x="128"/>
        <item x="164"/>
        <item x="400"/>
        <item x="102"/>
        <item x="143"/>
        <item x="120"/>
        <item x="190"/>
        <item x="453"/>
        <item x="504"/>
        <item x="460"/>
        <item x="100"/>
        <item x="665"/>
        <item x="310"/>
        <item x="631"/>
        <item x="53"/>
        <item x="357"/>
        <item x="498"/>
        <item x="684"/>
        <item x="409"/>
        <item x="268"/>
        <item x="86"/>
        <item x="216"/>
        <item x="424"/>
        <item x="378"/>
        <item x="358"/>
        <item x="718"/>
        <item x="402"/>
        <item x="115"/>
        <item x="293"/>
        <item x="290"/>
        <item x="443"/>
        <item x="682"/>
        <item x="464"/>
        <item x="158"/>
        <item x="748"/>
        <item x="653"/>
        <item x="496"/>
        <item x="616"/>
        <item x="101"/>
        <item x="145"/>
        <item x="669"/>
        <item x="207"/>
        <item x="510"/>
        <item x="199"/>
        <item x="3"/>
        <item x="598"/>
        <item x="348"/>
        <item x="7"/>
        <item x="249"/>
        <item x="362"/>
        <item x="2"/>
        <item x="237"/>
        <item x="494"/>
        <item x="252"/>
        <item x="454"/>
        <item x="8"/>
        <item x="691"/>
        <item x="602"/>
        <item x="27"/>
        <item x="343"/>
        <item x="553"/>
        <item x="569"/>
        <item x="6"/>
        <item x="242"/>
        <item x="648"/>
        <item x="522"/>
        <item x="610"/>
        <item x="344"/>
        <item x="525"/>
        <item x="612"/>
        <item x="461"/>
        <item x="551"/>
        <item x="15"/>
        <item x="797"/>
        <item x="1"/>
        <item x="226"/>
        <item x="766"/>
        <item x="617"/>
        <item x="111"/>
        <item x="59"/>
        <item x="192"/>
        <item x="18"/>
        <item x="332"/>
        <item x="380"/>
        <item x="652"/>
        <item x="244"/>
        <item x="481"/>
        <item x="672"/>
        <item x="168"/>
        <item x="30"/>
        <item x="638"/>
        <item x="182"/>
        <item x="475"/>
        <item x="74"/>
        <item x="742"/>
        <item x="70"/>
        <item x="635"/>
        <item x="289"/>
        <item x="658"/>
        <item x="21"/>
        <item x="23"/>
        <item x="630"/>
        <item x="690"/>
        <item x="649"/>
        <item x="667"/>
        <item x="413"/>
        <item x="408"/>
        <item x="174"/>
        <item x="235"/>
        <item x="506"/>
        <item x="221"/>
        <item x="198"/>
        <item x="389"/>
        <item x="25"/>
        <item x="270"/>
        <item x="48"/>
        <item x="430"/>
        <item x="713"/>
        <item x="388"/>
        <item x="654"/>
        <item x="368"/>
        <item x="562"/>
        <item x="264"/>
        <item x="489"/>
        <item x="416"/>
        <item x="262"/>
        <item x="304"/>
        <item x="668"/>
        <item x="161"/>
        <item x="785"/>
        <item x="641"/>
        <item x="435"/>
        <item x="133"/>
        <item x="178"/>
        <item x="515"/>
        <item x="717"/>
        <item x="468"/>
        <item x="269"/>
        <item x="503"/>
        <item x="604"/>
        <item x="432"/>
        <item x="315"/>
        <item x="548"/>
        <item x="427"/>
        <item x="773"/>
        <item x="725"/>
        <item x="71"/>
        <item x="223"/>
        <item x="559"/>
        <item x="256"/>
        <item x="541"/>
        <item x="679"/>
        <item x="636"/>
        <item x="298"/>
        <item x="543"/>
        <item x="261"/>
        <item x="302"/>
        <item x="9"/>
        <item x="552"/>
        <item x="512"/>
        <item x="258"/>
        <item x="278"/>
        <item x="65"/>
        <item x="342"/>
        <item x="507"/>
        <item x="787"/>
        <item x="360"/>
        <item x="220"/>
        <item x="597"/>
        <item x="201"/>
        <item x="4"/>
        <item x="345"/>
        <item x="721"/>
        <item x="347"/>
        <item x="611"/>
        <item x="248"/>
        <item x="482"/>
        <item x="523"/>
        <item x="196"/>
        <item x="336"/>
        <item x="136"/>
        <item x="659"/>
        <item x="437"/>
        <item x="195"/>
        <item x="54"/>
        <item x="280"/>
        <item x="448"/>
        <item x="51"/>
        <item x="370"/>
        <item x="260"/>
        <item x="555"/>
        <item x="335"/>
        <item x="485"/>
        <item x="217"/>
        <item x="776"/>
        <item x="529"/>
        <item x="771"/>
        <item x="761"/>
        <item x="706"/>
        <item x="169"/>
        <item x="558"/>
        <item x="14"/>
        <item x="657"/>
        <item x="327"/>
        <item x="137"/>
        <item x="626"/>
        <item x="194"/>
        <item x="333"/>
        <item x="743"/>
        <item x="518"/>
        <item x="377"/>
        <item x="534"/>
        <item x="780"/>
        <item x="215"/>
        <item x="329"/>
        <item x="459"/>
        <item x="112"/>
        <item x="152"/>
        <item x="779"/>
        <item x="462"/>
        <item x="166"/>
        <item x="387"/>
        <item x="93"/>
        <item x="141"/>
        <item x="497"/>
        <item x="204"/>
        <item x="704"/>
        <item x="43"/>
        <item x="375"/>
        <item x="595"/>
        <item x="148"/>
        <item x="703"/>
        <item x="733"/>
        <item x="677"/>
        <item x="134"/>
        <item x="160"/>
        <item x="417"/>
        <item x="177"/>
        <item x="698"/>
        <item x="376"/>
        <item x="422"/>
        <item x="685"/>
        <item x="185"/>
        <item x="469"/>
        <item x="105"/>
        <item x="206"/>
        <item x="744"/>
        <item x="279"/>
        <item x="535"/>
        <item x="472"/>
        <item x="331"/>
        <item x="492"/>
        <item x="135"/>
        <item x="666"/>
        <item x="735"/>
        <item x="455"/>
        <item x="94"/>
        <item x="138"/>
        <item x="488"/>
        <item x="176"/>
        <item x="585"/>
        <item x="156"/>
        <item x="73"/>
        <item x="755"/>
        <item x="757"/>
        <item x="753"/>
        <item x="663"/>
        <item x="660"/>
        <item x="132"/>
        <item x="751"/>
        <item x="491"/>
        <item x="795"/>
        <item x="571"/>
        <item x="265"/>
        <item x="420"/>
        <item x="621"/>
        <item x="738"/>
        <item x="487"/>
        <item x="114"/>
        <item x="428"/>
        <item x="792"/>
        <item x="423"/>
        <item x="96"/>
        <item x="142"/>
        <item x="588"/>
        <item x="396"/>
        <item x="121"/>
        <item x="181"/>
        <item x="505"/>
        <item x="52"/>
        <item x="689"/>
        <item x="296"/>
        <item x="700"/>
        <item x="530"/>
        <item x="458"/>
        <item x="98"/>
        <item x="147"/>
        <item x="239"/>
        <item x="57"/>
        <item x="240"/>
        <item x="720"/>
        <item x="19"/>
        <item x="614"/>
        <item x="426"/>
        <item x="309"/>
        <item x="484"/>
        <item x="130"/>
        <item x="35"/>
        <item x="292"/>
        <item x="11"/>
        <item x="63"/>
        <item x="188"/>
        <item x="528"/>
        <item x="429"/>
        <item x="624"/>
        <item x="576"/>
        <item x="550"/>
        <item x="243"/>
        <item x="76"/>
        <item x="82"/>
        <item x="769"/>
        <item x="285"/>
        <item x="532"/>
        <item x="330"/>
        <item x="253"/>
        <item x="440"/>
        <item x="705"/>
        <item x="502"/>
        <item x="32"/>
        <item x="575"/>
        <item x="586"/>
        <item x="227"/>
        <item x="328"/>
        <item x="728"/>
        <item x="78"/>
        <item x="509"/>
        <item x="579"/>
        <item x="540"/>
        <item x="517"/>
        <item x="41"/>
        <item x="374"/>
        <item x="661"/>
        <item x="524"/>
        <item x="108"/>
        <item x="167"/>
        <item x="29"/>
        <item x="255"/>
        <item x="224"/>
        <item x="5"/>
        <item x="276"/>
        <item x="741"/>
        <item x="640"/>
        <item x="568"/>
        <item x="556"/>
        <item x="340"/>
        <item x="457"/>
        <item x="97"/>
        <item x="140"/>
        <item x="64"/>
        <item x="337"/>
        <item x="643"/>
        <item x="367"/>
        <item x="607"/>
        <item x="564"/>
        <item x="403"/>
        <item x="184"/>
        <item x="189"/>
        <item x="480"/>
        <item x="683"/>
        <item x="752"/>
        <item x="77"/>
        <item x="407"/>
        <item x="151"/>
        <item x="334"/>
        <item x="671"/>
        <item x="58"/>
        <item x="662"/>
        <item x="306"/>
        <item x="470"/>
        <item x="116"/>
        <item x="170"/>
        <item x="10"/>
        <item x="421"/>
        <item x="352"/>
        <item x="230"/>
        <item x="592"/>
        <item x="714"/>
        <item x="450"/>
        <item x="760"/>
        <item x="793"/>
        <item x="731"/>
        <item x="79"/>
        <item x="339"/>
        <item x="772"/>
        <item x="796"/>
        <item x="483"/>
        <item x="702"/>
        <item x="107"/>
        <item x="146"/>
        <item x="42"/>
        <item x="273"/>
        <item x="384"/>
        <item x="312"/>
        <item x="187"/>
        <item x="398"/>
        <item x="123"/>
        <item x="619"/>
        <item x="322"/>
        <item x="60"/>
        <item x="711"/>
        <item x="267"/>
        <item x="589"/>
        <item x="241"/>
        <item x="165"/>
        <item x="83"/>
        <item x="634"/>
        <item x="615"/>
        <item x="75"/>
        <item x="197"/>
        <item x="311"/>
        <item x="33"/>
        <item x="20"/>
        <item x="68"/>
        <item x="229"/>
        <item x="186"/>
        <item x="749"/>
        <item x="754"/>
        <item x="0"/>
        <item x="701"/>
        <item x="784"/>
        <item x="783"/>
        <item x="49"/>
        <item x="622"/>
        <item x="580"/>
        <item x="613"/>
        <item x="730"/>
        <item x="28"/>
        <item x="675"/>
        <item x="89"/>
        <item x="716"/>
        <item x="490"/>
        <item x="193"/>
        <item x="508"/>
        <item x="565"/>
        <item x="355"/>
        <item x="726"/>
        <item x="441"/>
        <item x="434"/>
        <item x="446"/>
        <item x="794"/>
        <item x="386"/>
        <item x="109"/>
        <item x="149"/>
        <item x="790"/>
        <item x="284"/>
        <item x="214"/>
        <item x="155"/>
        <item x="202"/>
        <item x="670"/>
        <item x="577"/>
        <item x="361"/>
        <item x="34"/>
        <item x="238"/>
        <item x="601"/>
        <item x="627"/>
        <item x="288"/>
        <item x="87"/>
        <item x="129"/>
        <item x="218"/>
        <item x="533"/>
        <item x="596"/>
        <item x="31"/>
        <item x="341"/>
        <item x="22"/>
        <item x="633"/>
        <item x="493"/>
        <item x="781"/>
        <item x="126"/>
        <item x="777"/>
        <item x="404"/>
        <item x="695"/>
        <item x="756"/>
        <item x="546"/>
        <item x="338"/>
        <item x="36"/>
        <item x="233"/>
        <item x="590"/>
        <item x="391"/>
        <item x="578"/>
        <item x="412"/>
        <item x="628"/>
        <item x="381"/>
        <item x="693"/>
        <item x="674"/>
        <item x="200"/>
        <item x="526"/>
        <item x="371"/>
        <item x="399"/>
        <item x="655"/>
        <item x="764"/>
        <item x="788"/>
        <item x="511"/>
        <item x="162"/>
        <item x="438"/>
        <item x="745"/>
        <item x="759"/>
        <item x="734"/>
        <item x="680"/>
        <item x="476"/>
        <item x="222"/>
        <item x="433"/>
        <item x="629"/>
        <item x="723"/>
        <item x="50"/>
        <item x="544"/>
        <item x="722"/>
        <item x="763"/>
        <item x="436"/>
        <item x="299"/>
        <item x="519"/>
        <item x="445"/>
        <item x="456"/>
        <item x="95"/>
        <item x="139"/>
        <item x="209"/>
        <item x="13"/>
        <item x="520"/>
        <item x="24"/>
        <item x="225"/>
        <item x="736"/>
        <item x="694"/>
        <item x="275"/>
        <item x="44"/>
        <item x="259"/>
        <item x="474"/>
        <item x="326"/>
        <item x="567"/>
        <item x="372"/>
        <item x="419"/>
        <item x="782"/>
        <item x="40"/>
        <item x="349"/>
        <item x="247"/>
        <item x="521"/>
        <item x="236"/>
        <item x="219"/>
        <item x="463"/>
        <item x="124"/>
        <item x="477"/>
        <item x="154"/>
        <item x="282"/>
        <item x="651"/>
        <item x="603"/>
        <item x="303"/>
        <item x="768"/>
        <item x="350"/>
        <item x="325"/>
        <item x="676"/>
        <item x="317"/>
        <item x="608"/>
        <item x="354"/>
        <item x="465"/>
        <item x="118"/>
        <item x="173"/>
        <item x="537"/>
        <item x="283"/>
        <item x="623"/>
        <item x="287"/>
        <item x="642"/>
        <item x="351"/>
        <item x="39"/>
        <item x="127"/>
        <item x="632"/>
        <item x="573"/>
        <item x="55"/>
        <item x="305"/>
        <item x="646"/>
        <item x="103"/>
        <item x="308"/>
        <item x="405"/>
        <item x="786"/>
        <item x="708"/>
        <item x="762"/>
        <item x="572"/>
        <item x="593"/>
        <item x="38"/>
        <item x="250"/>
        <item x="709"/>
        <item x="650"/>
        <item x="747"/>
        <item x="471"/>
        <item x="106"/>
        <item x="153"/>
        <item x="692"/>
        <item x="320"/>
        <item x="554"/>
        <item x="37"/>
        <item x="686"/>
        <item x="294"/>
        <item x="90"/>
        <item x="688"/>
        <item x="254"/>
        <item x="91"/>
        <item x="281"/>
        <item x="637"/>
        <item x="274"/>
        <item x="594"/>
        <item x="67"/>
        <item x="737"/>
        <item x="791"/>
        <item x="85"/>
        <item x="213"/>
        <item x="739"/>
        <item x="599"/>
        <item x="231"/>
        <item x="415"/>
        <item x="363"/>
        <item x="582"/>
        <item x="431"/>
        <item x="99"/>
        <item x="208"/>
        <item x="479"/>
        <item x="131"/>
        <item x="321"/>
        <item x="47"/>
        <item x="17"/>
        <item x="110"/>
        <item x="159"/>
        <item x="467"/>
        <item x="466"/>
        <item x="542"/>
        <item x="122"/>
        <item x="191"/>
        <item x="587"/>
        <item x="778"/>
        <item x="61"/>
        <item x="513"/>
        <item x="251"/>
        <item x="80"/>
        <item x="277"/>
        <item x="486"/>
        <item x="150"/>
        <item x="356"/>
        <item x="499"/>
        <item x="566"/>
        <item x="385"/>
        <item x="664"/>
        <item x="353"/>
        <item x="710"/>
        <item x="395"/>
        <item x="639"/>
        <item x="719"/>
        <item x="732"/>
        <item x="26"/>
        <item x="211"/>
        <item x="72"/>
        <item x="300"/>
        <item x="774"/>
        <item x="444"/>
        <item x="286"/>
        <item x="557"/>
        <item x="418"/>
        <item x="212"/>
        <item x="113"/>
        <item x="179"/>
        <item x="478"/>
        <item x="205"/>
        <item x="425"/>
        <item x="765"/>
        <item x="583"/>
        <item x="272"/>
        <item x="394"/>
        <item x="183"/>
        <item x="574"/>
        <item x="770"/>
        <item x="561"/>
        <item x="397"/>
        <item x="618"/>
        <item x="740"/>
        <item x="707"/>
        <item x="157"/>
        <item x="452"/>
        <item x="104"/>
        <item x="144"/>
        <item x="687"/>
        <item x="600"/>
        <item x="411"/>
        <item x="163"/>
        <item x="495"/>
        <item x="117"/>
        <item x="644"/>
        <item x="45"/>
        <item x="625"/>
        <item x="696"/>
        <item x="210"/>
        <item x="539"/>
        <item x="549"/>
        <item x="364"/>
        <item x="257"/>
        <item x="514"/>
        <item x="383"/>
        <item x="66"/>
        <item x="307"/>
        <item x="560"/>
        <item x="16"/>
        <item x="88"/>
        <item x="314"/>
        <item x="69"/>
        <item x="234"/>
        <item x="746"/>
        <item x="645"/>
        <item x="531"/>
        <item x="359"/>
        <item x="228"/>
        <item x="501"/>
        <item x="410"/>
        <item x="316"/>
        <item x="715"/>
        <item x="246"/>
        <item x="56"/>
        <item x="172"/>
        <item x="538"/>
        <item x="605"/>
        <item x="295"/>
        <item x="271"/>
        <item x="678"/>
        <item x="171"/>
        <item x="373"/>
        <item x="609"/>
        <item x="681"/>
        <item x="406"/>
        <item x="175"/>
        <item x="516"/>
        <item x="447"/>
        <item x="324"/>
        <item x="775"/>
        <item x="647"/>
        <item x="401"/>
        <item x="313"/>
        <item x="451"/>
        <item x="79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axis="axisPage" multipleItemSelectionAllowed="1" showAll="0">
      <items count="7">
        <item h="1" x="1"/>
        <item h="1" x="2"/>
        <item x="0"/>
        <item h="1" x="4"/>
        <item h="1" x="3"/>
        <item h="1" x="5"/>
        <item t="default"/>
      </items>
    </pivotField>
  </pivotFields>
  <rowFields count="1">
    <field x="0"/>
  </rowFields>
  <rowItems count="564">
    <i>
      <x/>
    </i>
    <i>
      <x v="2"/>
    </i>
    <i>
      <x v="3"/>
    </i>
    <i>
      <x v="4"/>
    </i>
    <i>
      <x v="5"/>
    </i>
    <i>
      <x v="6"/>
    </i>
    <i>
      <x v="9"/>
    </i>
    <i>
      <x v="10"/>
    </i>
    <i>
      <x v="13"/>
    </i>
    <i>
      <x v="14"/>
    </i>
    <i>
      <x v="15"/>
    </i>
    <i>
      <x v="17"/>
    </i>
    <i>
      <x v="18"/>
    </i>
    <i>
      <x v="19"/>
    </i>
    <i>
      <x v="21"/>
    </i>
    <i>
      <x v="23"/>
    </i>
    <i>
      <x v="27"/>
    </i>
    <i>
      <x v="28"/>
    </i>
    <i>
      <x v="29"/>
    </i>
    <i>
      <x v="31"/>
    </i>
    <i>
      <x v="32"/>
    </i>
    <i>
      <x v="33"/>
    </i>
    <i>
      <x v="35"/>
    </i>
    <i>
      <x v="36"/>
    </i>
    <i>
      <x v="37"/>
    </i>
    <i>
      <x v="38"/>
    </i>
    <i>
      <x v="40"/>
    </i>
    <i>
      <x v="41"/>
    </i>
    <i>
      <x v="42"/>
    </i>
    <i>
      <x v="45"/>
    </i>
    <i>
      <x v="46"/>
    </i>
    <i>
      <x v="47"/>
    </i>
    <i>
      <x v="49"/>
    </i>
    <i>
      <x v="50"/>
    </i>
    <i>
      <x v="53"/>
    </i>
    <i>
      <x v="54"/>
    </i>
    <i>
      <x v="56"/>
    </i>
    <i>
      <x v="57"/>
    </i>
    <i>
      <x v="58"/>
    </i>
    <i>
      <x v="59"/>
    </i>
    <i>
      <x v="60"/>
    </i>
    <i>
      <x v="62"/>
    </i>
    <i>
      <x v="63"/>
    </i>
    <i>
      <x v="64"/>
    </i>
    <i>
      <x v="65"/>
    </i>
    <i>
      <x v="66"/>
    </i>
    <i>
      <x v="70"/>
    </i>
    <i>
      <x v="71"/>
    </i>
    <i>
      <x v="72"/>
    </i>
    <i>
      <x v="76"/>
    </i>
    <i>
      <x v="77"/>
    </i>
    <i>
      <x v="78"/>
    </i>
    <i>
      <x v="80"/>
    </i>
    <i>
      <x v="81"/>
    </i>
    <i>
      <x v="82"/>
    </i>
    <i>
      <x v="83"/>
    </i>
    <i>
      <x v="84"/>
    </i>
    <i>
      <x v="87"/>
    </i>
    <i>
      <x v="88"/>
    </i>
    <i>
      <x v="91"/>
    </i>
    <i>
      <x v="92"/>
    </i>
    <i>
      <x v="93"/>
    </i>
    <i>
      <x v="98"/>
    </i>
    <i>
      <x v="100"/>
    </i>
    <i>
      <x v="101"/>
    </i>
    <i>
      <x v="102"/>
    </i>
    <i>
      <x v="103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5"/>
    </i>
    <i>
      <x v="116"/>
    </i>
    <i>
      <x v="117"/>
    </i>
    <i>
      <x v="118"/>
    </i>
    <i>
      <x v="119"/>
    </i>
    <i>
      <x v="120"/>
    </i>
    <i>
      <x v="122"/>
    </i>
    <i>
      <x v="123"/>
    </i>
    <i>
      <x v="124"/>
    </i>
    <i>
      <x v="126"/>
    </i>
    <i>
      <x v="129"/>
    </i>
    <i>
      <x v="130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4"/>
    </i>
    <i>
      <x v="145"/>
    </i>
    <i>
      <x v="147"/>
    </i>
    <i>
      <x v="148"/>
    </i>
    <i>
      <x v="149"/>
    </i>
    <i>
      <x v="151"/>
    </i>
    <i>
      <x v="152"/>
    </i>
    <i>
      <x v="153"/>
    </i>
    <i>
      <x v="154"/>
    </i>
    <i>
      <x v="155"/>
    </i>
    <i>
      <x v="159"/>
    </i>
    <i>
      <x v="161"/>
    </i>
    <i>
      <x v="163"/>
    </i>
    <i>
      <x v="164"/>
    </i>
    <i>
      <x v="165"/>
    </i>
    <i>
      <x v="167"/>
    </i>
    <i>
      <x v="169"/>
    </i>
    <i>
      <x v="170"/>
    </i>
    <i>
      <x v="171"/>
    </i>
    <i>
      <x v="172"/>
    </i>
    <i>
      <x v="173"/>
    </i>
    <i>
      <x v="174"/>
    </i>
    <i>
      <x v="176"/>
    </i>
    <i>
      <x v="177"/>
    </i>
    <i>
      <x v="179"/>
    </i>
    <i>
      <x v="181"/>
    </i>
    <i>
      <x v="182"/>
    </i>
    <i>
      <x v="183"/>
    </i>
    <i>
      <x v="184"/>
    </i>
    <i>
      <x v="187"/>
    </i>
    <i>
      <x v="188"/>
    </i>
    <i>
      <x v="189"/>
    </i>
    <i>
      <x v="192"/>
    </i>
    <i>
      <x v="193"/>
    </i>
    <i>
      <x v="194"/>
    </i>
    <i>
      <x v="195"/>
    </i>
    <i>
      <x v="196"/>
    </i>
    <i>
      <x v="198"/>
    </i>
    <i>
      <x v="199"/>
    </i>
    <i>
      <x v="200"/>
    </i>
    <i>
      <x v="201"/>
    </i>
    <i>
      <x v="202"/>
    </i>
    <i>
      <x v="204"/>
    </i>
    <i>
      <x v="205"/>
    </i>
    <i>
      <x v="206"/>
    </i>
    <i>
      <x v="207"/>
    </i>
    <i>
      <x v="208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20"/>
    </i>
    <i>
      <x v="222"/>
    </i>
    <i>
      <x v="223"/>
    </i>
    <i>
      <x v="224"/>
    </i>
    <i>
      <x v="226"/>
    </i>
    <i>
      <x v="228"/>
    </i>
    <i>
      <x v="230"/>
    </i>
    <i>
      <x v="232"/>
    </i>
    <i>
      <x v="233"/>
    </i>
    <i>
      <x v="234"/>
    </i>
    <i>
      <x v="235"/>
    </i>
    <i>
      <x v="236"/>
    </i>
    <i>
      <x v="237"/>
    </i>
    <i>
      <x v="241"/>
    </i>
    <i>
      <x v="242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3"/>
    </i>
    <i>
      <x v="254"/>
    </i>
    <i>
      <x v="256"/>
    </i>
    <i>
      <x v="257"/>
    </i>
    <i>
      <x v="258"/>
    </i>
    <i>
      <x v="259"/>
    </i>
    <i>
      <x v="260"/>
    </i>
    <i>
      <x v="261"/>
    </i>
    <i>
      <x v="263"/>
    </i>
    <i>
      <x v="264"/>
    </i>
    <i>
      <x v="265"/>
    </i>
    <i>
      <x v="267"/>
    </i>
    <i>
      <x v="268"/>
    </i>
    <i>
      <x v="269"/>
    </i>
    <i>
      <x v="272"/>
    </i>
    <i>
      <x v="273"/>
    </i>
    <i>
      <x v="274"/>
    </i>
    <i>
      <x v="275"/>
    </i>
    <i>
      <x v="276"/>
    </i>
    <i>
      <x v="278"/>
    </i>
    <i>
      <x v="279"/>
    </i>
    <i>
      <x v="281"/>
    </i>
    <i>
      <x v="282"/>
    </i>
    <i>
      <x v="285"/>
    </i>
    <i>
      <x v="286"/>
    </i>
    <i>
      <x v="288"/>
    </i>
    <i>
      <x v="290"/>
    </i>
    <i>
      <x v="292"/>
    </i>
    <i>
      <x v="294"/>
    </i>
    <i>
      <x v="295"/>
    </i>
    <i>
      <x v="297"/>
    </i>
    <i>
      <x v="300"/>
    </i>
    <i>
      <x v="301"/>
    </i>
    <i>
      <x v="304"/>
    </i>
    <i>
      <x v="306"/>
    </i>
    <i>
      <x v="307"/>
    </i>
    <i>
      <x v="308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8"/>
    </i>
    <i>
      <x v="329"/>
    </i>
    <i>
      <x v="330"/>
    </i>
    <i>
      <x v="331"/>
    </i>
    <i>
      <x v="332"/>
    </i>
    <i>
      <x v="333"/>
    </i>
    <i>
      <x v="335"/>
    </i>
    <i>
      <x v="338"/>
    </i>
    <i>
      <x v="340"/>
    </i>
    <i>
      <x v="343"/>
    </i>
    <i>
      <x v="344"/>
    </i>
    <i>
      <x v="345"/>
    </i>
    <i>
      <x v="346"/>
    </i>
    <i>
      <x v="347"/>
    </i>
    <i>
      <x v="349"/>
    </i>
    <i>
      <x v="350"/>
    </i>
    <i>
      <x v="351"/>
    </i>
    <i>
      <x v="352"/>
    </i>
    <i>
      <x v="353"/>
    </i>
    <i>
      <x v="354"/>
    </i>
    <i>
      <x v="356"/>
    </i>
    <i>
      <x v="357"/>
    </i>
    <i>
      <x v="358"/>
    </i>
    <i>
      <x v="359"/>
    </i>
    <i>
      <x v="360"/>
    </i>
    <i>
      <x v="361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3"/>
    </i>
    <i>
      <x v="374"/>
    </i>
    <i>
      <x v="375"/>
    </i>
    <i>
      <x v="377"/>
    </i>
    <i>
      <x v="379"/>
    </i>
    <i>
      <x v="381"/>
    </i>
    <i>
      <x v="382"/>
    </i>
    <i>
      <x v="383"/>
    </i>
    <i>
      <x v="385"/>
    </i>
    <i>
      <x v="386"/>
    </i>
    <i>
      <x v="388"/>
    </i>
    <i>
      <x v="390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401"/>
    </i>
    <i>
      <x v="402"/>
    </i>
    <i>
      <x v="403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8"/>
    </i>
    <i>
      <x v="429"/>
    </i>
    <i>
      <x v="430"/>
    </i>
    <i>
      <x v="432"/>
    </i>
    <i>
      <x v="433"/>
    </i>
    <i>
      <x v="435"/>
    </i>
    <i>
      <x v="436"/>
    </i>
    <i>
      <x v="438"/>
    </i>
    <i>
      <x v="439"/>
    </i>
    <i>
      <x v="440"/>
    </i>
    <i>
      <x v="442"/>
    </i>
    <i>
      <x v="443"/>
    </i>
    <i>
      <x v="444"/>
    </i>
    <i>
      <x v="447"/>
    </i>
    <i>
      <x v="449"/>
    </i>
    <i>
      <x v="451"/>
    </i>
    <i>
      <x v="452"/>
    </i>
    <i>
      <x v="455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8"/>
    </i>
    <i>
      <x v="469"/>
    </i>
    <i>
      <x v="472"/>
    </i>
    <i>
      <x v="473"/>
    </i>
    <i>
      <x v="475"/>
    </i>
    <i>
      <x v="476"/>
    </i>
    <i>
      <x v="477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7"/>
    </i>
    <i>
      <x v="488"/>
    </i>
    <i>
      <x v="489"/>
    </i>
    <i>
      <x v="490"/>
    </i>
    <i>
      <x v="491"/>
    </i>
    <i>
      <x v="493"/>
    </i>
    <i>
      <x v="494"/>
    </i>
    <i>
      <x v="497"/>
    </i>
    <i>
      <x v="498"/>
    </i>
    <i>
      <x v="500"/>
    </i>
    <i>
      <x v="501"/>
    </i>
    <i>
      <x v="503"/>
    </i>
    <i>
      <x v="504"/>
    </i>
    <i>
      <x v="505"/>
    </i>
    <i>
      <x v="506"/>
    </i>
    <i>
      <x v="508"/>
    </i>
    <i>
      <x v="511"/>
    </i>
    <i>
      <x v="513"/>
    </i>
    <i>
      <x v="516"/>
    </i>
    <i>
      <x v="517"/>
    </i>
    <i>
      <x v="519"/>
    </i>
    <i>
      <x v="521"/>
    </i>
    <i>
      <x v="523"/>
    </i>
    <i>
      <x v="524"/>
    </i>
    <i>
      <x v="525"/>
    </i>
    <i>
      <x v="526"/>
    </i>
    <i>
      <x v="527"/>
    </i>
    <i>
      <x v="530"/>
    </i>
    <i>
      <x v="531"/>
    </i>
    <i>
      <x v="532"/>
    </i>
    <i>
      <x v="534"/>
    </i>
    <i>
      <x v="535"/>
    </i>
    <i>
      <x v="536"/>
    </i>
    <i>
      <x v="537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9"/>
    </i>
    <i>
      <x v="552"/>
    </i>
    <i>
      <x v="554"/>
    </i>
    <i>
      <x v="555"/>
    </i>
    <i>
      <x v="556"/>
    </i>
    <i>
      <x v="558"/>
    </i>
    <i>
      <x v="560"/>
    </i>
    <i>
      <x v="561"/>
    </i>
    <i>
      <x v="562"/>
    </i>
    <i>
      <x v="564"/>
    </i>
    <i>
      <x v="565"/>
    </i>
    <i>
      <x v="568"/>
    </i>
    <i>
      <x v="569"/>
    </i>
    <i>
      <x v="571"/>
    </i>
    <i>
      <x v="572"/>
    </i>
    <i>
      <x v="573"/>
    </i>
    <i>
      <x v="575"/>
    </i>
    <i>
      <x v="578"/>
    </i>
    <i>
      <x v="579"/>
    </i>
    <i>
      <x v="580"/>
    </i>
    <i>
      <x v="581"/>
    </i>
    <i>
      <x v="583"/>
    </i>
    <i>
      <x v="584"/>
    </i>
    <i>
      <x v="585"/>
    </i>
    <i>
      <x v="586"/>
    </i>
    <i>
      <x v="587"/>
    </i>
    <i>
      <x v="589"/>
    </i>
    <i>
      <x v="590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8"/>
    </i>
    <i>
      <x v="609"/>
    </i>
    <i>
      <x v="611"/>
    </i>
    <i>
      <x v="612"/>
    </i>
    <i>
      <x v="614"/>
    </i>
    <i>
      <x v="616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9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53"/>
    </i>
    <i>
      <x v="654"/>
    </i>
    <i>
      <x v="655"/>
    </i>
    <i>
      <x v="656"/>
    </i>
    <i>
      <x v="657"/>
    </i>
    <i>
      <x v="658"/>
    </i>
    <i>
      <x v="660"/>
    </i>
    <i>
      <x v="661"/>
    </i>
    <i>
      <x v="662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9"/>
    </i>
    <i>
      <x v="680"/>
    </i>
    <i>
      <x v="681"/>
    </i>
    <i>
      <x v="682"/>
    </i>
    <i>
      <x v="684"/>
    </i>
    <i>
      <x v="687"/>
    </i>
    <i>
      <x v="688"/>
    </i>
    <i>
      <x v="689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6"/>
    </i>
    <i>
      <x v="707"/>
    </i>
    <i>
      <x v="708"/>
    </i>
    <i>
      <x v="709"/>
    </i>
    <i>
      <x v="711"/>
    </i>
    <i>
      <x v="712"/>
    </i>
    <i>
      <x v="713"/>
    </i>
    <i>
      <x v="714"/>
    </i>
    <i>
      <x v="715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6"/>
    </i>
    <i>
      <x v="727"/>
    </i>
    <i>
      <x v="729"/>
    </i>
    <i>
      <x v="730"/>
    </i>
    <i>
      <x v="731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3"/>
    </i>
    <i>
      <x v="745"/>
    </i>
    <i>
      <x v="747"/>
    </i>
    <i>
      <x v="748"/>
    </i>
    <i>
      <x v="749"/>
    </i>
    <i>
      <x v="750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5"/>
    </i>
    <i>
      <x v="766"/>
    </i>
    <i>
      <x v="768"/>
    </i>
    <i>
      <x v="769"/>
    </i>
    <i>
      <x v="770"/>
    </i>
    <i>
      <x v="771"/>
    </i>
    <i>
      <x v="772"/>
    </i>
    <i>
      <x v="773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5"/>
    </i>
    <i>
      <x v="788"/>
    </i>
    <i>
      <x v="789"/>
    </i>
    <i>
      <x v="792"/>
    </i>
    <i>
      <x v="793"/>
    </i>
    <i>
      <x v="794"/>
    </i>
    <i>
      <x v="795"/>
    </i>
    <i>
      <x v="796"/>
    </i>
    <i>
      <x v="797"/>
    </i>
    <i t="grand">
      <x/>
    </i>
  </rowItems>
  <colItems count="1">
    <i/>
  </colItems>
  <pageFields count="1">
    <pageField fld="8" hier="-1"/>
  </pageFields>
  <dataFields count="1">
    <dataField name="Rank" fld="7" subtotal="max" baseField="0" baseItem="11"/>
  </dataFields>
  <formats count="10">
    <format dxfId="30">
      <pivotArea field="0" type="button" dataOnly="0" labelOnly="1" outline="0" axis="axisRow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25">
      <pivotArea dataOnly="0" labelOnly="1" outline="0" axis="axisValues" fieldPosition="0"/>
    </format>
    <format dxfId="24">
      <pivotArea dataOnly="0" labelOnly="1" outline="0" axis="axisValues" fieldPosition="0"/>
    </format>
    <format dxfId="23">
      <pivotArea outline="0" collapsedLevelsAreSubtotals="1" fieldPosition="0"/>
    </format>
    <format dxfId="22">
      <pivotArea dataOnly="0" labelOnly="1" outline="0" fieldPosition="0">
        <references count="1">
          <reference field="8" count="0"/>
        </references>
      </pivotArea>
    </format>
    <format dxfId="21">
      <pivotArea dataOnly="0" labelOnly="1" outline="0" axis="axisValues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0351A1-6FE1-4EBB-B4FF-1EBE560AA959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STOCKS ">
  <location ref="I6:I69" firstHeaderRow="1" firstDataRow="1" firstDataCol="1" rowPageCount="1" colPageCount="1"/>
  <pivotFields count="9">
    <pivotField axis="axisRow" showAll="0">
      <items count="800">
        <item x="729"/>
        <item x="656"/>
        <item x="119"/>
        <item x="789"/>
        <item x="125"/>
        <item x="620"/>
        <item x="697"/>
        <item x="390"/>
        <item x="581"/>
        <item x="758"/>
        <item x="301"/>
        <item x="673"/>
        <item x="128"/>
        <item x="102"/>
        <item x="143"/>
        <item x="120"/>
        <item x="100"/>
        <item x="665"/>
        <item x="631"/>
        <item x="684"/>
        <item x="409"/>
        <item x="216"/>
        <item x="115"/>
        <item x="293"/>
        <item x="682"/>
        <item x="653"/>
        <item x="496"/>
        <item x="101"/>
        <item x="669"/>
        <item x="249"/>
        <item x="362"/>
        <item x="691"/>
        <item x="648"/>
        <item x="617"/>
        <item x="111"/>
        <item x="652"/>
        <item x="672"/>
        <item x="638"/>
        <item x="635"/>
        <item x="658"/>
        <item x="630"/>
        <item x="690"/>
        <item x="649"/>
        <item x="667"/>
        <item x="174"/>
        <item x="389"/>
        <item x="713"/>
        <item x="654"/>
        <item x="262"/>
        <item x="668"/>
        <item x="641"/>
        <item x="435"/>
        <item x="133"/>
        <item x="178"/>
        <item x="679"/>
        <item x="636"/>
        <item x="136"/>
        <item x="659"/>
        <item x="706"/>
        <item x="169"/>
        <item x="657"/>
        <item x="137"/>
        <item x="626"/>
        <item x="112"/>
        <item x="166"/>
        <item x="387"/>
        <item x="93"/>
        <item x="141"/>
        <item x="703"/>
        <item x="677"/>
        <item x="134"/>
        <item x="160"/>
        <item x="698"/>
        <item x="685"/>
        <item x="105"/>
        <item x="206"/>
        <item x="535"/>
        <item x="135"/>
        <item x="666"/>
        <item x="94"/>
        <item x="138"/>
        <item x="753"/>
        <item x="663"/>
        <item x="660"/>
        <item x="132"/>
        <item x="621"/>
        <item x="114"/>
        <item x="423"/>
        <item x="96"/>
        <item x="142"/>
        <item x="121"/>
        <item x="689"/>
        <item x="700"/>
        <item x="458"/>
        <item x="98"/>
        <item x="309"/>
        <item x="484"/>
        <item x="130"/>
        <item x="292"/>
        <item x="624"/>
        <item x="285"/>
        <item x="661"/>
        <item x="108"/>
        <item x="167"/>
        <item x="640"/>
        <item x="457"/>
        <item x="97"/>
        <item x="643"/>
        <item x="683"/>
        <item x="77"/>
        <item x="671"/>
        <item x="662"/>
        <item x="116"/>
        <item x="170"/>
        <item x="10"/>
        <item x="731"/>
        <item x="107"/>
        <item x="146"/>
        <item x="187"/>
        <item x="123"/>
        <item x="619"/>
        <item x="322"/>
        <item x="634"/>
        <item x="197"/>
        <item x="186"/>
        <item x="622"/>
        <item x="675"/>
        <item x="726"/>
        <item x="386"/>
        <item x="109"/>
        <item x="149"/>
        <item x="214"/>
        <item x="670"/>
        <item x="627"/>
        <item x="129"/>
        <item x="633"/>
        <item x="126"/>
        <item x="404"/>
        <item x="695"/>
        <item x="628"/>
        <item x="693"/>
        <item x="674"/>
        <item x="655"/>
        <item x="680"/>
        <item x="629"/>
        <item x="445"/>
        <item x="456"/>
        <item x="95"/>
        <item x="139"/>
        <item x="694"/>
        <item x="219"/>
        <item x="124"/>
        <item x="651"/>
        <item x="676"/>
        <item x="118"/>
        <item x="173"/>
        <item x="623"/>
        <item x="642"/>
        <item x="127"/>
        <item x="632"/>
        <item x="305"/>
        <item x="646"/>
        <item x="103"/>
        <item x="708"/>
        <item x="762"/>
        <item x="709"/>
        <item x="650"/>
        <item x="471"/>
        <item x="106"/>
        <item x="692"/>
        <item x="686"/>
        <item x="688"/>
        <item x="637"/>
        <item x="213"/>
        <item x="363"/>
        <item x="431"/>
        <item x="99"/>
        <item x="131"/>
        <item x="110"/>
        <item x="122"/>
        <item x="664"/>
        <item x="639"/>
        <item x="211"/>
        <item x="212"/>
        <item x="113"/>
        <item x="205"/>
        <item x="425"/>
        <item x="618"/>
        <item x="707"/>
        <item x="157"/>
        <item x="452"/>
        <item x="104"/>
        <item x="687"/>
        <item x="117"/>
        <item x="644"/>
        <item x="625"/>
        <item x="383"/>
        <item x="307"/>
        <item x="645"/>
        <item x="410"/>
        <item x="316"/>
        <item x="678"/>
        <item x="681"/>
        <item x="647"/>
        <item x="798"/>
        <item x="696"/>
        <item x="614"/>
        <item x="699"/>
        <item x="701"/>
        <item x="702"/>
        <item x="704"/>
        <item x="550"/>
        <item x="525"/>
        <item x="705"/>
        <item x="710"/>
        <item x="711"/>
        <item x="712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7"/>
        <item x="728"/>
        <item x="520"/>
        <item x="730"/>
        <item x="732"/>
        <item x="514"/>
        <item x="733"/>
        <item x="734"/>
        <item x="735"/>
        <item x="736"/>
        <item x="737"/>
        <item x="738"/>
        <item x="601"/>
        <item x="739"/>
        <item x="741"/>
        <item x="740"/>
        <item x="742"/>
        <item x="53"/>
        <item x="743"/>
        <item x="744"/>
        <item x="745"/>
        <item x="746"/>
        <item x="747"/>
        <item x="748"/>
        <item x="538"/>
        <item x="749"/>
        <item x="751"/>
        <item x="752"/>
        <item x="750"/>
        <item x="754"/>
        <item x="755"/>
        <item x="756"/>
        <item x="7"/>
        <item x="516"/>
        <item x="763"/>
        <item x="760"/>
        <item x="761"/>
        <item x="757"/>
        <item x="222"/>
        <item x="499"/>
        <item x="759"/>
        <item x="562"/>
        <item x="764"/>
        <item x="0"/>
        <item x="1"/>
        <item x="2"/>
        <item x="3"/>
        <item x="4"/>
        <item x="5"/>
        <item x="6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4"/>
        <item x="55"/>
        <item x="56"/>
        <item x="57"/>
        <item x="59"/>
        <item x="58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140"/>
        <item x="144"/>
        <item x="145"/>
        <item x="147"/>
        <item x="148"/>
        <item x="150"/>
        <item x="151"/>
        <item x="152"/>
        <item x="153"/>
        <item x="154"/>
        <item x="155"/>
        <item x="156"/>
        <item x="158"/>
        <item x="159"/>
        <item x="161"/>
        <item x="162"/>
        <item x="163"/>
        <item x="164"/>
        <item x="165"/>
        <item x="168"/>
        <item x="171"/>
        <item x="172"/>
        <item x="175"/>
        <item x="176"/>
        <item x="177"/>
        <item x="179"/>
        <item x="180"/>
        <item x="181"/>
        <item x="183"/>
        <item x="182"/>
        <item x="184"/>
        <item x="185"/>
        <item x="188"/>
        <item x="189"/>
        <item x="190"/>
        <item x="191"/>
        <item x="192"/>
        <item x="193"/>
        <item x="194"/>
        <item x="195"/>
        <item x="196"/>
        <item x="198"/>
        <item x="199"/>
        <item x="200"/>
        <item x="201"/>
        <item x="202"/>
        <item x="203"/>
        <item x="204"/>
        <item x="207"/>
        <item x="208"/>
        <item x="209"/>
        <item x="210"/>
        <item x="215"/>
        <item x="217"/>
        <item x="218"/>
        <item x="220"/>
        <item x="2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9"/>
        <item x="238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4"/>
        <item x="295"/>
        <item x="296"/>
        <item x="297"/>
        <item x="298"/>
        <item x="299"/>
        <item x="300"/>
        <item x="302"/>
        <item x="303"/>
        <item x="304"/>
        <item x="306"/>
        <item x="308"/>
        <item x="310"/>
        <item x="311"/>
        <item x="312"/>
        <item x="313"/>
        <item x="314"/>
        <item x="315"/>
        <item x="317"/>
        <item x="318"/>
        <item x="319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4"/>
        <item x="385"/>
        <item x="388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5"/>
        <item x="406"/>
        <item x="407"/>
        <item x="408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6"/>
        <item x="428"/>
        <item x="427"/>
        <item x="429"/>
        <item x="430"/>
        <item x="432"/>
        <item x="434"/>
        <item x="433"/>
        <item x="436"/>
        <item x="437"/>
        <item x="438"/>
        <item x="439"/>
        <item x="440"/>
        <item x="441"/>
        <item x="442"/>
        <item x="443"/>
        <item x="444"/>
        <item x="446"/>
        <item x="447"/>
        <item x="448"/>
        <item x="449"/>
        <item x="450"/>
        <item x="451"/>
        <item x="453"/>
        <item x="454"/>
        <item x="455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5"/>
        <item x="517"/>
        <item x="518"/>
        <item x="519"/>
        <item x="521"/>
        <item x="522"/>
        <item x="524"/>
        <item x="523"/>
        <item x="526"/>
        <item x="527"/>
        <item x="528"/>
        <item x="529"/>
        <item x="530"/>
        <item x="531"/>
        <item x="532"/>
        <item x="533"/>
        <item x="534"/>
        <item x="536"/>
        <item x="537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3"/>
        <item x="564"/>
        <item x="565"/>
        <item x="566"/>
        <item x="568"/>
        <item x="567"/>
        <item x="569"/>
        <item x="570"/>
        <item x="571"/>
        <item x="572"/>
        <item x="573"/>
        <item x="574"/>
        <item x="575"/>
        <item x="576"/>
        <item x="579"/>
        <item x="578"/>
        <item x="577"/>
        <item x="580"/>
        <item x="582"/>
        <item x="583"/>
        <item x="585"/>
        <item x="584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4"/>
        <item x="602"/>
        <item x="603"/>
        <item x="605"/>
        <item x="606"/>
        <item x="607"/>
        <item x="608"/>
        <item x="609"/>
        <item x="610"/>
        <item x="611"/>
        <item x="612"/>
        <item x="613"/>
        <item x="615"/>
        <item x="616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90"/>
        <item x="791"/>
        <item x="792"/>
        <item x="793"/>
        <item x="794"/>
        <item x="795"/>
        <item x="796"/>
        <item x="79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showAll="0">
      <items count="7">
        <item x="1"/>
        <item x="2"/>
        <item x="0"/>
        <item x="4"/>
        <item x="3"/>
        <item x="5"/>
        <item t="default"/>
      </items>
    </pivotField>
  </pivotFields>
  <rowFields count="1">
    <field x="0"/>
  </rowFields>
  <rowItems count="63">
    <i>
      <x v="9"/>
    </i>
    <i>
      <x v="11"/>
    </i>
    <i>
      <x v="26"/>
    </i>
    <i>
      <x v="30"/>
    </i>
    <i>
      <x v="39"/>
    </i>
    <i>
      <x v="41"/>
    </i>
    <i>
      <x v="43"/>
    </i>
    <i>
      <x v="49"/>
    </i>
    <i>
      <x v="51"/>
    </i>
    <i>
      <x v="56"/>
    </i>
    <i>
      <x v="57"/>
    </i>
    <i>
      <x v="82"/>
    </i>
    <i>
      <x v="83"/>
    </i>
    <i>
      <x v="84"/>
    </i>
    <i>
      <x v="87"/>
    </i>
    <i>
      <x v="101"/>
    </i>
    <i>
      <x v="105"/>
    </i>
    <i>
      <x v="111"/>
    </i>
    <i>
      <x v="140"/>
    </i>
    <i>
      <x v="145"/>
    </i>
    <i>
      <x v="149"/>
    </i>
    <i>
      <x v="153"/>
    </i>
    <i>
      <x v="162"/>
    </i>
    <i>
      <x v="169"/>
    </i>
    <i>
      <x v="180"/>
    </i>
    <i>
      <x v="190"/>
    </i>
    <i>
      <x v="192"/>
    </i>
    <i>
      <x v="200"/>
    </i>
    <i>
      <x v="201"/>
    </i>
    <i>
      <x v="206"/>
    </i>
    <i>
      <x v="261"/>
    </i>
    <i>
      <x v="262"/>
    </i>
    <i>
      <x v="263"/>
    </i>
    <i>
      <x v="264"/>
    </i>
    <i>
      <x v="266"/>
    </i>
    <i>
      <x v="268"/>
    </i>
    <i>
      <x v="269"/>
    </i>
    <i>
      <x v="270"/>
    </i>
    <i>
      <x v="323"/>
    </i>
    <i>
      <x v="324"/>
    </i>
    <i>
      <x v="360"/>
    </i>
    <i>
      <x v="411"/>
    </i>
    <i>
      <x v="412"/>
    </i>
    <i>
      <x v="414"/>
    </i>
    <i>
      <x v="415"/>
    </i>
    <i>
      <x v="416"/>
    </i>
    <i>
      <x v="471"/>
    </i>
    <i>
      <x v="472"/>
    </i>
    <i>
      <x v="473"/>
    </i>
    <i>
      <x v="481"/>
    </i>
    <i>
      <x v="581"/>
    </i>
    <i>
      <x v="590"/>
    </i>
    <i>
      <x v="618"/>
    </i>
    <i>
      <x v="619"/>
    </i>
    <i>
      <x v="621"/>
    </i>
    <i>
      <x v="650"/>
    </i>
    <i>
      <x v="656"/>
    </i>
    <i>
      <x v="657"/>
    </i>
    <i>
      <x v="763"/>
    </i>
    <i>
      <x v="764"/>
    </i>
    <i>
      <x v="765"/>
    </i>
    <i>
      <x v="798"/>
    </i>
    <i t="grand">
      <x/>
    </i>
  </rowItems>
  <colItems count="1">
    <i/>
  </colItems>
  <pageFields count="1">
    <pageField fld="8" item="4" hier="-1"/>
  </pageFields>
  <formats count="5">
    <format dxfId="4">
      <pivotArea field="0" type="button" dataOnly="0" labelOnly="1" outline="0" axis="axisRow" fieldPosition="0"/>
    </format>
    <format dxfId="3">
      <pivotArea field="0" type="button" dataOnly="0" labelOnly="1" outline="0" axis="axisRow" fieldPosition="0"/>
    </format>
    <format dxfId="2">
      <pivotArea field="0" type="button" dataOnly="0" labelOnly="1" outline="0" axis="axisRow" fieldPosition="0"/>
    </format>
    <format dxfId="1">
      <pivotArea field="0" type="button" dataOnly="0" labelOnly="1" outline="0" axis="axisRow" fieldPosition="0"/>
    </format>
    <format dxfId="0">
      <pivotArea field="0" type="button" dataOnly="0" labelOnly="1" outline="0" axis="axisRow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59168B-2A49-448D-82EF-040ABEE7AD96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Fund Name" colHeaderCaption="Stautus">
  <location ref="A4:G21" firstHeaderRow="1" firstDataRow="2" firstDataCol="1"/>
  <pivotFields count="9">
    <pivotField axis="axisRow" dataField="1" showAll="0">
      <items count="800">
        <item x="729"/>
        <item x="656"/>
        <item x="119"/>
        <item x="789"/>
        <item x="125"/>
        <item x="620"/>
        <item x="697"/>
        <item x="390"/>
        <item x="581"/>
        <item x="758"/>
        <item x="301"/>
        <item x="673"/>
        <item x="128"/>
        <item x="102"/>
        <item x="143"/>
        <item x="120"/>
        <item x="100"/>
        <item x="665"/>
        <item x="631"/>
        <item x="684"/>
        <item x="409"/>
        <item x="216"/>
        <item x="115"/>
        <item x="293"/>
        <item x="682"/>
        <item x="653"/>
        <item x="496"/>
        <item x="101"/>
        <item x="669"/>
        <item x="249"/>
        <item x="362"/>
        <item x="691"/>
        <item x="648"/>
        <item x="617"/>
        <item x="111"/>
        <item x="652"/>
        <item x="672"/>
        <item x="638"/>
        <item x="635"/>
        <item x="658"/>
        <item x="630"/>
        <item x="690"/>
        <item x="649"/>
        <item x="667"/>
        <item x="174"/>
        <item x="389"/>
        <item x="713"/>
        <item x="654"/>
        <item x="262"/>
        <item x="668"/>
        <item x="641"/>
        <item x="435"/>
        <item x="133"/>
        <item x="178"/>
        <item x="679"/>
        <item x="636"/>
        <item x="136"/>
        <item x="659"/>
        <item x="706"/>
        <item x="169"/>
        <item x="657"/>
        <item x="137"/>
        <item x="626"/>
        <item x="112"/>
        <item x="166"/>
        <item x="387"/>
        <item x="93"/>
        <item x="141"/>
        <item x="703"/>
        <item x="677"/>
        <item x="134"/>
        <item x="160"/>
        <item x="698"/>
        <item x="685"/>
        <item x="105"/>
        <item x="206"/>
        <item x="535"/>
        <item x="135"/>
        <item x="666"/>
        <item x="94"/>
        <item x="138"/>
        <item x="753"/>
        <item x="663"/>
        <item x="660"/>
        <item x="132"/>
        <item x="621"/>
        <item x="114"/>
        <item x="423"/>
        <item x="96"/>
        <item x="142"/>
        <item x="121"/>
        <item x="689"/>
        <item x="700"/>
        <item x="458"/>
        <item x="98"/>
        <item x="309"/>
        <item x="484"/>
        <item x="130"/>
        <item x="292"/>
        <item x="624"/>
        <item x="285"/>
        <item x="661"/>
        <item x="108"/>
        <item x="167"/>
        <item x="640"/>
        <item x="457"/>
        <item x="97"/>
        <item x="643"/>
        <item x="683"/>
        <item x="77"/>
        <item x="671"/>
        <item x="662"/>
        <item x="116"/>
        <item x="170"/>
        <item x="10"/>
        <item x="731"/>
        <item x="107"/>
        <item x="146"/>
        <item x="187"/>
        <item x="123"/>
        <item x="619"/>
        <item x="322"/>
        <item x="634"/>
        <item x="197"/>
        <item x="186"/>
        <item x="622"/>
        <item x="675"/>
        <item x="726"/>
        <item x="386"/>
        <item x="109"/>
        <item x="149"/>
        <item x="214"/>
        <item x="670"/>
        <item x="627"/>
        <item x="129"/>
        <item x="633"/>
        <item x="126"/>
        <item x="404"/>
        <item x="695"/>
        <item x="628"/>
        <item x="693"/>
        <item x="674"/>
        <item x="655"/>
        <item x="680"/>
        <item x="629"/>
        <item x="445"/>
        <item x="456"/>
        <item x="95"/>
        <item x="139"/>
        <item x="694"/>
        <item x="219"/>
        <item x="124"/>
        <item x="651"/>
        <item x="676"/>
        <item x="118"/>
        <item x="173"/>
        <item x="623"/>
        <item x="642"/>
        <item x="127"/>
        <item x="632"/>
        <item x="305"/>
        <item x="646"/>
        <item x="103"/>
        <item x="708"/>
        <item x="762"/>
        <item x="709"/>
        <item x="650"/>
        <item x="471"/>
        <item x="106"/>
        <item x="692"/>
        <item x="686"/>
        <item x="688"/>
        <item x="637"/>
        <item x="213"/>
        <item x="363"/>
        <item x="431"/>
        <item x="99"/>
        <item x="131"/>
        <item x="110"/>
        <item x="122"/>
        <item x="664"/>
        <item x="639"/>
        <item x="211"/>
        <item x="212"/>
        <item x="113"/>
        <item x="205"/>
        <item x="425"/>
        <item x="618"/>
        <item x="707"/>
        <item x="157"/>
        <item x="452"/>
        <item x="104"/>
        <item x="687"/>
        <item x="117"/>
        <item x="644"/>
        <item x="625"/>
        <item x="383"/>
        <item x="307"/>
        <item x="645"/>
        <item x="410"/>
        <item x="316"/>
        <item x="678"/>
        <item x="681"/>
        <item x="647"/>
        <item x="798"/>
        <item x="696"/>
        <item x="614"/>
        <item x="699"/>
        <item x="701"/>
        <item x="702"/>
        <item x="704"/>
        <item x="550"/>
        <item x="525"/>
        <item x="705"/>
        <item x="710"/>
        <item x="711"/>
        <item x="712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7"/>
        <item x="728"/>
        <item x="520"/>
        <item x="730"/>
        <item x="732"/>
        <item x="514"/>
        <item x="733"/>
        <item x="734"/>
        <item x="735"/>
        <item x="736"/>
        <item x="737"/>
        <item x="738"/>
        <item x="601"/>
        <item x="739"/>
        <item x="741"/>
        <item x="740"/>
        <item x="742"/>
        <item x="53"/>
        <item x="743"/>
        <item x="744"/>
        <item x="745"/>
        <item x="746"/>
        <item x="747"/>
        <item x="748"/>
        <item x="538"/>
        <item x="749"/>
        <item x="751"/>
        <item x="752"/>
        <item x="750"/>
        <item x="754"/>
        <item x="755"/>
        <item x="756"/>
        <item x="7"/>
        <item x="516"/>
        <item x="763"/>
        <item x="760"/>
        <item x="761"/>
        <item x="757"/>
        <item x="222"/>
        <item x="499"/>
        <item x="759"/>
        <item x="562"/>
        <item x="764"/>
        <item x="0"/>
        <item x="1"/>
        <item x="2"/>
        <item x="3"/>
        <item x="4"/>
        <item x="5"/>
        <item x="6"/>
        <item x="8"/>
        <item x="9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4"/>
        <item x="55"/>
        <item x="56"/>
        <item x="57"/>
        <item x="59"/>
        <item x="58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140"/>
        <item x="144"/>
        <item x="145"/>
        <item x="147"/>
        <item x="148"/>
        <item x="150"/>
        <item x="151"/>
        <item x="152"/>
        <item x="153"/>
        <item x="154"/>
        <item x="155"/>
        <item x="156"/>
        <item x="158"/>
        <item x="159"/>
        <item x="161"/>
        <item x="162"/>
        <item x="163"/>
        <item x="164"/>
        <item x="165"/>
        <item x="168"/>
        <item x="171"/>
        <item x="172"/>
        <item x="175"/>
        <item x="176"/>
        <item x="177"/>
        <item x="179"/>
        <item x="180"/>
        <item x="181"/>
        <item x="183"/>
        <item x="182"/>
        <item x="184"/>
        <item x="185"/>
        <item x="188"/>
        <item x="189"/>
        <item x="190"/>
        <item x="191"/>
        <item x="192"/>
        <item x="193"/>
        <item x="194"/>
        <item x="195"/>
        <item x="196"/>
        <item x="198"/>
        <item x="199"/>
        <item x="200"/>
        <item x="201"/>
        <item x="202"/>
        <item x="203"/>
        <item x="204"/>
        <item x="207"/>
        <item x="208"/>
        <item x="209"/>
        <item x="210"/>
        <item x="215"/>
        <item x="217"/>
        <item x="218"/>
        <item x="220"/>
        <item x="221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9"/>
        <item x="238"/>
        <item x="240"/>
        <item x="241"/>
        <item x="242"/>
        <item x="243"/>
        <item x="244"/>
        <item x="245"/>
        <item x="246"/>
        <item x="247"/>
        <item x="248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6"/>
        <item x="287"/>
        <item x="288"/>
        <item x="289"/>
        <item x="290"/>
        <item x="291"/>
        <item x="294"/>
        <item x="295"/>
        <item x="296"/>
        <item x="297"/>
        <item x="298"/>
        <item x="299"/>
        <item x="300"/>
        <item x="302"/>
        <item x="303"/>
        <item x="304"/>
        <item x="306"/>
        <item x="308"/>
        <item x="310"/>
        <item x="311"/>
        <item x="312"/>
        <item x="313"/>
        <item x="314"/>
        <item x="315"/>
        <item x="317"/>
        <item x="318"/>
        <item x="319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4"/>
        <item x="385"/>
        <item x="388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5"/>
        <item x="406"/>
        <item x="407"/>
        <item x="408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4"/>
        <item x="426"/>
        <item x="428"/>
        <item x="427"/>
        <item x="429"/>
        <item x="430"/>
        <item x="432"/>
        <item x="434"/>
        <item x="433"/>
        <item x="436"/>
        <item x="437"/>
        <item x="438"/>
        <item x="439"/>
        <item x="440"/>
        <item x="441"/>
        <item x="442"/>
        <item x="443"/>
        <item x="444"/>
        <item x="446"/>
        <item x="447"/>
        <item x="448"/>
        <item x="449"/>
        <item x="450"/>
        <item x="451"/>
        <item x="453"/>
        <item x="454"/>
        <item x="455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7"/>
        <item x="498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5"/>
        <item x="517"/>
        <item x="518"/>
        <item x="519"/>
        <item x="521"/>
        <item x="522"/>
        <item x="524"/>
        <item x="523"/>
        <item x="526"/>
        <item x="527"/>
        <item x="528"/>
        <item x="529"/>
        <item x="530"/>
        <item x="531"/>
        <item x="532"/>
        <item x="533"/>
        <item x="534"/>
        <item x="536"/>
        <item x="537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3"/>
        <item x="564"/>
        <item x="565"/>
        <item x="566"/>
        <item x="568"/>
        <item x="567"/>
        <item x="569"/>
        <item x="570"/>
        <item x="571"/>
        <item x="572"/>
        <item x="573"/>
        <item x="574"/>
        <item x="575"/>
        <item x="576"/>
        <item x="579"/>
        <item x="578"/>
        <item x="577"/>
        <item x="580"/>
        <item x="582"/>
        <item x="583"/>
        <item x="585"/>
        <item x="584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4"/>
        <item x="602"/>
        <item x="603"/>
        <item x="605"/>
        <item x="606"/>
        <item x="607"/>
        <item x="608"/>
        <item x="609"/>
        <item x="610"/>
        <item x="611"/>
        <item x="612"/>
        <item x="613"/>
        <item x="615"/>
        <item x="616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90"/>
        <item x="791"/>
        <item x="792"/>
        <item x="793"/>
        <item x="794"/>
        <item x="795"/>
        <item x="796"/>
        <item x="797"/>
        <item t="default"/>
      </items>
    </pivotField>
    <pivotField axis="axisRow" showAll="0">
      <items count="17">
        <item sd="0" x="1"/>
        <item sd="0" x="10"/>
        <item sd="0" x="11"/>
        <item sd="0" x="12"/>
        <item sd="0" x="15"/>
        <item sd="0" x="0"/>
        <item sd="0" x="2"/>
        <item sd="0" x="3"/>
        <item sd="0" x="4"/>
        <item sd="0" x="5"/>
        <item sd="0" x="6"/>
        <item sd="0" x="7"/>
        <item sd="0" x="8"/>
        <item sd="0" x="9"/>
        <item sd="0" x="13"/>
        <item sd="0" x="14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7">
        <item x="1"/>
        <item x="2"/>
        <item x="0"/>
        <item x="4"/>
        <item x="3"/>
        <item h="1" x="5"/>
        <item t="default"/>
      </items>
    </pivotField>
  </pivotFields>
  <rowFields count="2">
    <field x="1"/>
    <field x="0"/>
  </rowFields>
  <rowItems count="16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8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Company" fld="0" subtotal="count" baseField="0" baseItem="0"/>
  </dataFields>
  <formats count="16">
    <format dxfId="20">
      <pivotArea field="1" type="button" dataOnly="0" labelOnly="1" outline="0" axis="axisRow" fieldPosition="0"/>
    </format>
    <format dxfId="19">
      <pivotArea dataOnly="0" labelOnly="1" grandCol="1" outline="0" fieldPosition="0"/>
    </format>
    <format dxfId="18">
      <pivotArea field="1" type="button" dataOnly="0" labelOnly="1" outline="0" axis="axisRow" fieldPosition="0"/>
    </format>
    <format dxfId="17">
      <pivotArea dataOnly="0" labelOnly="1" grandCol="1" outline="0" fieldPosition="0"/>
    </format>
    <format dxfId="16">
      <pivotArea field="1" type="button" dataOnly="0" labelOnly="1" outline="0" axis="axisRow" fieldPosition="0"/>
    </format>
    <format dxfId="15">
      <pivotArea dataOnly="0" labelOnly="1" grandCol="1" outline="0" fieldPosition="0"/>
    </format>
    <format dxfId="14">
      <pivotArea type="all" dataOnly="0" outline="0" fieldPosition="0"/>
    </format>
    <format dxfId="13">
      <pivotArea field="1" type="button" dataOnly="0" labelOnly="1" outline="0" axis="axisRow" fieldPosition="0"/>
    </format>
    <format dxfId="12">
      <pivotArea dataOnly="0" labelOnly="1" grandCol="1" outline="0" fieldPosition="0"/>
    </format>
    <format dxfId="11">
      <pivotArea grandRow="1" outline="0" collapsedLevelsAreSubtotals="1" fieldPosition="0"/>
    </format>
    <format dxfId="10">
      <pivotArea dataOnly="0" labelOnly="1" grandRow="1" outline="0" fieldPosition="0"/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outline="0" collapsedLevelsAreSubtotals="1" fieldPosition="0"/>
    </format>
    <format dxfId="6">
      <pivotArea dataOnly="0" labelOnly="1" grandCol="1" outline="0" fieldPosition="0"/>
    </format>
    <format dxfId="5">
      <pivotArea outline="0" collapsedLevelsAreSubtotals="1" fieldPosition="0"/>
    </format>
  </formats>
  <pivotTableStyleInfo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arketsmojo.com/Stocks?StockId=751972&amp;Exchange=0" TargetMode="External"/><Relationship Id="rId2" Type="http://schemas.openxmlformats.org/officeDocument/2006/relationships/hyperlink" Target="https://www.marketsmojo.com/Stocks?StockId=659194&amp;Exchange=0" TargetMode="External"/><Relationship Id="rId1" Type="http://schemas.openxmlformats.org/officeDocument/2006/relationships/hyperlink" Target="https://www.marketsmojo.com/Stocks?StockId=1002987&amp;Exchange=0" TargetMode="External"/><Relationship Id="rId5" Type="http://schemas.openxmlformats.org/officeDocument/2006/relationships/hyperlink" Target="https://www.marketsmojo.com/Stocks?StockId=345424&amp;Exchange=0" TargetMode="External"/><Relationship Id="rId4" Type="http://schemas.openxmlformats.org/officeDocument/2006/relationships/hyperlink" Target="https://www.marketsmojo.com/Stocks?StockId=1003880&amp;Exchange=0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4038D-9B95-4154-A2F3-C366F0FB644E}">
  <sheetPr codeName="Sheet2"/>
  <dimension ref="A3:I1137"/>
  <sheetViews>
    <sheetView showGridLines="0" topLeftCell="B1" workbookViewId="0">
      <selection activeCell="D14" sqref="D14"/>
    </sheetView>
  </sheetViews>
  <sheetFormatPr defaultRowHeight="14.5" x14ac:dyDescent="0.35"/>
  <cols>
    <col min="1" max="1" width="37.7265625" customWidth="1"/>
    <col min="2" max="2" width="40.54296875" customWidth="1"/>
    <col min="3" max="7" width="15.26953125" style="7" customWidth="1"/>
    <col min="8" max="8" width="17.1796875" customWidth="1"/>
    <col min="9" max="9" width="16.453125" customWidth="1"/>
  </cols>
  <sheetData>
    <row r="3" spans="1:9" ht="30.5" customHeight="1" thickBot="1" x14ac:dyDescent="0.4"/>
    <row r="4" spans="1:9" ht="19" thickBot="1" x14ac:dyDescent="0.5">
      <c r="A4" s="3" t="s">
        <v>5900</v>
      </c>
      <c r="B4" s="3" t="s">
        <v>5901</v>
      </c>
      <c r="C4" s="10">
        <v>45130</v>
      </c>
      <c r="D4" s="8" t="s">
        <v>5902</v>
      </c>
      <c r="E4" s="10">
        <v>45100</v>
      </c>
      <c r="F4" s="8" t="s">
        <v>5903</v>
      </c>
      <c r="G4" s="8" t="s">
        <v>5904</v>
      </c>
      <c r="H4" s="3" t="s">
        <v>5905</v>
      </c>
      <c r="I4" s="74" t="s">
        <v>5906</v>
      </c>
    </row>
    <row r="5" spans="1:9" x14ac:dyDescent="0.35">
      <c r="A5" s="2" t="s">
        <v>5907</v>
      </c>
      <c r="B5" s="2" t="s">
        <v>4381</v>
      </c>
      <c r="C5" s="9">
        <v>4.54</v>
      </c>
      <c r="D5" s="9">
        <v>6754348</v>
      </c>
      <c r="E5" s="9">
        <v>4.71</v>
      </c>
      <c r="F5" s="9">
        <v>6754348</v>
      </c>
      <c r="G5" s="9">
        <v>0</v>
      </c>
      <c r="H5" s="2">
        <v>1</v>
      </c>
      <c r="I5" t="s">
        <v>23</v>
      </c>
    </row>
    <row r="6" spans="1:9" x14ac:dyDescent="0.35">
      <c r="A6" s="2" t="s">
        <v>781</v>
      </c>
      <c r="B6" s="2" t="s">
        <v>4381</v>
      </c>
      <c r="C6" s="9">
        <v>3.46</v>
      </c>
      <c r="D6" s="9">
        <v>5339897</v>
      </c>
      <c r="E6" s="9">
        <v>3.37</v>
      </c>
      <c r="F6" s="9">
        <v>5339897</v>
      </c>
      <c r="G6" s="9">
        <v>0</v>
      </c>
      <c r="H6" s="2">
        <v>2</v>
      </c>
      <c r="I6" t="s">
        <v>23</v>
      </c>
    </row>
    <row r="7" spans="1:9" x14ac:dyDescent="0.35">
      <c r="A7" s="2" t="s">
        <v>753</v>
      </c>
      <c r="B7" s="2" t="s">
        <v>4381</v>
      </c>
      <c r="C7" s="9">
        <v>3.13</v>
      </c>
      <c r="D7" s="9">
        <v>7939846</v>
      </c>
      <c r="E7" s="9">
        <v>3.2</v>
      </c>
      <c r="F7" s="9">
        <v>7939846</v>
      </c>
      <c r="G7" s="9">
        <v>0</v>
      </c>
      <c r="H7" s="2">
        <v>3</v>
      </c>
      <c r="I7" t="s">
        <v>23</v>
      </c>
    </row>
    <row r="8" spans="1:9" x14ac:dyDescent="0.35">
      <c r="A8" s="2" t="s">
        <v>4382</v>
      </c>
      <c r="B8" s="2" t="s">
        <v>4381</v>
      </c>
      <c r="C8" s="9">
        <v>3.12</v>
      </c>
      <c r="D8" s="9">
        <v>10963846</v>
      </c>
      <c r="E8" s="9">
        <v>2.76</v>
      </c>
      <c r="F8" s="9">
        <v>10963846</v>
      </c>
      <c r="G8" s="9">
        <v>0</v>
      </c>
      <c r="H8" s="2">
        <v>4</v>
      </c>
      <c r="I8" t="s">
        <v>23</v>
      </c>
    </row>
    <row r="9" spans="1:9" x14ac:dyDescent="0.35">
      <c r="A9" s="2" t="s">
        <v>862</v>
      </c>
      <c r="B9" s="2" t="s">
        <v>4381</v>
      </c>
      <c r="C9" s="9">
        <v>3.09</v>
      </c>
      <c r="D9" s="9">
        <v>1706429</v>
      </c>
      <c r="E9" s="9">
        <v>3.17</v>
      </c>
      <c r="F9" s="9">
        <v>1706429</v>
      </c>
      <c r="G9" s="9">
        <v>0</v>
      </c>
      <c r="H9" s="2">
        <v>5</v>
      </c>
      <c r="I9" t="s">
        <v>23</v>
      </c>
    </row>
    <row r="10" spans="1:9" x14ac:dyDescent="0.35">
      <c r="A10" s="2" t="s">
        <v>5908</v>
      </c>
      <c r="B10" s="2" t="s">
        <v>4381</v>
      </c>
      <c r="C10" s="9">
        <v>3.09</v>
      </c>
      <c r="D10" s="9">
        <v>2429347</v>
      </c>
      <c r="E10" s="9">
        <v>3.05</v>
      </c>
      <c r="F10" s="9">
        <v>2429347</v>
      </c>
      <c r="G10" s="9">
        <v>0</v>
      </c>
      <c r="H10" s="2">
        <v>6</v>
      </c>
      <c r="I10" t="s">
        <v>23</v>
      </c>
    </row>
    <row r="11" spans="1:9" x14ac:dyDescent="0.35">
      <c r="A11" s="2" t="s">
        <v>898</v>
      </c>
      <c r="B11" s="2" t="s">
        <v>4381</v>
      </c>
      <c r="C11" s="9">
        <v>2.96</v>
      </c>
      <c r="D11" s="9">
        <v>7234610</v>
      </c>
      <c r="E11" s="9">
        <v>3.37</v>
      </c>
      <c r="F11" s="9">
        <v>7234610</v>
      </c>
      <c r="G11" s="9">
        <v>0</v>
      </c>
      <c r="H11" s="2">
        <v>7</v>
      </c>
      <c r="I11" t="s">
        <v>23</v>
      </c>
    </row>
    <row r="12" spans="1:9" x14ac:dyDescent="0.35">
      <c r="A12" s="2" t="s">
        <v>174</v>
      </c>
      <c r="B12" s="2" t="s">
        <v>4381</v>
      </c>
      <c r="C12" s="9">
        <v>2.66</v>
      </c>
      <c r="D12" s="9">
        <v>5097614</v>
      </c>
      <c r="E12" s="9">
        <v>2.74</v>
      </c>
      <c r="F12" s="9">
        <v>5097614</v>
      </c>
      <c r="G12" s="9">
        <v>0</v>
      </c>
      <c r="H12" s="2">
        <v>8</v>
      </c>
      <c r="I12" t="s">
        <v>23</v>
      </c>
    </row>
    <row r="13" spans="1:9" x14ac:dyDescent="0.35">
      <c r="A13" s="2" t="s">
        <v>920</v>
      </c>
      <c r="B13" s="2" t="s">
        <v>4381</v>
      </c>
      <c r="C13" s="9">
        <v>2.62</v>
      </c>
      <c r="D13" s="9">
        <v>5243788</v>
      </c>
      <c r="E13" s="9">
        <v>2.75</v>
      </c>
      <c r="F13" s="9">
        <v>5041769</v>
      </c>
      <c r="G13" s="9">
        <v>202019</v>
      </c>
      <c r="H13" s="2">
        <v>9</v>
      </c>
      <c r="I13" t="s">
        <v>22</v>
      </c>
    </row>
    <row r="14" spans="1:9" x14ac:dyDescent="0.35">
      <c r="A14" s="2" t="s">
        <v>702</v>
      </c>
      <c r="B14" s="2" t="s">
        <v>4381</v>
      </c>
      <c r="C14" s="9">
        <v>2.6</v>
      </c>
      <c r="D14" s="9">
        <v>865370</v>
      </c>
      <c r="E14" s="9">
        <v>2.97</v>
      </c>
      <c r="F14" s="9">
        <v>865370</v>
      </c>
      <c r="G14" s="9">
        <v>0</v>
      </c>
      <c r="H14" s="2">
        <v>10</v>
      </c>
      <c r="I14" t="s">
        <v>23</v>
      </c>
    </row>
    <row r="15" spans="1:9" x14ac:dyDescent="0.35">
      <c r="A15" s="2" t="s">
        <v>88</v>
      </c>
      <c r="B15" s="2" t="s">
        <v>4381</v>
      </c>
      <c r="C15" s="9">
        <v>2.37</v>
      </c>
      <c r="D15" s="9">
        <v>6985024</v>
      </c>
      <c r="E15" s="9">
        <v>2.5299999999999998</v>
      </c>
      <c r="F15" s="9">
        <v>6985024</v>
      </c>
      <c r="G15" s="9">
        <v>0</v>
      </c>
      <c r="H15" s="2">
        <v>11</v>
      </c>
      <c r="I15" t="s">
        <v>23</v>
      </c>
    </row>
    <row r="16" spans="1:9" x14ac:dyDescent="0.35">
      <c r="A16" s="2" t="s">
        <v>817</v>
      </c>
      <c r="B16" s="2" t="s">
        <v>4381</v>
      </c>
      <c r="C16" s="9">
        <v>1.95</v>
      </c>
      <c r="D16" s="9">
        <v>4795921</v>
      </c>
      <c r="E16" s="9">
        <v>2.42</v>
      </c>
      <c r="F16" s="9">
        <v>4795921</v>
      </c>
      <c r="G16" s="9">
        <v>0</v>
      </c>
      <c r="H16" s="2">
        <v>12</v>
      </c>
      <c r="I16" t="s">
        <v>23</v>
      </c>
    </row>
    <row r="17" spans="1:9" x14ac:dyDescent="0.35">
      <c r="A17" s="2" t="s">
        <v>1191</v>
      </c>
      <c r="B17" s="2" t="s">
        <v>4381</v>
      </c>
      <c r="C17" s="9">
        <v>1.89</v>
      </c>
      <c r="D17" s="9">
        <v>3931533</v>
      </c>
      <c r="E17" s="9">
        <v>1.67</v>
      </c>
      <c r="F17" s="9">
        <v>3931533</v>
      </c>
      <c r="G17" s="9">
        <v>0</v>
      </c>
      <c r="H17" s="2">
        <v>13</v>
      </c>
      <c r="I17" t="s">
        <v>23</v>
      </c>
    </row>
    <row r="18" spans="1:9" x14ac:dyDescent="0.35">
      <c r="A18" s="2" t="s">
        <v>5909</v>
      </c>
      <c r="B18" s="2" t="s">
        <v>4381</v>
      </c>
      <c r="C18" s="9">
        <v>1.88</v>
      </c>
      <c r="D18" s="9">
        <v>4383432</v>
      </c>
      <c r="E18" s="9">
        <v>1.99</v>
      </c>
      <c r="F18" s="9">
        <v>4383432</v>
      </c>
      <c r="G18" s="9">
        <v>0</v>
      </c>
      <c r="H18" s="2">
        <v>14</v>
      </c>
      <c r="I18" t="s">
        <v>23</v>
      </c>
    </row>
    <row r="19" spans="1:9" x14ac:dyDescent="0.35">
      <c r="A19" s="2" t="s">
        <v>568</v>
      </c>
      <c r="B19" s="2" t="s">
        <v>4381</v>
      </c>
      <c r="C19" s="9">
        <v>1.75</v>
      </c>
      <c r="D19" s="9">
        <v>1133983</v>
      </c>
      <c r="E19" s="9">
        <v>1.81</v>
      </c>
      <c r="F19" s="9">
        <v>1133983</v>
      </c>
      <c r="G19" s="9">
        <v>0</v>
      </c>
      <c r="H19" s="2">
        <v>15</v>
      </c>
      <c r="I19" t="s">
        <v>23</v>
      </c>
    </row>
    <row r="20" spans="1:9" x14ac:dyDescent="0.35">
      <c r="A20" s="2" t="s">
        <v>1018</v>
      </c>
      <c r="B20" s="2" t="s">
        <v>4381</v>
      </c>
      <c r="C20" s="9">
        <v>1.71</v>
      </c>
      <c r="D20" s="9">
        <v>5796049</v>
      </c>
      <c r="E20" s="9">
        <v>1.85</v>
      </c>
      <c r="F20" s="9">
        <v>5796049</v>
      </c>
      <c r="G20" s="9">
        <v>0</v>
      </c>
      <c r="H20" s="2">
        <v>16</v>
      </c>
      <c r="I20" t="s">
        <v>23</v>
      </c>
    </row>
    <row r="21" spans="1:9" x14ac:dyDescent="0.35">
      <c r="A21" s="2" t="s">
        <v>1282</v>
      </c>
      <c r="B21" s="2" t="s">
        <v>4381</v>
      </c>
      <c r="C21" s="9">
        <v>1.68</v>
      </c>
      <c r="D21" s="9">
        <v>690296</v>
      </c>
      <c r="E21" s="9">
        <v>1.1599999999999999</v>
      </c>
      <c r="F21" s="9">
        <v>690296</v>
      </c>
      <c r="G21" s="9">
        <v>0</v>
      </c>
      <c r="H21" s="2">
        <v>17</v>
      </c>
      <c r="I21" t="s">
        <v>23</v>
      </c>
    </row>
    <row r="22" spans="1:9" x14ac:dyDescent="0.35">
      <c r="A22" s="2" t="s">
        <v>235</v>
      </c>
      <c r="B22" s="2" t="s">
        <v>4381</v>
      </c>
      <c r="C22" s="9">
        <v>1.56</v>
      </c>
      <c r="D22" s="9">
        <v>3627758</v>
      </c>
      <c r="E22" s="9">
        <v>1.45</v>
      </c>
      <c r="F22" s="9">
        <v>3466364</v>
      </c>
      <c r="G22" s="9">
        <v>161394</v>
      </c>
      <c r="H22" s="2">
        <v>18</v>
      </c>
      <c r="I22" t="s">
        <v>22</v>
      </c>
    </row>
    <row r="23" spans="1:9" x14ac:dyDescent="0.35">
      <c r="A23" s="2" t="s">
        <v>815</v>
      </c>
      <c r="B23" s="2" t="s">
        <v>4381</v>
      </c>
      <c r="C23" s="9">
        <v>1.56</v>
      </c>
      <c r="D23" s="9">
        <v>17624283</v>
      </c>
      <c r="E23" s="9">
        <v>1.57</v>
      </c>
      <c r="F23" s="9">
        <v>17624283</v>
      </c>
      <c r="G23" s="9">
        <v>0</v>
      </c>
      <c r="H23" s="2">
        <v>19</v>
      </c>
      <c r="I23" t="s">
        <v>23</v>
      </c>
    </row>
    <row r="24" spans="1:9" x14ac:dyDescent="0.35">
      <c r="A24" s="2" t="s">
        <v>655</v>
      </c>
      <c r="B24" s="2" t="s">
        <v>4381</v>
      </c>
      <c r="C24" s="9">
        <v>1.53</v>
      </c>
      <c r="D24" s="9">
        <v>916180</v>
      </c>
      <c r="E24" s="9">
        <v>1.52</v>
      </c>
      <c r="F24" s="9">
        <v>915987</v>
      </c>
      <c r="G24" s="9">
        <v>193</v>
      </c>
      <c r="H24" s="2">
        <v>20</v>
      </c>
      <c r="I24" t="s">
        <v>22</v>
      </c>
    </row>
    <row r="25" spans="1:9" x14ac:dyDescent="0.35">
      <c r="A25" s="2" t="s">
        <v>5910</v>
      </c>
      <c r="B25" s="2" t="s">
        <v>4381</v>
      </c>
      <c r="C25" s="9">
        <v>1.52</v>
      </c>
      <c r="D25" s="9">
        <v>1071711</v>
      </c>
      <c r="E25" s="9">
        <v>1.44</v>
      </c>
      <c r="F25" s="9">
        <v>1071711</v>
      </c>
      <c r="G25" s="9">
        <v>0</v>
      </c>
      <c r="H25" s="2">
        <v>21</v>
      </c>
      <c r="I25" t="s">
        <v>23</v>
      </c>
    </row>
    <row r="26" spans="1:9" x14ac:dyDescent="0.35">
      <c r="A26" s="2" t="s">
        <v>931</v>
      </c>
      <c r="B26" s="2" t="s">
        <v>4381</v>
      </c>
      <c r="C26" s="9">
        <v>1.49</v>
      </c>
      <c r="D26" s="9">
        <v>481083</v>
      </c>
      <c r="E26" s="9">
        <v>1.25</v>
      </c>
      <c r="F26" s="9">
        <v>442122</v>
      </c>
      <c r="G26" s="9">
        <v>38961</v>
      </c>
      <c r="H26" s="2">
        <v>22</v>
      </c>
      <c r="I26" t="s">
        <v>22</v>
      </c>
    </row>
    <row r="27" spans="1:9" x14ac:dyDescent="0.35">
      <c r="A27" s="2" t="s">
        <v>433</v>
      </c>
      <c r="B27" s="2" t="s">
        <v>4381</v>
      </c>
      <c r="C27" s="9">
        <v>1.45</v>
      </c>
      <c r="D27" s="9">
        <v>459516</v>
      </c>
      <c r="E27" s="9">
        <v>1.62</v>
      </c>
      <c r="F27" s="9">
        <v>459516</v>
      </c>
      <c r="G27" s="9">
        <v>0</v>
      </c>
      <c r="H27" s="2">
        <v>23</v>
      </c>
      <c r="I27" t="s">
        <v>23</v>
      </c>
    </row>
    <row r="28" spans="1:9" x14ac:dyDescent="0.35">
      <c r="A28" s="2" t="s">
        <v>4383</v>
      </c>
      <c r="B28" s="2" t="s">
        <v>4381</v>
      </c>
      <c r="C28" s="9">
        <v>1.38</v>
      </c>
      <c r="D28" s="9">
        <v>1423534</v>
      </c>
      <c r="E28" s="9">
        <v>0.72</v>
      </c>
      <c r="F28" s="9">
        <v>819600</v>
      </c>
      <c r="G28" s="9">
        <v>603934</v>
      </c>
      <c r="H28" s="2">
        <v>24</v>
      </c>
      <c r="I28" t="s">
        <v>22</v>
      </c>
    </row>
    <row r="29" spans="1:9" x14ac:dyDescent="0.35">
      <c r="A29" s="2" t="s">
        <v>1022</v>
      </c>
      <c r="B29" s="2" t="s">
        <v>4381</v>
      </c>
      <c r="C29" s="9">
        <v>1.37</v>
      </c>
      <c r="D29" s="9">
        <v>930700</v>
      </c>
      <c r="E29" s="9">
        <v>1.45</v>
      </c>
      <c r="F29" s="9">
        <v>930700</v>
      </c>
      <c r="G29" s="9">
        <v>0</v>
      </c>
      <c r="H29" s="2">
        <v>25</v>
      </c>
      <c r="I29" t="s">
        <v>23</v>
      </c>
    </row>
    <row r="30" spans="1:9" x14ac:dyDescent="0.35">
      <c r="A30" s="2" t="s">
        <v>891</v>
      </c>
      <c r="B30" s="2" t="s">
        <v>4381</v>
      </c>
      <c r="C30" s="9">
        <v>1.34</v>
      </c>
      <c r="D30" s="9">
        <v>991302</v>
      </c>
      <c r="E30" s="9">
        <v>1.3</v>
      </c>
      <c r="F30" s="9">
        <v>991302</v>
      </c>
      <c r="G30" s="9">
        <v>0</v>
      </c>
      <c r="H30" s="2">
        <v>26</v>
      </c>
      <c r="I30" t="s">
        <v>23</v>
      </c>
    </row>
    <row r="31" spans="1:9" x14ac:dyDescent="0.35">
      <c r="A31" s="2" t="s">
        <v>540</v>
      </c>
      <c r="B31" s="2" t="s">
        <v>4381</v>
      </c>
      <c r="C31" s="9">
        <v>1.33</v>
      </c>
      <c r="D31" s="9">
        <v>1156928</v>
      </c>
      <c r="E31" s="9">
        <v>1.27</v>
      </c>
      <c r="F31" s="9">
        <v>1156928</v>
      </c>
      <c r="G31" s="9">
        <v>0</v>
      </c>
      <c r="H31" s="2">
        <v>27</v>
      </c>
      <c r="I31" t="s">
        <v>23</v>
      </c>
    </row>
    <row r="32" spans="1:9" x14ac:dyDescent="0.35">
      <c r="A32" s="2" t="s">
        <v>596</v>
      </c>
      <c r="B32" s="2" t="s">
        <v>4381</v>
      </c>
      <c r="C32" s="9">
        <v>1.33</v>
      </c>
      <c r="D32" s="9">
        <v>1650618</v>
      </c>
      <c r="E32" s="9">
        <v>1.39</v>
      </c>
      <c r="F32" s="9">
        <v>1650618</v>
      </c>
      <c r="G32" s="9">
        <v>0</v>
      </c>
      <c r="H32" s="2">
        <v>28</v>
      </c>
      <c r="I32" t="s">
        <v>23</v>
      </c>
    </row>
    <row r="33" spans="1:9" x14ac:dyDescent="0.35">
      <c r="A33" s="2" t="s">
        <v>1298</v>
      </c>
      <c r="B33" s="2" t="s">
        <v>4381</v>
      </c>
      <c r="C33" s="9">
        <v>1.3</v>
      </c>
      <c r="D33" s="9">
        <v>1217809</v>
      </c>
      <c r="E33" s="9">
        <v>1.38</v>
      </c>
      <c r="F33" s="9">
        <v>1217809</v>
      </c>
      <c r="G33" s="9">
        <v>0</v>
      </c>
      <c r="H33" s="2">
        <v>29</v>
      </c>
      <c r="I33" t="s">
        <v>23</v>
      </c>
    </row>
    <row r="34" spans="1:9" x14ac:dyDescent="0.35">
      <c r="A34" s="2" t="s">
        <v>515</v>
      </c>
      <c r="B34" s="2" t="s">
        <v>4381</v>
      </c>
      <c r="C34" s="9">
        <v>1.29</v>
      </c>
      <c r="D34" s="9">
        <v>1784826</v>
      </c>
      <c r="E34" s="9">
        <v>1.36</v>
      </c>
      <c r="F34" s="9">
        <v>1784826</v>
      </c>
      <c r="G34" s="9">
        <v>0</v>
      </c>
      <c r="H34" s="2">
        <v>30</v>
      </c>
      <c r="I34" t="s">
        <v>23</v>
      </c>
    </row>
    <row r="35" spans="1:9" x14ac:dyDescent="0.35">
      <c r="A35" s="2" t="s">
        <v>538</v>
      </c>
      <c r="B35" s="2" t="s">
        <v>4381</v>
      </c>
      <c r="C35" s="9">
        <v>1.22</v>
      </c>
      <c r="D35" s="9">
        <v>389393</v>
      </c>
      <c r="E35" s="9">
        <v>1.29</v>
      </c>
      <c r="F35" s="9">
        <v>389393</v>
      </c>
      <c r="G35" s="9">
        <v>0</v>
      </c>
      <c r="H35" s="2">
        <v>31</v>
      </c>
      <c r="I35" t="s">
        <v>23</v>
      </c>
    </row>
    <row r="36" spans="1:9" x14ac:dyDescent="0.35">
      <c r="A36" s="2" t="s">
        <v>486</v>
      </c>
      <c r="B36" s="2" t="s">
        <v>4381</v>
      </c>
      <c r="C36" s="9">
        <v>1.18</v>
      </c>
      <c r="D36" s="9">
        <v>2424380</v>
      </c>
      <c r="E36" s="9">
        <v>0.97</v>
      </c>
      <c r="F36" s="9">
        <v>1984380</v>
      </c>
      <c r="G36" s="9">
        <v>440000</v>
      </c>
      <c r="H36" s="2">
        <v>32</v>
      </c>
      <c r="I36" t="s">
        <v>22</v>
      </c>
    </row>
    <row r="37" spans="1:9" x14ac:dyDescent="0.35">
      <c r="A37" s="2" t="s">
        <v>1011</v>
      </c>
      <c r="B37" s="2" t="s">
        <v>4381</v>
      </c>
      <c r="C37" s="9">
        <v>1.1399999999999999</v>
      </c>
      <c r="D37" s="9">
        <v>941970</v>
      </c>
      <c r="E37" s="9">
        <v>0.87</v>
      </c>
      <c r="F37" s="9">
        <v>821970</v>
      </c>
      <c r="G37" s="9">
        <v>120000</v>
      </c>
      <c r="H37" s="2">
        <v>33</v>
      </c>
      <c r="I37" t="s">
        <v>22</v>
      </c>
    </row>
    <row r="38" spans="1:9" x14ac:dyDescent="0.35">
      <c r="A38" s="2" t="s">
        <v>1305</v>
      </c>
      <c r="B38" s="2" t="s">
        <v>4381</v>
      </c>
      <c r="C38" s="9">
        <v>1.07</v>
      </c>
      <c r="D38" s="9">
        <v>1757281</v>
      </c>
      <c r="E38" s="9">
        <v>0.85</v>
      </c>
      <c r="F38" s="9">
        <v>1503122</v>
      </c>
      <c r="G38" s="9">
        <v>254159</v>
      </c>
      <c r="H38" s="2">
        <v>34</v>
      </c>
      <c r="I38" t="s">
        <v>22</v>
      </c>
    </row>
    <row r="39" spans="1:9" x14ac:dyDescent="0.35">
      <c r="A39" s="2" t="s">
        <v>993</v>
      </c>
      <c r="B39" s="2" t="s">
        <v>4381</v>
      </c>
      <c r="C39" s="9">
        <v>1.03</v>
      </c>
      <c r="D39" s="9">
        <v>6732692</v>
      </c>
      <c r="E39" s="9">
        <v>1.1299999999999999</v>
      </c>
      <c r="F39" s="9">
        <v>6732692</v>
      </c>
      <c r="G39" s="9">
        <v>0</v>
      </c>
      <c r="H39" s="2">
        <v>35</v>
      </c>
      <c r="I39" t="s">
        <v>23</v>
      </c>
    </row>
    <row r="40" spans="1:9" x14ac:dyDescent="0.35">
      <c r="A40" s="2" t="s">
        <v>542</v>
      </c>
      <c r="B40" s="2" t="s">
        <v>4381</v>
      </c>
      <c r="C40" s="9">
        <v>0.93</v>
      </c>
      <c r="D40" s="9">
        <v>428363</v>
      </c>
      <c r="E40" s="9">
        <v>1.02</v>
      </c>
      <c r="F40" s="9">
        <v>428363</v>
      </c>
      <c r="G40" s="9">
        <v>0</v>
      </c>
      <c r="H40" s="2">
        <v>36</v>
      </c>
      <c r="I40" t="s">
        <v>23</v>
      </c>
    </row>
    <row r="41" spans="1:9" x14ac:dyDescent="0.35">
      <c r="A41" s="2" t="s">
        <v>906</v>
      </c>
      <c r="B41" s="2" t="s">
        <v>4381</v>
      </c>
      <c r="C41" s="9">
        <v>0.88</v>
      </c>
      <c r="D41" s="9">
        <v>3805180</v>
      </c>
      <c r="E41" s="9">
        <v>0.87</v>
      </c>
      <c r="F41" s="9">
        <v>3805180</v>
      </c>
      <c r="G41" s="9">
        <v>0</v>
      </c>
      <c r="H41" s="2">
        <v>37</v>
      </c>
      <c r="I41" t="s">
        <v>23</v>
      </c>
    </row>
    <row r="42" spans="1:9" x14ac:dyDescent="0.35">
      <c r="A42" s="2" t="s">
        <v>513</v>
      </c>
      <c r="B42" s="2" t="s">
        <v>4381</v>
      </c>
      <c r="C42" s="9">
        <v>0.85</v>
      </c>
      <c r="D42" s="9">
        <v>483872</v>
      </c>
      <c r="E42" s="9">
        <v>0.89</v>
      </c>
      <c r="F42" s="9">
        <v>483872</v>
      </c>
      <c r="G42" s="9">
        <v>0</v>
      </c>
      <c r="H42" s="66">
        <v>38</v>
      </c>
      <c r="I42" t="s">
        <v>23</v>
      </c>
    </row>
    <row r="43" spans="1:9" x14ac:dyDescent="0.35">
      <c r="A43" s="2" t="s">
        <v>1364</v>
      </c>
      <c r="B43" s="2" t="s">
        <v>4381</v>
      </c>
      <c r="C43" s="9">
        <v>0.8</v>
      </c>
      <c r="D43" s="9">
        <v>2440688</v>
      </c>
      <c r="E43" s="9">
        <v>0.83</v>
      </c>
      <c r="F43" s="9">
        <v>2440688</v>
      </c>
      <c r="G43" s="9">
        <v>0</v>
      </c>
      <c r="H43" s="2">
        <v>39</v>
      </c>
      <c r="I43" t="s">
        <v>23</v>
      </c>
    </row>
    <row r="44" spans="1:9" x14ac:dyDescent="0.35">
      <c r="A44" s="2" t="s">
        <v>529</v>
      </c>
      <c r="B44" s="2" t="s">
        <v>4381</v>
      </c>
      <c r="C44" s="9">
        <v>0.76</v>
      </c>
      <c r="D44" s="9">
        <v>1990068</v>
      </c>
      <c r="E44" s="9">
        <v>0.72</v>
      </c>
      <c r="F44" s="9">
        <v>1990068</v>
      </c>
      <c r="G44" s="9">
        <v>0</v>
      </c>
      <c r="H44" s="2">
        <v>40</v>
      </c>
      <c r="I44" t="s">
        <v>23</v>
      </c>
    </row>
    <row r="45" spans="1:9" x14ac:dyDescent="0.35">
      <c r="A45" s="2" t="s">
        <v>1187</v>
      </c>
      <c r="B45" s="2" t="s">
        <v>4381</v>
      </c>
      <c r="C45" s="9">
        <v>0.71</v>
      </c>
      <c r="D45" s="9">
        <v>1118822</v>
      </c>
      <c r="E45" s="9">
        <v>0.68</v>
      </c>
      <c r="F45" s="9">
        <v>1118822</v>
      </c>
      <c r="G45" s="9">
        <v>0</v>
      </c>
      <c r="H45" s="2">
        <v>41</v>
      </c>
      <c r="I45" t="s">
        <v>23</v>
      </c>
    </row>
    <row r="46" spans="1:9" x14ac:dyDescent="0.35">
      <c r="A46" s="2" t="s">
        <v>913</v>
      </c>
      <c r="B46" s="2" t="s">
        <v>4381</v>
      </c>
      <c r="C46" s="9">
        <v>0.64</v>
      </c>
      <c r="D46" s="9">
        <v>3873356</v>
      </c>
      <c r="E46" s="9">
        <v>0.66</v>
      </c>
      <c r="F46" s="9">
        <v>3873356</v>
      </c>
      <c r="G46" s="9">
        <v>0</v>
      </c>
      <c r="H46" s="2">
        <v>42</v>
      </c>
      <c r="I46" t="s">
        <v>23</v>
      </c>
    </row>
    <row r="47" spans="1:9" x14ac:dyDescent="0.35">
      <c r="A47" s="2" t="s">
        <v>5911</v>
      </c>
      <c r="B47" s="2" t="s">
        <v>4381</v>
      </c>
      <c r="C47" s="9">
        <v>0.64</v>
      </c>
      <c r="D47" s="9">
        <v>1216254</v>
      </c>
      <c r="E47" s="9">
        <v>0.66</v>
      </c>
      <c r="F47" s="9">
        <v>1216254</v>
      </c>
      <c r="G47" s="9">
        <v>0</v>
      </c>
      <c r="H47" s="2">
        <v>43</v>
      </c>
      <c r="I47" t="s">
        <v>23</v>
      </c>
    </row>
    <row r="48" spans="1:9" x14ac:dyDescent="0.35">
      <c r="A48" s="2" t="s">
        <v>1239</v>
      </c>
      <c r="B48" s="2" t="s">
        <v>4381</v>
      </c>
      <c r="C48" s="9">
        <v>0.61</v>
      </c>
      <c r="D48" s="9">
        <v>5040690</v>
      </c>
      <c r="E48" s="9">
        <v>0.61</v>
      </c>
      <c r="F48" s="9">
        <v>5040690</v>
      </c>
      <c r="G48" s="9">
        <v>0</v>
      </c>
      <c r="H48" s="2">
        <v>44</v>
      </c>
      <c r="I48" t="s">
        <v>23</v>
      </c>
    </row>
    <row r="49" spans="1:9" x14ac:dyDescent="0.35">
      <c r="A49" s="2" t="s">
        <v>1869</v>
      </c>
      <c r="B49" s="2" t="s">
        <v>4381</v>
      </c>
      <c r="C49" s="9">
        <v>0.6</v>
      </c>
      <c r="D49" s="9">
        <v>1377351</v>
      </c>
      <c r="E49" s="9">
        <v>0.55000000000000004</v>
      </c>
      <c r="F49" s="9">
        <v>1377351</v>
      </c>
      <c r="G49" s="9">
        <v>0</v>
      </c>
      <c r="H49" s="2">
        <v>45</v>
      </c>
      <c r="I49" t="s">
        <v>23</v>
      </c>
    </row>
    <row r="50" spans="1:9" x14ac:dyDescent="0.35">
      <c r="A50" s="2" t="s">
        <v>500</v>
      </c>
      <c r="B50" s="2" t="s">
        <v>4381</v>
      </c>
      <c r="C50" s="9">
        <v>0.59</v>
      </c>
      <c r="D50" s="9">
        <v>1499841</v>
      </c>
      <c r="E50" s="9">
        <v>0.61</v>
      </c>
      <c r="F50" s="9">
        <v>1499841</v>
      </c>
      <c r="G50" s="9">
        <v>0</v>
      </c>
      <c r="H50" s="2">
        <v>46</v>
      </c>
      <c r="I50" t="s">
        <v>23</v>
      </c>
    </row>
    <row r="51" spans="1:9" x14ac:dyDescent="0.35">
      <c r="A51" s="2" t="s">
        <v>1936</v>
      </c>
      <c r="B51" s="2" t="s">
        <v>4381</v>
      </c>
      <c r="C51" s="9">
        <v>0.56999999999999995</v>
      </c>
      <c r="D51" s="9">
        <v>1011983</v>
      </c>
      <c r="E51" s="9">
        <v>0.57999999999999996</v>
      </c>
      <c r="F51" s="9">
        <v>1011983</v>
      </c>
      <c r="G51" s="9">
        <v>0</v>
      </c>
      <c r="H51" s="2">
        <v>47</v>
      </c>
      <c r="I51" t="s">
        <v>23</v>
      </c>
    </row>
    <row r="52" spans="1:9" x14ac:dyDescent="0.35">
      <c r="A52" s="2" t="s">
        <v>413</v>
      </c>
      <c r="B52" s="2" t="s">
        <v>4381</v>
      </c>
      <c r="C52" s="9">
        <v>0.56999999999999995</v>
      </c>
      <c r="D52" s="9">
        <v>120509</v>
      </c>
      <c r="E52" s="9">
        <v>0.64</v>
      </c>
      <c r="F52" s="9">
        <v>120509</v>
      </c>
      <c r="G52" s="9">
        <v>0</v>
      </c>
      <c r="H52" s="2">
        <v>48</v>
      </c>
      <c r="I52" t="s">
        <v>23</v>
      </c>
    </row>
    <row r="53" spans="1:9" x14ac:dyDescent="0.35">
      <c r="A53" s="2" t="s">
        <v>929</v>
      </c>
      <c r="B53" s="2" t="s">
        <v>4381</v>
      </c>
      <c r="C53" s="9">
        <v>0.55000000000000004</v>
      </c>
      <c r="D53" s="9">
        <v>1530185</v>
      </c>
      <c r="E53" s="9">
        <v>0.6</v>
      </c>
      <c r="F53" s="9">
        <v>1530185</v>
      </c>
      <c r="G53" s="9">
        <v>0</v>
      </c>
      <c r="H53" s="2">
        <v>49</v>
      </c>
      <c r="I53" t="s">
        <v>23</v>
      </c>
    </row>
    <row r="54" spans="1:9" x14ac:dyDescent="0.35">
      <c r="A54" s="2" t="s">
        <v>558</v>
      </c>
      <c r="B54" s="2" t="s">
        <v>4381</v>
      </c>
      <c r="C54" s="9">
        <v>0.52</v>
      </c>
      <c r="D54" s="9">
        <v>184567</v>
      </c>
      <c r="E54" s="9">
        <v>0.57999999999999996</v>
      </c>
      <c r="F54" s="9">
        <v>184567</v>
      </c>
      <c r="G54" s="9">
        <v>0</v>
      </c>
      <c r="H54" s="2">
        <v>50</v>
      </c>
      <c r="I54" t="s">
        <v>23</v>
      </c>
    </row>
    <row r="55" spans="1:9" x14ac:dyDescent="0.35">
      <c r="A55" s="2" t="s">
        <v>904</v>
      </c>
      <c r="B55" s="2" t="s">
        <v>4381</v>
      </c>
      <c r="C55" s="9">
        <v>0.52</v>
      </c>
      <c r="D55" s="9">
        <v>708089</v>
      </c>
      <c r="E55" s="9">
        <v>0.48</v>
      </c>
      <c r="F55" s="9">
        <v>708089</v>
      </c>
      <c r="G55" s="9">
        <v>0</v>
      </c>
      <c r="H55" s="2">
        <v>51</v>
      </c>
      <c r="I55" t="s">
        <v>23</v>
      </c>
    </row>
    <row r="56" spans="1:9" x14ac:dyDescent="0.35">
      <c r="A56" s="2" t="s">
        <v>1030</v>
      </c>
      <c r="B56" s="2" t="s">
        <v>4381</v>
      </c>
      <c r="C56" s="9">
        <v>0.5</v>
      </c>
      <c r="D56" s="9">
        <v>631158</v>
      </c>
      <c r="E56" s="9">
        <v>0.5</v>
      </c>
      <c r="F56" s="9">
        <v>631158</v>
      </c>
      <c r="G56" s="9">
        <v>0</v>
      </c>
      <c r="H56" s="2">
        <v>52</v>
      </c>
      <c r="I56" t="s">
        <v>23</v>
      </c>
    </row>
    <row r="57" spans="1:9" x14ac:dyDescent="0.35">
      <c r="A57" s="2" t="s">
        <v>572</v>
      </c>
      <c r="B57" s="2" t="s">
        <v>4381</v>
      </c>
      <c r="C57" s="9">
        <v>0.49</v>
      </c>
      <c r="D57" s="9">
        <v>848832</v>
      </c>
      <c r="E57" s="9">
        <v>0.44</v>
      </c>
      <c r="F57" s="9">
        <v>848832</v>
      </c>
      <c r="G57" s="9">
        <v>0</v>
      </c>
      <c r="H57" s="2">
        <v>53</v>
      </c>
      <c r="I57" t="s">
        <v>23</v>
      </c>
    </row>
    <row r="58" spans="1:9" x14ac:dyDescent="0.35">
      <c r="A58" s="2" t="s">
        <v>165</v>
      </c>
      <c r="B58" s="2" t="s">
        <v>4381</v>
      </c>
      <c r="C58" s="9">
        <v>0.46</v>
      </c>
      <c r="D58" s="9">
        <v>1708266</v>
      </c>
      <c r="E58" s="9">
        <v>0.46</v>
      </c>
      <c r="F58" s="9">
        <v>1708266</v>
      </c>
      <c r="G58" s="9">
        <v>0</v>
      </c>
      <c r="H58" s="2">
        <v>54</v>
      </c>
      <c r="I58" t="s">
        <v>23</v>
      </c>
    </row>
    <row r="59" spans="1:9" x14ac:dyDescent="0.35">
      <c r="A59" s="2" t="s">
        <v>678</v>
      </c>
      <c r="B59" s="2" t="s">
        <v>4381</v>
      </c>
      <c r="C59" s="9">
        <v>0.46</v>
      </c>
      <c r="D59" s="9">
        <v>972418</v>
      </c>
      <c r="E59" s="9">
        <v>0.45</v>
      </c>
      <c r="F59" s="9">
        <v>972418</v>
      </c>
      <c r="G59" s="9">
        <v>0</v>
      </c>
      <c r="H59" s="2">
        <v>55</v>
      </c>
      <c r="I59" t="s">
        <v>23</v>
      </c>
    </row>
    <row r="60" spans="1:9" x14ac:dyDescent="0.35">
      <c r="A60" s="2" t="s">
        <v>303</v>
      </c>
      <c r="B60" s="2" t="s">
        <v>4381</v>
      </c>
      <c r="C60" s="9">
        <v>0.45</v>
      </c>
      <c r="D60" s="9">
        <v>312694</v>
      </c>
      <c r="E60" s="9">
        <v>0.5</v>
      </c>
      <c r="F60" s="9">
        <v>312694</v>
      </c>
      <c r="G60" s="9">
        <v>0</v>
      </c>
      <c r="H60" s="2">
        <v>56</v>
      </c>
      <c r="I60" t="s">
        <v>23</v>
      </c>
    </row>
    <row r="61" spans="1:9" x14ac:dyDescent="0.35">
      <c r="A61" s="2" t="s">
        <v>1084</v>
      </c>
      <c r="B61" s="2" t="s">
        <v>4381</v>
      </c>
      <c r="C61" s="9">
        <v>0.44</v>
      </c>
      <c r="D61" s="9">
        <v>172492</v>
      </c>
      <c r="E61" s="9">
        <v>0.42</v>
      </c>
      <c r="F61" s="9">
        <v>172492</v>
      </c>
      <c r="G61" s="9">
        <v>0</v>
      </c>
      <c r="H61" s="2">
        <v>57</v>
      </c>
      <c r="I61" t="s">
        <v>23</v>
      </c>
    </row>
    <row r="62" spans="1:9" x14ac:dyDescent="0.35">
      <c r="A62" s="2" t="s">
        <v>1183</v>
      </c>
      <c r="B62" s="2" t="s">
        <v>4381</v>
      </c>
      <c r="C62" s="9">
        <v>0.44</v>
      </c>
      <c r="D62" s="9">
        <v>5893109</v>
      </c>
      <c r="E62" s="9">
        <v>0.42</v>
      </c>
      <c r="F62" s="9">
        <v>5893109</v>
      </c>
      <c r="G62" s="9">
        <v>0</v>
      </c>
      <c r="H62" s="2">
        <v>58</v>
      </c>
      <c r="I62" t="s">
        <v>23</v>
      </c>
    </row>
    <row r="63" spans="1:9" x14ac:dyDescent="0.35">
      <c r="A63" s="2" t="s">
        <v>490</v>
      </c>
      <c r="B63" s="2" t="s">
        <v>4381</v>
      </c>
      <c r="C63" s="9">
        <v>0.42</v>
      </c>
      <c r="D63" s="9">
        <v>2099505</v>
      </c>
      <c r="E63" s="9">
        <v>0.5</v>
      </c>
      <c r="F63" s="9">
        <v>2099505</v>
      </c>
      <c r="G63" s="9">
        <v>0</v>
      </c>
      <c r="H63" s="2">
        <v>59</v>
      </c>
      <c r="I63" t="s">
        <v>23</v>
      </c>
    </row>
    <row r="64" spans="1:9" x14ac:dyDescent="0.35">
      <c r="A64" s="2" t="s">
        <v>5912</v>
      </c>
      <c r="B64" s="2" t="s">
        <v>4381</v>
      </c>
      <c r="C64" s="9">
        <v>0.42</v>
      </c>
      <c r="D64" s="9">
        <v>553587</v>
      </c>
      <c r="E64" s="9">
        <v>0.44</v>
      </c>
      <c r="F64" s="9">
        <v>553587</v>
      </c>
      <c r="G64" s="9">
        <v>0</v>
      </c>
      <c r="H64" s="2">
        <v>60</v>
      </c>
      <c r="I64" t="s">
        <v>23</v>
      </c>
    </row>
    <row r="65" spans="1:9" x14ac:dyDescent="0.35">
      <c r="A65" s="2" t="s">
        <v>1056</v>
      </c>
      <c r="B65" s="2" t="s">
        <v>4381</v>
      </c>
      <c r="C65" s="9">
        <v>0.41</v>
      </c>
      <c r="D65" s="9">
        <v>1970985</v>
      </c>
      <c r="E65" s="9">
        <v>0.34</v>
      </c>
      <c r="F65" s="9">
        <v>1721467</v>
      </c>
      <c r="G65" s="9">
        <v>249518</v>
      </c>
      <c r="H65" s="2">
        <v>61</v>
      </c>
      <c r="I65" t="s">
        <v>22</v>
      </c>
    </row>
    <row r="66" spans="1:9" x14ac:dyDescent="0.35">
      <c r="A66" s="2" t="s">
        <v>1382</v>
      </c>
      <c r="B66" s="2" t="s">
        <v>4381</v>
      </c>
      <c r="C66" s="9">
        <v>0.4</v>
      </c>
      <c r="D66" s="9">
        <v>1378796</v>
      </c>
      <c r="E66" s="9">
        <v>0.4</v>
      </c>
      <c r="F66" s="9">
        <v>1378796</v>
      </c>
      <c r="G66" s="9">
        <v>0</v>
      </c>
      <c r="H66" s="2">
        <v>62</v>
      </c>
      <c r="I66" t="s">
        <v>23</v>
      </c>
    </row>
    <row r="67" spans="1:9" x14ac:dyDescent="0.35">
      <c r="A67" s="2" t="s">
        <v>733</v>
      </c>
      <c r="B67" s="2" t="s">
        <v>4381</v>
      </c>
      <c r="C67" s="9">
        <v>0.4</v>
      </c>
      <c r="D67" s="9">
        <v>585452</v>
      </c>
      <c r="E67" s="9">
        <v>0.44</v>
      </c>
      <c r="F67" s="9">
        <v>585452</v>
      </c>
      <c r="G67" s="9">
        <v>0</v>
      </c>
      <c r="H67" s="2">
        <v>63</v>
      </c>
      <c r="I67" t="s">
        <v>23</v>
      </c>
    </row>
    <row r="68" spans="1:9" x14ac:dyDescent="0.35">
      <c r="A68" s="2" t="s">
        <v>1002</v>
      </c>
      <c r="B68" s="2" t="s">
        <v>4381</v>
      </c>
      <c r="C68" s="9">
        <v>0.38</v>
      </c>
      <c r="D68" s="9">
        <v>7349962</v>
      </c>
      <c r="E68" s="9">
        <v>0.38</v>
      </c>
      <c r="F68" s="9">
        <v>7349962</v>
      </c>
      <c r="G68" s="9">
        <v>0</v>
      </c>
      <c r="H68" s="2">
        <v>64</v>
      </c>
      <c r="I68" t="s">
        <v>23</v>
      </c>
    </row>
    <row r="69" spans="1:9" x14ac:dyDescent="0.35">
      <c r="A69" s="2" t="s">
        <v>643</v>
      </c>
      <c r="B69" s="2" t="s">
        <v>4381</v>
      </c>
      <c r="C69" s="9">
        <v>0.37</v>
      </c>
      <c r="D69" s="9">
        <v>1589977</v>
      </c>
      <c r="E69" s="9">
        <v>0.41</v>
      </c>
      <c r="F69" s="9">
        <v>1589977</v>
      </c>
      <c r="G69" s="9">
        <v>0</v>
      </c>
      <c r="H69" s="2">
        <v>65</v>
      </c>
      <c r="I69" t="s">
        <v>23</v>
      </c>
    </row>
    <row r="70" spans="1:9" x14ac:dyDescent="0.35">
      <c r="A70" s="2" t="s">
        <v>590</v>
      </c>
      <c r="B70" s="2" t="s">
        <v>4381</v>
      </c>
      <c r="C70" s="9">
        <v>0.36</v>
      </c>
      <c r="D70" s="9">
        <v>1563412</v>
      </c>
      <c r="E70" s="9">
        <v>0.35</v>
      </c>
      <c r="F70" s="9">
        <v>1563412</v>
      </c>
      <c r="G70" s="9">
        <v>0</v>
      </c>
      <c r="H70" s="2">
        <v>66</v>
      </c>
      <c r="I70" t="s">
        <v>23</v>
      </c>
    </row>
    <row r="71" spans="1:9" x14ac:dyDescent="0.35">
      <c r="A71" s="2" t="s">
        <v>498</v>
      </c>
      <c r="B71" s="2" t="s">
        <v>4381</v>
      </c>
      <c r="C71" s="9">
        <v>0.35</v>
      </c>
      <c r="D71" s="9">
        <v>410000</v>
      </c>
      <c r="E71" s="9">
        <v>0.36</v>
      </c>
      <c r="F71" s="9">
        <v>410000</v>
      </c>
      <c r="G71" s="9">
        <v>0</v>
      </c>
      <c r="H71" s="2">
        <v>67</v>
      </c>
      <c r="I71" t="s">
        <v>23</v>
      </c>
    </row>
    <row r="72" spans="1:9" x14ac:dyDescent="0.35">
      <c r="A72" s="2" t="s">
        <v>1987</v>
      </c>
      <c r="B72" s="2" t="s">
        <v>4381</v>
      </c>
      <c r="C72" s="9">
        <v>0.35</v>
      </c>
      <c r="D72" s="9">
        <v>2784736</v>
      </c>
      <c r="E72" s="9">
        <v>0.34</v>
      </c>
      <c r="F72" s="9">
        <v>2784736</v>
      </c>
      <c r="G72" s="9">
        <v>0</v>
      </c>
      <c r="H72" s="2">
        <v>68</v>
      </c>
      <c r="I72" t="s">
        <v>23</v>
      </c>
    </row>
    <row r="73" spans="1:9" x14ac:dyDescent="0.35">
      <c r="A73" s="2" t="s">
        <v>5913</v>
      </c>
      <c r="B73" s="2" t="s">
        <v>4381</v>
      </c>
      <c r="C73" s="9">
        <v>0.33</v>
      </c>
      <c r="D73" s="9">
        <v>295141</v>
      </c>
      <c r="E73" s="9">
        <v>0.31</v>
      </c>
      <c r="F73" s="9">
        <v>295141</v>
      </c>
      <c r="G73" s="9">
        <v>0</v>
      </c>
      <c r="H73" s="2">
        <v>69</v>
      </c>
      <c r="I73" t="s">
        <v>23</v>
      </c>
    </row>
    <row r="74" spans="1:9" x14ac:dyDescent="0.35">
      <c r="A74" s="2" t="s">
        <v>1181</v>
      </c>
      <c r="B74" s="2" t="s">
        <v>4381</v>
      </c>
      <c r="C74" s="9">
        <v>0.32</v>
      </c>
      <c r="D74" s="9">
        <v>1082451</v>
      </c>
      <c r="E74" s="9">
        <v>0.36</v>
      </c>
      <c r="F74" s="9">
        <v>1082451</v>
      </c>
      <c r="G74" s="9">
        <v>0</v>
      </c>
      <c r="H74" s="2">
        <v>70</v>
      </c>
      <c r="I74" t="s">
        <v>23</v>
      </c>
    </row>
    <row r="75" spans="1:9" x14ac:dyDescent="0.35">
      <c r="A75" s="2" t="s">
        <v>431</v>
      </c>
      <c r="B75" s="2" t="s">
        <v>4381</v>
      </c>
      <c r="C75" s="9">
        <v>0.28999999999999998</v>
      </c>
      <c r="D75" s="9">
        <v>637096</v>
      </c>
      <c r="E75" s="9">
        <v>0.3</v>
      </c>
      <c r="F75" s="9">
        <v>637096</v>
      </c>
      <c r="G75" s="9">
        <v>0</v>
      </c>
      <c r="H75" s="2">
        <v>71</v>
      </c>
      <c r="I75" t="s">
        <v>23</v>
      </c>
    </row>
    <row r="76" spans="1:9" x14ac:dyDescent="0.35">
      <c r="A76" s="2" t="s">
        <v>1054</v>
      </c>
      <c r="B76" s="2" t="s">
        <v>4381</v>
      </c>
      <c r="C76" s="9">
        <v>0.27</v>
      </c>
      <c r="D76" s="9">
        <v>1762629</v>
      </c>
      <c r="E76" s="9">
        <v>0.27</v>
      </c>
      <c r="F76" s="9">
        <v>1762629</v>
      </c>
      <c r="G76" s="9">
        <v>0</v>
      </c>
      <c r="H76" s="2">
        <v>72</v>
      </c>
      <c r="I76" t="s">
        <v>23</v>
      </c>
    </row>
    <row r="77" spans="1:9" x14ac:dyDescent="0.35">
      <c r="A77" s="2" t="s">
        <v>612</v>
      </c>
      <c r="B77" s="2" t="s">
        <v>4381</v>
      </c>
      <c r="C77" s="9">
        <v>0.24</v>
      </c>
      <c r="D77" s="9">
        <v>398973</v>
      </c>
      <c r="E77" s="9">
        <v>0.26</v>
      </c>
      <c r="F77" s="9">
        <v>398973</v>
      </c>
      <c r="G77" s="9">
        <v>0</v>
      </c>
      <c r="H77" s="2">
        <v>73</v>
      </c>
      <c r="I77" t="s">
        <v>23</v>
      </c>
    </row>
    <row r="78" spans="1:9" x14ac:dyDescent="0.35">
      <c r="A78" s="2" t="s">
        <v>686</v>
      </c>
      <c r="B78" s="2" t="s">
        <v>4381</v>
      </c>
      <c r="C78" s="9">
        <v>0.19</v>
      </c>
      <c r="D78" s="9">
        <v>460120</v>
      </c>
      <c r="E78" s="9">
        <v>0.2</v>
      </c>
      <c r="F78" s="9">
        <v>460120</v>
      </c>
      <c r="G78" s="9">
        <v>0</v>
      </c>
      <c r="H78" s="2">
        <v>74</v>
      </c>
      <c r="I78" t="s">
        <v>23</v>
      </c>
    </row>
    <row r="79" spans="1:9" x14ac:dyDescent="0.35">
      <c r="A79" s="2" t="s">
        <v>785</v>
      </c>
      <c r="B79" s="2" t="s">
        <v>4381</v>
      </c>
      <c r="C79" s="9">
        <v>0.19</v>
      </c>
      <c r="D79" s="9">
        <v>119845</v>
      </c>
      <c r="E79" s="9">
        <v>0.18</v>
      </c>
      <c r="F79" s="9">
        <v>119845</v>
      </c>
      <c r="G79" s="9">
        <v>0</v>
      </c>
      <c r="H79" s="2">
        <v>75</v>
      </c>
      <c r="I79" t="s">
        <v>23</v>
      </c>
    </row>
    <row r="80" spans="1:9" x14ac:dyDescent="0.35">
      <c r="A80" s="2" t="s">
        <v>449</v>
      </c>
      <c r="B80" s="2" t="s">
        <v>4381</v>
      </c>
      <c r="C80" s="9">
        <v>0.17</v>
      </c>
      <c r="D80" s="9">
        <v>110117</v>
      </c>
      <c r="E80" s="9">
        <v>0.15</v>
      </c>
      <c r="F80" s="9">
        <v>110117</v>
      </c>
      <c r="G80" s="9">
        <v>0</v>
      </c>
      <c r="H80" s="2">
        <v>76</v>
      </c>
      <c r="I80" t="s">
        <v>23</v>
      </c>
    </row>
    <row r="81" spans="1:9" x14ac:dyDescent="0.35">
      <c r="A81" s="2" t="s">
        <v>925</v>
      </c>
      <c r="B81" s="2" t="s">
        <v>4381</v>
      </c>
      <c r="C81" s="9">
        <v>0.17</v>
      </c>
      <c r="D81" s="9">
        <v>801580</v>
      </c>
      <c r="E81" s="9">
        <v>0</v>
      </c>
      <c r="F81" s="9">
        <v>0</v>
      </c>
      <c r="G81" s="9">
        <v>801580</v>
      </c>
      <c r="H81" s="2">
        <v>77</v>
      </c>
      <c r="I81" t="s">
        <v>32</v>
      </c>
    </row>
    <row r="82" spans="1:9" x14ac:dyDescent="0.35">
      <c r="A82" s="2" t="s">
        <v>66</v>
      </c>
      <c r="B82" s="2" t="s">
        <v>4381</v>
      </c>
      <c r="C82" s="9">
        <v>0.17</v>
      </c>
      <c r="D82" s="9">
        <v>53053</v>
      </c>
      <c r="E82" s="9">
        <v>0.19</v>
      </c>
      <c r="F82" s="9">
        <v>53053</v>
      </c>
      <c r="G82" s="9">
        <v>0</v>
      </c>
      <c r="H82" s="2">
        <v>78</v>
      </c>
      <c r="I82" t="s">
        <v>23</v>
      </c>
    </row>
    <row r="83" spans="1:9" x14ac:dyDescent="0.35">
      <c r="A83" s="2" t="s">
        <v>4384</v>
      </c>
      <c r="B83" s="2" t="s">
        <v>4381</v>
      </c>
      <c r="C83" s="9">
        <v>0.17</v>
      </c>
      <c r="D83" s="9">
        <v>665881</v>
      </c>
      <c r="E83" s="9">
        <v>0.17</v>
      </c>
      <c r="F83" s="9">
        <v>665881</v>
      </c>
      <c r="G83" s="9">
        <v>0</v>
      </c>
      <c r="H83" s="2">
        <v>79</v>
      </c>
      <c r="I83" t="s">
        <v>23</v>
      </c>
    </row>
    <row r="84" spans="1:9" x14ac:dyDescent="0.35">
      <c r="A84" s="2" t="s">
        <v>4385</v>
      </c>
      <c r="B84" s="2" t="s">
        <v>4381</v>
      </c>
      <c r="C84" s="9">
        <v>0.15</v>
      </c>
      <c r="D84" s="9">
        <v>127493</v>
      </c>
      <c r="E84" s="9">
        <v>0.15</v>
      </c>
      <c r="F84" s="9">
        <v>127493</v>
      </c>
      <c r="G84" s="9">
        <v>0</v>
      </c>
      <c r="H84" s="2">
        <v>80</v>
      </c>
      <c r="I84" t="s">
        <v>23</v>
      </c>
    </row>
    <row r="85" spans="1:9" x14ac:dyDescent="0.35">
      <c r="A85" s="2" t="s">
        <v>5914</v>
      </c>
      <c r="B85" s="2" t="s">
        <v>4381</v>
      </c>
      <c r="C85" s="9">
        <v>0.13</v>
      </c>
      <c r="D85" s="9">
        <v>80063</v>
      </c>
      <c r="E85" s="9">
        <v>0.14000000000000001</v>
      </c>
      <c r="F85" s="9">
        <v>80063</v>
      </c>
      <c r="G85" s="9">
        <v>0</v>
      </c>
      <c r="H85" s="2">
        <v>81</v>
      </c>
      <c r="I85" t="s">
        <v>23</v>
      </c>
    </row>
    <row r="86" spans="1:9" x14ac:dyDescent="0.35">
      <c r="A86" s="2" t="s">
        <v>794</v>
      </c>
      <c r="B86" s="2" t="s">
        <v>4381</v>
      </c>
      <c r="C86" s="9">
        <v>0.12</v>
      </c>
      <c r="D86" s="9">
        <v>235652</v>
      </c>
      <c r="E86" s="9">
        <v>0.11</v>
      </c>
      <c r="F86" s="9">
        <v>235652</v>
      </c>
      <c r="G86" s="9">
        <v>0</v>
      </c>
      <c r="H86" s="2">
        <v>82</v>
      </c>
      <c r="I86" t="s">
        <v>23</v>
      </c>
    </row>
    <row r="87" spans="1:9" x14ac:dyDescent="0.35">
      <c r="A87" s="2" t="s">
        <v>586</v>
      </c>
      <c r="B87" s="2" t="s">
        <v>4381</v>
      </c>
      <c r="C87" s="9">
        <v>0.09</v>
      </c>
      <c r="D87" s="9">
        <v>211695</v>
      </c>
      <c r="E87" s="9">
        <v>0.1</v>
      </c>
      <c r="F87" s="9">
        <v>211695</v>
      </c>
      <c r="G87" s="9">
        <v>0</v>
      </c>
      <c r="H87" s="2">
        <v>83</v>
      </c>
      <c r="I87" t="s">
        <v>23</v>
      </c>
    </row>
    <row r="88" spans="1:9" x14ac:dyDescent="0.35">
      <c r="A88" s="2" t="s">
        <v>552</v>
      </c>
      <c r="B88" s="2" t="s">
        <v>4381</v>
      </c>
      <c r="C88" s="9">
        <v>0.06</v>
      </c>
      <c r="D88" s="9">
        <v>1488754</v>
      </c>
      <c r="E88" s="9">
        <v>0.06</v>
      </c>
      <c r="F88" s="9">
        <v>1488754</v>
      </c>
      <c r="G88" s="9">
        <v>0</v>
      </c>
      <c r="H88" s="2">
        <v>84</v>
      </c>
      <c r="I88" t="s">
        <v>23</v>
      </c>
    </row>
    <row r="89" spans="1:9" x14ac:dyDescent="0.35">
      <c r="A89" s="2" t="s">
        <v>1408</v>
      </c>
      <c r="B89" s="2" t="s">
        <v>4381</v>
      </c>
      <c r="C89" s="9">
        <v>0.05</v>
      </c>
      <c r="D89" s="9">
        <v>205492</v>
      </c>
      <c r="E89" s="9">
        <v>0.05</v>
      </c>
      <c r="F89" s="9">
        <v>205492</v>
      </c>
      <c r="G89" s="9">
        <v>0</v>
      </c>
      <c r="H89" s="2">
        <v>85</v>
      </c>
      <c r="I89" t="s">
        <v>23</v>
      </c>
    </row>
    <row r="90" spans="1:9" x14ac:dyDescent="0.35">
      <c r="A90" s="2" t="s">
        <v>917</v>
      </c>
      <c r="B90" s="2" t="s">
        <v>4381</v>
      </c>
      <c r="C90" s="9">
        <v>0.04</v>
      </c>
      <c r="D90" s="9">
        <v>62745</v>
      </c>
      <c r="E90" s="9">
        <v>0.04</v>
      </c>
      <c r="F90" s="9">
        <v>62745</v>
      </c>
      <c r="G90" s="9">
        <v>0</v>
      </c>
      <c r="H90" s="2">
        <v>86</v>
      </c>
      <c r="I90" t="s">
        <v>23</v>
      </c>
    </row>
    <row r="91" spans="1:9" x14ac:dyDescent="0.35">
      <c r="A91" s="2" t="s">
        <v>604</v>
      </c>
      <c r="B91" s="2" t="s">
        <v>4381</v>
      </c>
      <c r="C91" s="9">
        <v>0.02</v>
      </c>
      <c r="D91" s="9">
        <v>15959</v>
      </c>
      <c r="E91" s="9">
        <v>0.02</v>
      </c>
      <c r="F91" s="9">
        <v>15959</v>
      </c>
      <c r="G91" s="9">
        <v>0</v>
      </c>
      <c r="H91" s="2">
        <v>87</v>
      </c>
      <c r="I91" t="s">
        <v>23</v>
      </c>
    </row>
    <row r="92" spans="1:9" x14ac:dyDescent="0.35">
      <c r="A92" s="2" t="s">
        <v>387</v>
      </c>
      <c r="B92" s="2" t="s">
        <v>4381</v>
      </c>
      <c r="C92" s="9">
        <v>0.02</v>
      </c>
      <c r="D92" s="9">
        <v>663</v>
      </c>
      <c r="E92" s="9">
        <v>0.02</v>
      </c>
      <c r="F92" s="9">
        <v>663</v>
      </c>
      <c r="G92" s="9">
        <v>0</v>
      </c>
      <c r="H92" s="2">
        <v>88</v>
      </c>
      <c r="I92" t="s">
        <v>23</v>
      </c>
    </row>
    <row r="93" spans="1:9" x14ac:dyDescent="0.35">
      <c r="A93" s="2" t="s">
        <v>759</v>
      </c>
      <c r="B93" s="2" t="s">
        <v>4381</v>
      </c>
      <c r="C93" s="9">
        <v>0.01</v>
      </c>
      <c r="D93" s="9">
        <v>61580</v>
      </c>
      <c r="E93" s="9">
        <v>0.01</v>
      </c>
      <c r="F93" s="9">
        <v>61580</v>
      </c>
      <c r="G93" s="9">
        <v>0</v>
      </c>
      <c r="H93" s="2">
        <v>89</v>
      </c>
      <c r="I93" t="s">
        <v>23</v>
      </c>
    </row>
    <row r="94" spans="1:9" x14ac:dyDescent="0.35">
      <c r="A94" s="2" t="s">
        <v>4386</v>
      </c>
      <c r="B94" s="2" t="s">
        <v>4381</v>
      </c>
      <c r="C94" s="9">
        <v>0.01</v>
      </c>
      <c r="D94" s="9">
        <v>17673</v>
      </c>
      <c r="E94" s="9">
        <v>0</v>
      </c>
      <c r="F94" s="9">
        <v>0</v>
      </c>
      <c r="G94" s="9">
        <v>17673</v>
      </c>
      <c r="H94" s="2">
        <v>90</v>
      </c>
      <c r="I94" t="s">
        <v>32</v>
      </c>
    </row>
    <row r="95" spans="1:9" x14ac:dyDescent="0.35">
      <c r="A95" s="2" t="s">
        <v>574</v>
      </c>
      <c r="B95" s="2" t="s">
        <v>4381</v>
      </c>
      <c r="C95" s="9">
        <v>0</v>
      </c>
      <c r="D95" s="9">
        <v>721</v>
      </c>
      <c r="E95" s="9">
        <v>0</v>
      </c>
      <c r="F95" s="9">
        <v>721</v>
      </c>
      <c r="G95" s="9">
        <v>0</v>
      </c>
      <c r="H95" s="2">
        <v>91</v>
      </c>
      <c r="I95" t="s">
        <v>23</v>
      </c>
    </row>
    <row r="96" spans="1:9" x14ac:dyDescent="0.35">
      <c r="A96" s="2" t="s">
        <v>1102</v>
      </c>
      <c r="B96" s="2" t="s">
        <v>4381</v>
      </c>
      <c r="C96" s="9">
        <v>0</v>
      </c>
      <c r="D96" s="9">
        <v>11427</v>
      </c>
      <c r="E96" s="9">
        <v>0</v>
      </c>
      <c r="F96" s="9">
        <v>11427</v>
      </c>
      <c r="G96" s="9">
        <v>0</v>
      </c>
      <c r="H96" s="2">
        <v>92</v>
      </c>
      <c r="I96" t="s">
        <v>23</v>
      </c>
    </row>
    <row r="97" spans="1:9" x14ac:dyDescent="0.35">
      <c r="A97" s="2" t="s">
        <v>592</v>
      </c>
      <c r="B97" s="2" t="s">
        <v>4381</v>
      </c>
      <c r="C97" s="9">
        <v>0</v>
      </c>
      <c r="D97" s="9">
        <v>0</v>
      </c>
      <c r="E97" s="9">
        <v>0</v>
      </c>
      <c r="F97" s="9">
        <v>0</v>
      </c>
      <c r="G97" s="9">
        <v>0</v>
      </c>
      <c r="H97" s="2">
        <v>93</v>
      </c>
      <c r="I97" t="s">
        <v>36</v>
      </c>
    </row>
    <row r="98" spans="1:9" x14ac:dyDescent="0.35">
      <c r="A98" s="2" t="s">
        <v>5915</v>
      </c>
      <c r="B98" s="2" t="s">
        <v>21</v>
      </c>
      <c r="C98" s="9">
        <v>10.3</v>
      </c>
      <c r="D98" s="9">
        <v>6366256</v>
      </c>
      <c r="E98" s="9">
        <v>9.41</v>
      </c>
      <c r="F98" s="9">
        <v>5499700</v>
      </c>
      <c r="G98" s="9">
        <v>866556</v>
      </c>
      <c r="H98" s="2">
        <v>1</v>
      </c>
      <c r="I98" t="s">
        <v>22</v>
      </c>
    </row>
    <row r="99" spans="1:9" x14ac:dyDescent="0.35">
      <c r="A99" s="2" t="s">
        <v>5916</v>
      </c>
      <c r="B99" s="2" t="s">
        <v>21</v>
      </c>
      <c r="C99" s="9">
        <v>8.64</v>
      </c>
      <c r="D99" s="9">
        <v>8830600</v>
      </c>
      <c r="E99" s="9">
        <v>8.3000000000000007</v>
      </c>
      <c r="F99" s="9">
        <v>8830600</v>
      </c>
      <c r="G99" s="9">
        <v>0</v>
      </c>
      <c r="H99" s="2">
        <v>2</v>
      </c>
      <c r="I99" t="s">
        <v>23</v>
      </c>
    </row>
    <row r="100" spans="1:9" x14ac:dyDescent="0.35">
      <c r="A100" s="2" t="s">
        <v>5917</v>
      </c>
      <c r="B100" s="2" t="s">
        <v>21</v>
      </c>
      <c r="C100" s="9">
        <v>6.49</v>
      </c>
      <c r="D100" s="9">
        <v>2598250</v>
      </c>
      <c r="E100" s="9">
        <v>6.66</v>
      </c>
      <c r="F100" s="9">
        <v>2598250</v>
      </c>
      <c r="G100" s="9">
        <v>0</v>
      </c>
      <c r="H100" s="2">
        <v>3</v>
      </c>
      <c r="I100" t="s">
        <v>23</v>
      </c>
    </row>
    <row r="101" spans="1:9" x14ac:dyDescent="0.35">
      <c r="A101" s="2" t="s">
        <v>5918</v>
      </c>
      <c r="B101" s="2" t="s">
        <v>21</v>
      </c>
      <c r="C101" s="9">
        <v>5.91</v>
      </c>
      <c r="D101" s="9">
        <v>4444142</v>
      </c>
      <c r="E101" s="9">
        <v>5.97</v>
      </c>
      <c r="F101" s="9">
        <v>4444142</v>
      </c>
      <c r="G101" s="9">
        <v>0</v>
      </c>
      <c r="H101" s="2">
        <v>4</v>
      </c>
      <c r="I101" t="s">
        <v>23</v>
      </c>
    </row>
    <row r="102" spans="1:9" x14ac:dyDescent="0.35">
      <c r="A102" s="2" t="s">
        <v>5919</v>
      </c>
      <c r="B102" s="2" t="s">
        <v>21</v>
      </c>
      <c r="C102" s="9">
        <v>4.41</v>
      </c>
      <c r="D102" s="9">
        <v>1678385</v>
      </c>
      <c r="E102" s="9">
        <v>4.18</v>
      </c>
      <c r="F102" s="9">
        <v>1678385</v>
      </c>
      <c r="G102" s="9">
        <v>0</v>
      </c>
      <c r="H102" s="2">
        <v>5</v>
      </c>
      <c r="I102" t="s">
        <v>23</v>
      </c>
    </row>
    <row r="103" spans="1:9" x14ac:dyDescent="0.35">
      <c r="A103" s="2" t="s">
        <v>5920</v>
      </c>
      <c r="B103" s="2" t="s">
        <v>21</v>
      </c>
      <c r="C103" s="9">
        <v>3.81</v>
      </c>
      <c r="D103" s="9">
        <v>8350000</v>
      </c>
      <c r="E103" s="9">
        <v>3.79</v>
      </c>
      <c r="F103" s="9">
        <v>8350000</v>
      </c>
      <c r="G103" s="9">
        <v>0</v>
      </c>
      <c r="H103" s="2">
        <v>6</v>
      </c>
      <c r="I103" t="s">
        <v>23</v>
      </c>
    </row>
    <row r="104" spans="1:9" x14ac:dyDescent="0.35">
      <c r="A104" s="2" t="s">
        <v>5921</v>
      </c>
      <c r="B104" s="2" t="s">
        <v>21</v>
      </c>
      <c r="C104" s="9">
        <v>3.36</v>
      </c>
      <c r="D104" s="9">
        <v>1002988</v>
      </c>
      <c r="E104" s="9">
        <v>3.33</v>
      </c>
      <c r="F104" s="9">
        <v>1002988</v>
      </c>
      <c r="G104" s="9">
        <v>0</v>
      </c>
      <c r="H104" s="2">
        <v>7</v>
      </c>
      <c r="I104" t="s">
        <v>23</v>
      </c>
    </row>
    <row r="105" spans="1:9" x14ac:dyDescent="0.35">
      <c r="A105" s="2" t="s">
        <v>5922</v>
      </c>
      <c r="B105" s="2" t="s">
        <v>21</v>
      </c>
      <c r="C105" s="9">
        <v>3.33</v>
      </c>
      <c r="D105" s="9">
        <v>465934</v>
      </c>
      <c r="E105" s="9">
        <v>3.26</v>
      </c>
      <c r="F105" s="9">
        <v>453434</v>
      </c>
      <c r="G105" s="9">
        <v>12500</v>
      </c>
      <c r="H105" s="2">
        <v>8</v>
      </c>
      <c r="I105" t="s">
        <v>22</v>
      </c>
    </row>
    <row r="106" spans="1:9" x14ac:dyDescent="0.35">
      <c r="A106" s="2" t="s">
        <v>24</v>
      </c>
      <c r="B106" s="2" t="s">
        <v>21</v>
      </c>
      <c r="C106" s="9">
        <v>3.29</v>
      </c>
      <c r="D106" s="9">
        <v>3770316</v>
      </c>
      <c r="E106" s="9">
        <v>3.53</v>
      </c>
      <c r="F106" s="9">
        <v>3995316</v>
      </c>
      <c r="G106" s="9">
        <v>-225000</v>
      </c>
      <c r="H106" s="2">
        <v>9</v>
      </c>
      <c r="I106" t="s">
        <v>25</v>
      </c>
    </row>
    <row r="107" spans="1:9" x14ac:dyDescent="0.35">
      <c r="A107" s="2" t="s">
        <v>26</v>
      </c>
      <c r="B107" s="2" t="s">
        <v>21</v>
      </c>
      <c r="C107" s="9">
        <v>3.24</v>
      </c>
      <c r="D107" s="9">
        <v>3464200</v>
      </c>
      <c r="E107" s="9">
        <v>3.59</v>
      </c>
      <c r="F107" s="9">
        <v>3614200</v>
      </c>
      <c r="G107" s="9">
        <v>-150000</v>
      </c>
      <c r="H107" s="2">
        <v>10</v>
      </c>
      <c r="I107" t="s">
        <v>25</v>
      </c>
    </row>
    <row r="108" spans="1:9" x14ac:dyDescent="0.35">
      <c r="A108" s="2" t="s">
        <v>27</v>
      </c>
      <c r="B108" s="2" t="s">
        <v>21</v>
      </c>
      <c r="C108" s="9">
        <v>3.22</v>
      </c>
      <c r="D108" s="9">
        <v>5300000</v>
      </c>
      <c r="E108" s="9">
        <v>3.05</v>
      </c>
      <c r="F108" s="9">
        <v>5300000</v>
      </c>
      <c r="G108" s="9">
        <v>0</v>
      </c>
      <c r="H108" s="2">
        <v>11</v>
      </c>
      <c r="I108" t="s">
        <v>23</v>
      </c>
    </row>
    <row r="109" spans="1:9" x14ac:dyDescent="0.35">
      <c r="A109" s="2" t="s">
        <v>28</v>
      </c>
      <c r="B109" s="2" t="s">
        <v>21</v>
      </c>
      <c r="C109" s="9">
        <v>2.66</v>
      </c>
      <c r="D109" s="9">
        <v>326152</v>
      </c>
      <c r="E109" s="9">
        <v>2.93</v>
      </c>
      <c r="F109" s="9">
        <v>351152</v>
      </c>
      <c r="G109" s="9">
        <v>-25000</v>
      </c>
      <c r="H109" s="2">
        <v>12</v>
      </c>
      <c r="I109" t="s">
        <v>25</v>
      </c>
    </row>
    <row r="110" spans="1:9" x14ac:dyDescent="0.35">
      <c r="A110" s="2" t="s">
        <v>29</v>
      </c>
      <c r="B110" s="2" t="s">
        <v>21</v>
      </c>
      <c r="C110" s="9">
        <v>2.5499999999999998</v>
      </c>
      <c r="D110" s="9">
        <v>1015800</v>
      </c>
      <c r="E110" s="9">
        <v>3</v>
      </c>
      <c r="F110" s="9">
        <v>1115800</v>
      </c>
      <c r="G110" s="9">
        <v>-100000</v>
      </c>
      <c r="H110" s="2">
        <v>13</v>
      </c>
      <c r="I110" t="s">
        <v>25</v>
      </c>
    </row>
    <row r="111" spans="1:9" x14ac:dyDescent="0.35">
      <c r="A111" s="2" t="s">
        <v>5923</v>
      </c>
      <c r="B111" s="2" t="s">
        <v>21</v>
      </c>
      <c r="C111" s="9">
        <v>2.2599999999999998</v>
      </c>
      <c r="D111" s="9">
        <v>2019500</v>
      </c>
      <c r="E111" s="9">
        <v>1.95</v>
      </c>
      <c r="F111" s="9">
        <v>1844500</v>
      </c>
      <c r="G111" s="9">
        <v>175000</v>
      </c>
      <c r="H111" s="2">
        <v>14</v>
      </c>
      <c r="I111" t="s">
        <v>22</v>
      </c>
    </row>
    <row r="112" spans="1:9" x14ac:dyDescent="0.35">
      <c r="A112" s="2" t="s">
        <v>5924</v>
      </c>
      <c r="B112" s="2" t="s">
        <v>21</v>
      </c>
      <c r="C112" s="9">
        <v>2.04</v>
      </c>
      <c r="D112" s="9">
        <v>211400</v>
      </c>
      <c r="E112" s="9">
        <v>2.08</v>
      </c>
      <c r="F112" s="9">
        <v>211400</v>
      </c>
      <c r="G112" s="9">
        <v>0</v>
      </c>
      <c r="H112" s="2">
        <v>15</v>
      </c>
      <c r="I112" t="s">
        <v>23</v>
      </c>
    </row>
    <row r="113" spans="1:9" x14ac:dyDescent="0.35">
      <c r="A113" s="2" t="s">
        <v>5925</v>
      </c>
      <c r="B113" s="2" t="s">
        <v>21</v>
      </c>
      <c r="C113" s="9">
        <v>2</v>
      </c>
      <c r="D113" s="9">
        <v>1098750</v>
      </c>
      <c r="E113" s="9">
        <v>2.04</v>
      </c>
      <c r="F113" s="9">
        <v>1098750</v>
      </c>
      <c r="G113" s="9">
        <v>0</v>
      </c>
      <c r="H113" s="2">
        <v>16</v>
      </c>
      <c r="I113" t="s">
        <v>23</v>
      </c>
    </row>
    <row r="114" spans="1:9" x14ac:dyDescent="0.35">
      <c r="A114" s="2" t="s">
        <v>5926</v>
      </c>
      <c r="B114" s="2" t="s">
        <v>21</v>
      </c>
      <c r="C114" s="9">
        <v>1.92</v>
      </c>
      <c r="D114" s="9">
        <v>8950000</v>
      </c>
      <c r="E114" s="9">
        <v>1.56</v>
      </c>
      <c r="F114" s="9">
        <v>8200000</v>
      </c>
      <c r="G114" s="9">
        <v>750000</v>
      </c>
      <c r="H114" s="2">
        <v>17</v>
      </c>
      <c r="I114" t="s">
        <v>22</v>
      </c>
    </row>
    <row r="115" spans="1:9" x14ac:dyDescent="0.35">
      <c r="A115" s="2" t="s">
        <v>5927</v>
      </c>
      <c r="B115" s="2" t="s">
        <v>21</v>
      </c>
      <c r="C115" s="9">
        <v>1.72</v>
      </c>
      <c r="D115" s="9">
        <v>2725000</v>
      </c>
      <c r="E115" s="9">
        <v>1.63</v>
      </c>
      <c r="F115" s="9">
        <v>2725000</v>
      </c>
      <c r="G115" s="9">
        <v>0</v>
      </c>
      <c r="H115" s="2">
        <v>18</v>
      </c>
      <c r="I115" t="s">
        <v>23</v>
      </c>
    </row>
    <row r="116" spans="1:9" x14ac:dyDescent="0.35">
      <c r="A116" s="2" t="s">
        <v>5928</v>
      </c>
      <c r="B116" s="2" t="s">
        <v>21</v>
      </c>
      <c r="C116" s="9">
        <v>1.68</v>
      </c>
      <c r="D116" s="9">
        <v>1517952</v>
      </c>
      <c r="E116" s="9">
        <v>1.74</v>
      </c>
      <c r="F116" s="9">
        <v>1517952</v>
      </c>
      <c r="G116" s="9">
        <v>0</v>
      </c>
      <c r="H116" s="2">
        <v>19</v>
      </c>
      <c r="I116" t="s">
        <v>23</v>
      </c>
    </row>
    <row r="117" spans="1:9" x14ac:dyDescent="0.35">
      <c r="A117" s="2" t="s">
        <v>5929</v>
      </c>
      <c r="B117" s="2" t="s">
        <v>21</v>
      </c>
      <c r="C117" s="9">
        <v>1.44</v>
      </c>
      <c r="D117" s="9">
        <v>1312000</v>
      </c>
      <c r="E117" s="9">
        <v>1.57</v>
      </c>
      <c r="F117" s="9">
        <v>1312000</v>
      </c>
      <c r="G117" s="9">
        <v>0</v>
      </c>
      <c r="H117" s="2">
        <v>20</v>
      </c>
      <c r="I117" t="s">
        <v>23</v>
      </c>
    </row>
    <row r="118" spans="1:9" x14ac:dyDescent="0.35">
      <c r="A118" s="2" t="s">
        <v>5930</v>
      </c>
      <c r="B118" s="2" t="s">
        <v>21</v>
      </c>
      <c r="C118" s="9">
        <v>1.43</v>
      </c>
      <c r="D118" s="9">
        <v>487200</v>
      </c>
      <c r="E118" s="9">
        <v>1.49</v>
      </c>
      <c r="F118" s="9">
        <v>487200</v>
      </c>
      <c r="G118" s="9">
        <v>0</v>
      </c>
      <c r="H118" s="2">
        <v>21</v>
      </c>
      <c r="I118" t="s">
        <v>23</v>
      </c>
    </row>
    <row r="119" spans="1:9" x14ac:dyDescent="0.35">
      <c r="A119" s="2" t="s">
        <v>5931</v>
      </c>
      <c r="B119" s="2" t="s">
        <v>21</v>
      </c>
      <c r="C119" s="9">
        <v>1.37</v>
      </c>
      <c r="D119" s="9">
        <v>985000</v>
      </c>
      <c r="E119" s="9">
        <v>1.17</v>
      </c>
      <c r="F119" s="9">
        <v>850000</v>
      </c>
      <c r="G119" s="9">
        <v>135000</v>
      </c>
      <c r="H119" s="2">
        <v>22</v>
      </c>
      <c r="I119" t="s">
        <v>22</v>
      </c>
    </row>
    <row r="120" spans="1:9" x14ac:dyDescent="0.35">
      <c r="A120" s="2" t="s">
        <v>5932</v>
      </c>
      <c r="B120" s="2" t="s">
        <v>21</v>
      </c>
      <c r="C120" s="9">
        <v>1.29</v>
      </c>
      <c r="D120" s="9">
        <v>10050000</v>
      </c>
      <c r="E120" s="9">
        <v>1.21</v>
      </c>
      <c r="F120" s="9">
        <v>9550000</v>
      </c>
      <c r="G120" s="9">
        <v>500000</v>
      </c>
      <c r="H120" s="2">
        <v>23</v>
      </c>
      <c r="I120" t="s">
        <v>22</v>
      </c>
    </row>
    <row r="121" spans="1:9" x14ac:dyDescent="0.35">
      <c r="A121" s="2" t="s">
        <v>30</v>
      </c>
      <c r="B121" s="2" t="s">
        <v>21</v>
      </c>
      <c r="C121" s="9">
        <v>1.25</v>
      </c>
      <c r="D121" s="9">
        <v>865000</v>
      </c>
      <c r="E121" s="9">
        <v>1.7</v>
      </c>
      <c r="F121" s="9">
        <v>1165000</v>
      </c>
      <c r="G121" s="9">
        <v>-300000</v>
      </c>
      <c r="H121" s="2">
        <v>24</v>
      </c>
      <c r="I121" t="s">
        <v>25</v>
      </c>
    </row>
    <row r="122" spans="1:9" x14ac:dyDescent="0.35">
      <c r="A122" s="2" t="s">
        <v>5933</v>
      </c>
      <c r="B122" s="2" t="s">
        <v>21</v>
      </c>
      <c r="C122" s="9">
        <v>1.24</v>
      </c>
      <c r="D122" s="9">
        <v>1245000</v>
      </c>
      <c r="E122" s="9">
        <v>1.1399999999999999</v>
      </c>
      <c r="F122" s="9">
        <v>1245000</v>
      </c>
      <c r="G122" s="9">
        <v>0</v>
      </c>
      <c r="H122" s="2">
        <v>25</v>
      </c>
      <c r="I122" t="s">
        <v>23</v>
      </c>
    </row>
    <row r="123" spans="1:9" x14ac:dyDescent="0.35">
      <c r="A123" s="2" t="s">
        <v>5934</v>
      </c>
      <c r="B123" s="2" t="s">
        <v>21</v>
      </c>
      <c r="C123" s="9">
        <v>1.23</v>
      </c>
      <c r="D123" s="9">
        <v>316307</v>
      </c>
      <c r="E123" s="9">
        <v>1.2</v>
      </c>
      <c r="F123" s="9">
        <v>316307</v>
      </c>
      <c r="G123" s="9">
        <v>0</v>
      </c>
      <c r="H123" s="2">
        <v>26</v>
      </c>
      <c r="I123" t="s">
        <v>23</v>
      </c>
    </row>
    <row r="124" spans="1:9" x14ac:dyDescent="0.35">
      <c r="A124" s="2" t="s">
        <v>31</v>
      </c>
      <c r="B124" s="2" t="s">
        <v>21</v>
      </c>
      <c r="C124" s="9">
        <v>1.22</v>
      </c>
      <c r="D124" s="9">
        <v>272500</v>
      </c>
      <c r="E124" s="9">
        <v>1.32</v>
      </c>
      <c r="F124" s="9">
        <v>297500</v>
      </c>
      <c r="G124" s="9">
        <v>-25000</v>
      </c>
      <c r="H124" s="2">
        <v>27</v>
      </c>
      <c r="I124" t="s">
        <v>25</v>
      </c>
    </row>
    <row r="125" spans="1:9" x14ac:dyDescent="0.35">
      <c r="A125" s="2" t="s">
        <v>5935</v>
      </c>
      <c r="B125" s="2" t="s">
        <v>21</v>
      </c>
      <c r="C125" s="9">
        <v>1.1200000000000001</v>
      </c>
      <c r="D125" s="9">
        <v>232500</v>
      </c>
      <c r="E125" s="9">
        <v>1.1000000000000001</v>
      </c>
      <c r="F125" s="9">
        <v>232500</v>
      </c>
      <c r="G125" s="9">
        <v>0</v>
      </c>
      <c r="H125" s="2">
        <v>28</v>
      </c>
      <c r="I125" t="s">
        <v>23</v>
      </c>
    </row>
    <row r="126" spans="1:9" x14ac:dyDescent="0.35">
      <c r="A126" s="2" t="s">
        <v>5936</v>
      </c>
      <c r="B126" s="2" t="s">
        <v>21</v>
      </c>
      <c r="C126" s="9">
        <v>1.1100000000000001</v>
      </c>
      <c r="D126" s="9">
        <v>434831</v>
      </c>
      <c r="E126" s="9">
        <v>1.1499999999999999</v>
      </c>
      <c r="F126" s="9">
        <v>434831</v>
      </c>
      <c r="G126" s="9">
        <v>0</v>
      </c>
      <c r="H126" s="2">
        <v>29</v>
      </c>
      <c r="I126" t="s">
        <v>23</v>
      </c>
    </row>
    <row r="127" spans="1:9" x14ac:dyDescent="0.35">
      <c r="A127" s="2" t="s">
        <v>5937</v>
      </c>
      <c r="B127" s="2" t="s">
        <v>21</v>
      </c>
      <c r="C127" s="9">
        <v>1</v>
      </c>
      <c r="D127" s="9">
        <v>8300000</v>
      </c>
      <c r="E127" s="9">
        <v>0.93</v>
      </c>
      <c r="F127" s="9">
        <v>8300000</v>
      </c>
      <c r="G127" s="9">
        <v>0</v>
      </c>
      <c r="H127" s="2">
        <v>30</v>
      </c>
      <c r="I127" t="s">
        <v>23</v>
      </c>
    </row>
    <row r="128" spans="1:9" x14ac:dyDescent="0.35">
      <c r="A128" s="2" t="s">
        <v>5938</v>
      </c>
      <c r="B128" s="2" t="s">
        <v>21</v>
      </c>
      <c r="C128" s="9">
        <v>0.99</v>
      </c>
      <c r="D128" s="9">
        <v>1703698</v>
      </c>
      <c r="E128" s="9">
        <v>1.03</v>
      </c>
      <c r="F128" s="9">
        <v>1703698</v>
      </c>
      <c r="G128" s="9">
        <v>0</v>
      </c>
      <c r="H128" s="2">
        <v>31</v>
      </c>
      <c r="I128" t="s">
        <v>23</v>
      </c>
    </row>
    <row r="129" spans="1:9" x14ac:dyDescent="0.35">
      <c r="A129" s="2" t="s">
        <v>5939</v>
      </c>
      <c r="B129" s="2" t="s">
        <v>21</v>
      </c>
      <c r="C129" s="9">
        <v>0.98</v>
      </c>
      <c r="D129" s="9">
        <v>780000</v>
      </c>
      <c r="E129" s="9">
        <v>1.02</v>
      </c>
      <c r="F129" s="9">
        <v>780000</v>
      </c>
      <c r="G129" s="9">
        <v>0</v>
      </c>
      <c r="H129" s="2">
        <v>32</v>
      </c>
      <c r="I129" t="s">
        <v>23</v>
      </c>
    </row>
    <row r="130" spans="1:9" x14ac:dyDescent="0.35">
      <c r="A130" s="2" t="s">
        <v>5940</v>
      </c>
      <c r="B130" s="2" t="s">
        <v>21</v>
      </c>
      <c r="C130" s="9">
        <v>0.96</v>
      </c>
      <c r="D130" s="9">
        <v>40552</v>
      </c>
      <c r="E130" s="9">
        <v>0.95</v>
      </c>
      <c r="F130" s="9">
        <v>40552</v>
      </c>
      <c r="G130" s="9">
        <v>0</v>
      </c>
      <c r="H130" s="2">
        <v>33</v>
      </c>
      <c r="I130" t="s">
        <v>23</v>
      </c>
    </row>
    <row r="131" spans="1:9" x14ac:dyDescent="0.35">
      <c r="A131" s="2" t="s">
        <v>5941</v>
      </c>
      <c r="B131" s="2" t="s">
        <v>21</v>
      </c>
      <c r="C131" s="9">
        <v>0.92</v>
      </c>
      <c r="D131" s="9">
        <v>260185</v>
      </c>
      <c r="E131" s="9">
        <v>1.03</v>
      </c>
      <c r="F131" s="9">
        <v>260185</v>
      </c>
      <c r="G131" s="9">
        <v>0</v>
      </c>
      <c r="H131" s="2">
        <v>34</v>
      </c>
      <c r="I131" t="s">
        <v>23</v>
      </c>
    </row>
    <row r="132" spans="1:9" x14ac:dyDescent="0.35">
      <c r="A132" s="2" t="s">
        <v>5942</v>
      </c>
      <c r="B132" s="2" t="s">
        <v>21</v>
      </c>
      <c r="C132" s="9">
        <v>0.81</v>
      </c>
      <c r="D132" s="9">
        <v>1450000</v>
      </c>
      <c r="E132" s="9">
        <v>0.75</v>
      </c>
      <c r="F132" s="9">
        <v>1450000</v>
      </c>
      <c r="G132" s="9">
        <v>0</v>
      </c>
      <c r="H132" s="2">
        <v>35</v>
      </c>
      <c r="I132" t="s">
        <v>23</v>
      </c>
    </row>
    <row r="133" spans="1:9" x14ac:dyDescent="0.35">
      <c r="A133" s="2" t="s">
        <v>5943</v>
      </c>
      <c r="B133" s="2" t="s">
        <v>21</v>
      </c>
      <c r="C133" s="9">
        <v>0.77</v>
      </c>
      <c r="D133" s="9">
        <v>208600</v>
      </c>
      <c r="E133" s="9">
        <v>0.82</v>
      </c>
      <c r="F133" s="9">
        <v>208600</v>
      </c>
      <c r="G133" s="9">
        <v>0</v>
      </c>
      <c r="H133" s="2">
        <v>36</v>
      </c>
      <c r="I133" t="s">
        <v>23</v>
      </c>
    </row>
    <row r="134" spans="1:9" x14ac:dyDescent="0.35">
      <c r="A134" s="2" t="s">
        <v>5944</v>
      </c>
      <c r="B134" s="2" t="s">
        <v>21</v>
      </c>
      <c r="C134" s="9">
        <v>0.76</v>
      </c>
      <c r="D134" s="9">
        <v>20489</v>
      </c>
      <c r="E134" s="9">
        <v>0.78</v>
      </c>
      <c r="F134" s="9">
        <v>20489</v>
      </c>
      <c r="G134" s="9">
        <v>0</v>
      </c>
      <c r="H134" s="2">
        <v>37</v>
      </c>
      <c r="I134" t="s">
        <v>23</v>
      </c>
    </row>
    <row r="135" spans="1:9" x14ac:dyDescent="0.35">
      <c r="A135" s="2" t="s">
        <v>5945</v>
      </c>
      <c r="B135" s="2" t="s">
        <v>21</v>
      </c>
      <c r="C135" s="9">
        <v>0.67</v>
      </c>
      <c r="D135" s="9">
        <v>2598250</v>
      </c>
      <c r="E135" s="9">
        <v>0</v>
      </c>
      <c r="F135" s="9">
        <v>0</v>
      </c>
      <c r="G135" s="9">
        <v>2598250</v>
      </c>
      <c r="H135" s="2">
        <v>38</v>
      </c>
      <c r="I135" t="s">
        <v>32</v>
      </c>
    </row>
    <row r="136" spans="1:9" x14ac:dyDescent="0.35">
      <c r="A136" s="2" t="s">
        <v>5946</v>
      </c>
      <c r="B136" s="2" t="s">
        <v>21</v>
      </c>
      <c r="C136" s="9">
        <v>0.62</v>
      </c>
      <c r="D136" s="9">
        <v>736324</v>
      </c>
      <c r="E136" s="9">
        <v>0.64</v>
      </c>
      <c r="F136" s="9">
        <v>736324</v>
      </c>
      <c r="G136" s="9">
        <v>0</v>
      </c>
      <c r="H136" s="2">
        <v>39</v>
      </c>
      <c r="I136" t="s">
        <v>23</v>
      </c>
    </row>
    <row r="137" spans="1:9" x14ac:dyDescent="0.35">
      <c r="A137" s="2" t="s">
        <v>33</v>
      </c>
      <c r="B137" s="2" t="s">
        <v>21</v>
      </c>
      <c r="C137" s="9">
        <v>0.6</v>
      </c>
      <c r="D137" s="9">
        <v>1550000</v>
      </c>
      <c r="E137" s="9">
        <v>0.69</v>
      </c>
      <c r="F137" s="9">
        <v>1750000</v>
      </c>
      <c r="G137" s="9">
        <v>-200000</v>
      </c>
      <c r="H137" s="2">
        <v>40</v>
      </c>
      <c r="I137" t="s">
        <v>25</v>
      </c>
    </row>
    <row r="138" spans="1:9" x14ac:dyDescent="0.35">
      <c r="A138" s="2" t="s">
        <v>5947</v>
      </c>
      <c r="B138" s="2" t="s">
        <v>21</v>
      </c>
      <c r="C138" s="9">
        <v>0.55000000000000004</v>
      </c>
      <c r="D138" s="9">
        <v>100000</v>
      </c>
      <c r="E138" s="9">
        <v>0</v>
      </c>
      <c r="F138" s="9">
        <v>0</v>
      </c>
      <c r="G138" s="9">
        <v>100000</v>
      </c>
      <c r="H138" s="2">
        <v>41</v>
      </c>
      <c r="I138" t="s">
        <v>32</v>
      </c>
    </row>
    <row r="139" spans="1:9" x14ac:dyDescent="0.35">
      <c r="A139" s="2" t="s">
        <v>5948</v>
      </c>
      <c r="B139" s="2" t="s">
        <v>21</v>
      </c>
      <c r="C139" s="9">
        <v>0.46</v>
      </c>
      <c r="D139" s="9">
        <v>1020000</v>
      </c>
      <c r="E139" s="9">
        <v>0.43</v>
      </c>
      <c r="F139" s="9">
        <v>1020000</v>
      </c>
      <c r="G139" s="9">
        <v>0</v>
      </c>
      <c r="H139" s="2">
        <v>42</v>
      </c>
      <c r="I139" t="s">
        <v>23</v>
      </c>
    </row>
    <row r="140" spans="1:9" x14ac:dyDescent="0.35">
      <c r="A140" s="2" t="s">
        <v>34</v>
      </c>
      <c r="B140" s="2" t="s">
        <v>21</v>
      </c>
      <c r="C140" s="9">
        <v>0</v>
      </c>
      <c r="D140" s="9">
        <v>0</v>
      </c>
      <c r="E140" s="9">
        <v>2.48</v>
      </c>
      <c r="F140" s="9">
        <v>872950</v>
      </c>
      <c r="G140" s="9">
        <v>-872950</v>
      </c>
      <c r="H140" s="2">
        <v>43</v>
      </c>
      <c r="I140" t="s">
        <v>25</v>
      </c>
    </row>
    <row r="141" spans="1:9" x14ac:dyDescent="0.35">
      <c r="A141" s="2" t="s">
        <v>35</v>
      </c>
      <c r="B141" s="2" t="s">
        <v>21</v>
      </c>
      <c r="C141" s="9">
        <v>0</v>
      </c>
      <c r="D141" s="9">
        <v>0</v>
      </c>
      <c r="E141" s="9">
        <v>0</v>
      </c>
      <c r="F141" s="9">
        <v>0</v>
      </c>
      <c r="G141" s="9">
        <v>0</v>
      </c>
      <c r="H141" s="2">
        <v>44</v>
      </c>
      <c r="I141" t="s">
        <v>36</v>
      </c>
    </row>
    <row r="142" spans="1:9" x14ac:dyDescent="0.35">
      <c r="A142" s="2" t="s">
        <v>37</v>
      </c>
      <c r="B142" s="2" t="s">
        <v>21</v>
      </c>
      <c r="C142" s="9">
        <v>0</v>
      </c>
      <c r="D142" s="9">
        <v>0</v>
      </c>
      <c r="E142" s="9">
        <v>0.05</v>
      </c>
      <c r="F142" s="9">
        <v>108394</v>
      </c>
      <c r="G142" s="9">
        <v>-108394</v>
      </c>
      <c r="H142" s="2">
        <v>45</v>
      </c>
      <c r="I142" t="s">
        <v>25</v>
      </c>
    </row>
    <row r="143" spans="1:9" x14ac:dyDescent="0.35">
      <c r="A143" s="2" t="s">
        <v>4387</v>
      </c>
      <c r="B143" s="2" t="s">
        <v>4388</v>
      </c>
      <c r="C143" s="9">
        <v>9.82</v>
      </c>
      <c r="D143" s="9">
        <v>39610273</v>
      </c>
      <c r="E143" s="9">
        <v>9.1</v>
      </c>
      <c r="F143" s="9">
        <v>37707933</v>
      </c>
      <c r="G143" s="9">
        <v>1902340</v>
      </c>
      <c r="H143" s="2">
        <v>1</v>
      </c>
      <c r="I143" t="s">
        <v>22</v>
      </c>
    </row>
    <row r="144" spans="1:9" x14ac:dyDescent="0.35">
      <c r="A144" s="2" t="s">
        <v>4389</v>
      </c>
      <c r="B144" s="2" t="s">
        <v>4388</v>
      </c>
      <c r="C144" s="9">
        <v>7.67</v>
      </c>
      <c r="D144" s="9">
        <v>12115757</v>
      </c>
      <c r="E144" s="9">
        <v>7.98</v>
      </c>
      <c r="F144" s="9">
        <v>12115757</v>
      </c>
      <c r="G144" s="9">
        <v>0</v>
      </c>
      <c r="H144" s="2">
        <v>2</v>
      </c>
      <c r="I144" t="s">
        <v>23</v>
      </c>
    </row>
    <row r="145" spans="1:9" x14ac:dyDescent="0.35">
      <c r="A145" s="2" t="s">
        <v>4390</v>
      </c>
      <c r="B145" s="2" t="s">
        <v>4388</v>
      </c>
      <c r="C145" s="9">
        <v>7.43</v>
      </c>
      <c r="D145" s="9">
        <v>11169307</v>
      </c>
      <c r="E145" s="9">
        <v>7.14</v>
      </c>
      <c r="F145" s="9">
        <v>11169307</v>
      </c>
      <c r="G145" s="9">
        <v>0</v>
      </c>
      <c r="H145" s="2">
        <v>3</v>
      </c>
      <c r="I145" t="s">
        <v>23</v>
      </c>
    </row>
    <row r="146" spans="1:9" x14ac:dyDescent="0.35">
      <c r="A146" s="2" t="s">
        <v>5949</v>
      </c>
      <c r="B146" s="2" t="s">
        <v>4388</v>
      </c>
      <c r="C146" s="9">
        <v>6.18</v>
      </c>
      <c r="D146" s="9">
        <v>15080693</v>
      </c>
      <c r="E146" s="9">
        <v>1.62</v>
      </c>
      <c r="F146" s="9">
        <v>3698245</v>
      </c>
      <c r="G146" s="9">
        <v>11382448</v>
      </c>
      <c r="H146" s="2">
        <v>4</v>
      </c>
      <c r="I146" t="s">
        <v>22</v>
      </c>
    </row>
    <row r="147" spans="1:9" x14ac:dyDescent="0.35">
      <c r="A147" s="2" t="s">
        <v>4391</v>
      </c>
      <c r="B147" s="2" t="s">
        <v>4388</v>
      </c>
      <c r="C147" s="9">
        <v>5.59</v>
      </c>
      <c r="D147" s="9">
        <v>16615770</v>
      </c>
      <c r="E147" s="9">
        <v>5.68</v>
      </c>
      <c r="F147" s="9">
        <v>16479127</v>
      </c>
      <c r="G147" s="9">
        <v>136643</v>
      </c>
      <c r="H147" s="2">
        <v>5</v>
      </c>
      <c r="I147" t="s">
        <v>22</v>
      </c>
    </row>
    <row r="148" spans="1:9" x14ac:dyDescent="0.35">
      <c r="A148" s="2" t="s">
        <v>4392</v>
      </c>
      <c r="B148" s="2" t="s">
        <v>4388</v>
      </c>
      <c r="C148" s="9">
        <v>4.8</v>
      </c>
      <c r="D148" s="9">
        <v>20257122</v>
      </c>
      <c r="E148" s="9">
        <v>5.1100000000000003</v>
      </c>
      <c r="F148" s="9">
        <v>20054955</v>
      </c>
      <c r="G148" s="9">
        <v>202167</v>
      </c>
      <c r="H148" s="2">
        <v>6</v>
      </c>
      <c r="I148" t="s">
        <v>22</v>
      </c>
    </row>
    <row r="149" spans="1:9" x14ac:dyDescent="0.35">
      <c r="A149" s="2" t="s">
        <v>4393</v>
      </c>
      <c r="B149" s="2" t="s">
        <v>4388</v>
      </c>
      <c r="C149" s="9">
        <v>3.95</v>
      </c>
      <c r="D149" s="9">
        <v>1913823</v>
      </c>
      <c r="E149" s="9">
        <v>3.32</v>
      </c>
      <c r="F149" s="9">
        <v>1548043</v>
      </c>
      <c r="G149" s="9">
        <v>365780</v>
      </c>
      <c r="H149" s="2">
        <v>7</v>
      </c>
      <c r="I149" t="s">
        <v>22</v>
      </c>
    </row>
    <row r="150" spans="1:9" x14ac:dyDescent="0.35">
      <c r="A150" s="2" t="s">
        <v>4394</v>
      </c>
      <c r="B150" s="2" t="s">
        <v>4388</v>
      </c>
      <c r="C150" s="9">
        <v>3.51</v>
      </c>
      <c r="D150" s="9">
        <v>15904050</v>
      </c>
      <c r="E150" s="9">
        <v>3.6</v>
      </c>
      <c r="F150" s="9">
        <v>15873391</v>
      </c>
      <c r="G150" s="9">
        <v>30659</v>
      </c>
      <c r="H150" s="2">
        <v>8</v>
      </c>
      <c r="I150" t="s">
        <v>22</v>
      </c>
    </row>
    <row r="151" spans="1:9" x14ac:dyDescent="0.35">
      <c r="A151" s="2" t="s">
        <v>4395</v>
      </c>
      <c r="B151" s="2" t="s">
        <v>4388</v>
      </c>
      <c r="C151" s="9">
        <v>3.38</v>
      </c>
      <c r="D151" s="9">
        <v>1387546</v>
      </c>
      <c r="E151" s="9">
        <v>3.5</v>
      </c>
      <c r="F151" s="9">
        <v>1385546</v>
      </c>
      <c r="G151" s="9">
        <v>2000</v>
      </c>
      <c r="H151" s="2">
        <v>9</v>
      </c>
      <c r="I151" t="s">
        <v>22</v>
      </c>
    </row>
    <row r="152" spans="1:9" x14ac:dyDescent="0.35">
      <c r="A152" s="2" t="s">
        <v>5950</v>
      </c>
      <c r="B152" s="2" t="s">
        <v>4388</v>
      </c>
      <c r="C152" s="9">
        <v>2.54</v>
      </c>
      <c r="D152" s="9">
        <v>21952299</v>
      </c>
      <c r="E152" s="9">
        <v>2.56</v>
      </c>
      <c r="F152" s="9">
        <v>21952299</v>
      </c>
      <c r="G152" s="9">
        <v>0</v>
      </c>
      <c r="H152" s="2">
        <v>10</v>
      </c>
      <c r="I152" t="s">
        <v>23</v>
      </c>
    </row>
    <row r="153" spans="1:9" x14ac:dyDescent="0.35">
      <c r="A153" s="2" t="s">
        <v>4396</v>
      </c>
      <c r="B153" s="2" t="s">
        <v>4388</v>
      </c>
      <c r="C153" s="9">
        <v>1.65</v>
      </c>
      <c r="D153" s="9">
        <v>2075008</v>
      </c>
      <c r="E153" s="9">
        <v>1.56</v>
      </c>
      <c r="F153" s="9">
        <v>2075008</v>
      </c>
      <c r="G153" s="9">
        <v>0</v>
      </c>
      <c r="H153" s="2">
        <v>11</v>
      </c>
      <c r="I153" t="s">
        <v>23</v>
      </c>
    </row>
    <row r="154" spans="1:9" x14ac:dyDescent="0.35">
      <c r="A154" s="2" t="s">
        <v>4397</v>
      </c>
      <c r="B154" s="2" t="s">
        <v>4388</v>
      </c>
      <c r="C154" s="9">
        <v>1.63</v>
      </c>
      <c r="D154" s="9">
        <v>30061233</v>
      </c>
      <c r="E154" s="9">
        <v>1.45</v>
      </c>
      <c r="F154" s="9">
        <v>29666592</v>
      </c>
      <c r="G154" s="9">
        <v>394641</v>
      </c>
      <c r="H154" s="2">
        <v>12</v>
      </c>
      <c r="I154" t="s">
        <v>22</v>
      </c>
    </row>
    <row r="155" spans="1:9" x14ac:dyDescent="0.35">
      <c r="A155" s="2" t="s">
        <v>5951</v>
      </c>
      <c r="B155" s="2" t="s">
        <v>4388</v>
      </c>
      <c r="C155" s="9">
        <v>1.57</v>
      </c>
      <c r="D155" s="9">
        <v>5669361</v>
      </c>
      <c r="E155" s="9">
        <v>1.66</v>
      </c>
      <c r="F155" s="9">
        <v>5669361</v>
      </c>
      <c r="G155" s="9">
        <v>0</v>
      </c>
      <c r="H155" s="2">
        <v>13</v>
      </c>
      <c r="I155" t="s">
        <v>23</v>
      </c>
    </row>
    <row r="156" spans="1:9" x14ac:dyDescent="0.35">
      <c r="A156" s="2" t="s">
        <v>5952</v>
      </c>
      <c r="B156" s="2" t="s">
        <v>4388</v>
      </c>
      <c r="C156" s="9">
        <v>1.51</v>
      </c>
      <c r="D156" s="9">
        <v>6155745</v>
      </c>
      <c r="E156" s="9">
        <v>1.43</v>
      </c>
      <c r="F156" s="9">
        <v>6155745</v>
      </c>
      <c r="G156" s="9">
        <v>0</v>
      </c>
      <c r="H156" s="2">
        <v>14</v>
      </c>
      <c r="I156" t="s">
        <v>23</v>
      </c>
    </row>
    <row r="157" spans="1:9" x14ac:dyDescent="0.35">
      <c r="A157" s="2" t="s">
        <v>5953</v>
      </c>
      <c r="B157" s="2" t="s">
        <v>4388</v>
      </c>
      <c r="C157" s="9">
        <v>1.48</v>
      </c>
      <c r="D157" s="9">
        <v>5328187</v>
      </c>
      <c r="E157" s="9">
        <v>1.63</v>
      </c>
      <c r="F157" s="9">
        <v>5328187</v>
      </c>
      <c r="G157" s="9">
        <v>0</v>
      </c>
      <c r="H157" s="2">
        <v>15</v>
      </c>
      <c r="I157" t="s">
        <v>23</v>
      </c>
    </row>
    <row r="158" spans="1:9" x14ac:dyDescent="0.35">
      <c r="A158" s="2" t="s">
        <v>4398</v>
      </c>
      <c r="B158" s="2" t="s">
        <v>4388</v>
      </c>
      <c r="C158" s="9">
        <v>1.42</v>
      </c>
      <c r="D158" s="9">
        <v>5005704</v>
      </c>
      <c r="E158" s="9">
        <v>1.39</v>
      </c>
      <c r="F158" s="9">
        <v>5134707</v>
      </c>
      <c r="G158" s="9">
        <v>-129003</v>
      </c>
      <c r="H158" s="2">
        <v>16</v>
      </c>
      <c r="I158" t="s">
        <v>25</v>
      </c>
    </row>
    <row r="159" spans="1:9" x14ac:dyDescent="0.35">
      <c r="A159" s="2" t="s">
        <v>4399</v>
      </c>
      <c r="B159" s="2" t="s">
        <v>4388</v>
      </c>
      <c r="C159" s="9">
        <v>1.41</v>
      </c>
      <c r="D159" s="9">
        <v>4433065</v>
      </c>
      <c r="E159" s="9">
        <v>1.88</v>
      </c>
      <c r="F159" s="9">
        <v>5561812</v>
      </c>
      <c r="G159" s="9">
        <v>-1128747</v>
      </c>
      <c r="H159" s="2">
        <v>17</v>
      </c>
      <c r="I159" t="s">
        <v>25</v>
      </c>
    </row>
    <row r="160" spans="1:9" x14ac:dyDescent="0.35">
      <c r="A160" s="2" t="s">
        <v>4400</v>
      </c>
      <c r="B160" s="2" t="s">
        <v>4388</v>
      </c>
      <c r="C160" s="9">
        <v>1.38</v>
      </c>
      <c r="D160" s="9">
        <v>31451488</v>
      </c>
      <c r="E160" s="9">
        <v>1.28</v>
      </c>
      <c r="F160" s="9">
        <v>30969862</v>
      </c>
      <c r="G160" s="9">
        <v>481626</v>
      </c>
      <c r="H160" s="2">
        <v>18</v>
      </c>
      <c r="I160" t="s">
        <v>22</v>
      </c>
    </row>
    <row r="161" spans="1:9" x14ac:dyDescent="0.35">
      <c r="A161" s="2" t="s">
        <v>5954</v>
      </c>
      <c r="B161" s="2" t="s">
        <v>4388</v>
      </c>
      <c r="C161" s="9">
        <v>1.36</v>
      </c>
      <c r="D161" s="9">
        <v>9480683</v>
      </c>
      <c r="E161" s="9">
        <v>1.4</v>
      </c>
      <c r="F161" s="9">
        <v>9480683</v>
      </c>
      <c r="G161" s="9">
        <v>0</v>
      </c>
      <c r="H161" s="2">
        <v>19</v>
      </c>
      <c r="I161" t="s">
        <v>23</v>
      </c>
    </row>
    <row r="162" spans="1:9" x14ac:dyDescent="0.35">
      <c r="A162" s="2" t="s">
        <v>4401</v>
      </c>
      <c r="B162" s="2" t="s">
        <v>4388</v>
      </c>
      <c r="C162" s="9">
        <v>1.31</v>
      </c>
      <c r="D162" s="9">
        <v>3821962</v>
      </c>
      <c r="E162" s="9">
        <v>1.44</v>
      </c>
      <c r="F162" s="9">
        <v>4193254</v>
      </c>
      <c r="G162" s="9">
        <v>-371292</v>
      </c>
      <c r="H162" s="2">
        <v>20</v>
      </c>
      <c r="I162" t="s">
        <v>25</v>
      </c>
    </row>
    <row r="163" spans="1:9" x14ac:dyDescent="0.35">
      <c r="A163" s="2" t="s">
        <v>5955</v>
      </c>
      <c r="B163" s="2" t="s">
        <v>4388</v>
      </c>
      <c r="C163" s="9">
        <v>1.1299999999999999</v>
      </c>
      <c r="D163" s="9">
        <v>12109445</v>
      </c>
      <c r="E163" s="9">
        <v>1.1399999999999999</v>
      </c>
      <c r="F163" s="9">
        <v>12109445</v>
      </c>
      <c r="G163" s="9">
        <v>0</v>
      </c>
      <c r="H163" s="2">
        <v>21</v>
      </c>
      <c r="I163" t="s">
        <v>23</v>
      </c>
    </row>
    <row r="164" spans="1:9" x14ac:dyDescent="0.35">
      <c r="A164" s="2" t="s">
        <v>4402</v>
      </c>
      <c r="B164" s="2" t="s">
        <v>4388</v>
      </c>
      <c r="C164" s="9">
        <v>1.08</v>
      </c>
      <c r="D164" s="9">
        <v>10541327</v>
      </c>
      <c r="E164" s="9">
        <v>0.84</v>
      </c>
      <c r="F164" s="9">
        <v>10384711</v>
      </c>
      <c r="G164" s="9">
        <v>156616</v>
      </c>
      <c r="H164" s="2">
        <v>22</v>
      </c>
      <c r="I164" t="s">
        <v>22</v>
      </c>
    </row>
    <row r="165" spans="1:9" x14ac:dyDescent="0.35">
      <c r="A165" s="2" t="s">
        <v>45</v>
      </c>
      <c r="B165" s="2" t="s">
        <v>4388</v>
      </c>
      <c r="C165" s="9">
        <v>1.05</v>
      </c>
      <c r="D165" s="9">
        <v>9144108</v>
      </c>
      <c r="E165" s="9">
        <v>1.03</v>
      </c>
      <c r="F165" s="9">
        <v>9488508</v>
      </c>
      <c r="G165" s="9">
        <v>-344400</v>
      </c>
      <c r="H165" s="2">
        <v>23</v>
      </c>
      <c r="I165" t="s">
        <v>25</v>
      </c>
    </row>
    <row r="166" spans="1:9" x14ac:dyDescent="0.35">
      <c r="A166" s="2" t="s">
        <v>4403</v>
      </c>
      <c r="B166" s="2" t="s">
        <v>4388</v>
      </c>
      <c r="C166" s="9">
        <v>1.03</v>
      </c>
      <c r="D166" s="9">
        <v>8006637</v>
      </c>
      <c r="E166" s="9">
        <v>0.89</v>
      </c>
      <c r="F166" s="9">
        <v>6990496</v>
      </c>
      <c r="G166" s="9">
        <v>1016141</v>
      </c>
      <c r="H166" s="2">
        <v>24</v>
      </c>
      <c r="I166" t="s">
        <v>22</v>
      </c>
    </row>
    <row r="167" spans="1:9" x14ac:dyDescent="0.35">
      <c r="A167" s="2" t="s">
        <v>5956</v>
      </c>
      <c r="B167" s="2" t="s">
        <v>4388</v>
      </c>
      <c r="C167" s="9">
        <v>1.02</v>
      </c>
      <c r="D167" s="9">
        <v>259534</v>
      </c>
      <c r="E167" s="9">
        <v>0.96</v>
      </c>
      <c r="F167" s="9">
        <v>259534</v>
      </c>
      <c r="G167" s="9">
        <v>0</v>
      </c>
      <c r="H167" s="2">
        <v>25</v>
      </c>
      <c r="I167" t="s">
        <v>23</v>
      </c>
    </row>
    <row r="168" spans="1:9" x14ac:dyDescent="0.35">
      <c r="A168" s="2" t="s">
        <v>5957</v>
      </c>
      <c r="B168" s="2" t="s">
        <v>4388</v>
      </c>
      <c r="C168" s="9">
        <v>1</v>
      </c>
      <c r="D168" s="9">
        <v>2620641</v>
      </c>
      <c r="E168" s="9">
        <v>1.02</v>
      </c>
      <c r="F168" s="9">
        <v>2620641</v>
      </c>
      <c r="G168" s="9">
        <v>0</v>
      </c>
      <c r="H168" s="2">
        <v>26</v>
      </c>
      <c r="I168" t="s">
        <v>23</v>
      </c>
    </row>
    <row r="169" spans="1:9" x14ac:dyDescent="0.35">
      <c r="A169" s="2" t="s">
        <v>4404</v>
      </c>
      <c r="B169" s="2" t="s">
        <v>4388</v>
      </c>
      <c r="C169" s="9">
        <v>0.95</v>
      </c>
      <c r="D169" s="9">
        <v>1020132</v>
      </c>
      <c r="E169" s="9">
        <v>1.02</v>
      </c>
      <c r="F169" s="9">
        <v>1020132</v>
      </c>
      <c r="G169" s="9">
        <v>0</v>
      </c>
      <c r="H169" s="2">
        <v>27</v>
      </c>
      <c r="I169" t="s">
        <v>23</v>
      </c>
    </row>
    <row r="170" spans="1:9" x14ac:dyDescent="0.35">
      <c r="A170" s="2" t="s">
        <v>4405</v>
      </c>
      <c r="B170" s="2" t="s">
        <v>4388</v>
      </c>
      <c r="C170" s="9">
        <v>0.94</v>
      </c>
      <c r="D170" s="9">
        <v>38524783</v>
      </c>
      <c r="E170" s="9">
        <v>0.84</v>
      </c>
      <c r="F170" s="9">
        <v>37793783</v>
      </c>
      <c r="G170" s="9">
        <v>731000</v>
      </c>
      <c r="H170" s="2">
        <v>28</v>
      </c>
      <c r="I170" t="s">
        <v>22</v>
      </c>
    </row>
    <row r="171" spans="1:9" x14ac:dyDescent="0.35">
      <c r="A171" s="2" t="s">
        <v>4406</v>
      </c>
      <c r="B171" s="2" t="s">
        <v>4388</v>
      </c>
      <c r="C171" s="9">
        <v>0.83</v>
      </c>
      <c r="D171" s="9">
        <v>1321022</v>
      </c>
      <c r="E171" s="9">
        <v>0.87</v>
      </c>
      <c r="F171" s="9">
        <v>1467722</v>
      </c>
      <c r="G171" s="9">
        <v>-146700</v>
      </c>
      <c r="H171" s="2">
        <v>29</v>
      </c>
      <c r="I171" t="s">
        <v>25</v>
      </c>
    </row>
    <row r="172" spans="1:9" x14ac:dyDescent="0.35">
      <c r="A172" s="2" t="s">
        <v>5958</v>
      </c>
      <c r="B172" s="2" t="s">
        <v>4388</v>
      </c>
      <c r="C172" s="9">
        <v>0.83</v>
      </c>
      <c r="D172" s="9">
        <v>5399735</v>
      </c>
      <c r="E172" s="9">
        <v>0.85</v>
      </c>
      <c r="F172" s="9">
        <v>5714735</v>
      </c>
      <c r="G172" s="9">
        <v>-315000</v>
      </c>
      <c r="H172" s="2">
        <v>30</v>
      </c>
      <c r="I172" t="s">
        <v>25</v>
      </c>
    </row>
    <row r="173" spans="1:9" x14ac:dyDescent="0.35">
      <c r="A173" s="2" t="s">
        <v>5945</v>
      </c>
      <c r="B173" s="2" t="s">
        <v>4388</v>
      </c>
      <c r="C173" s="9">
        <v>0.79</v>
      </c>
      <c r="D173" s="9">
        <v>12115757</v>
      </c>
      <c r="E173" s="9">
        <v>0</v>
      </c>
      <c r="F173" s="9">
        <v>0</v>
      </c>
      <c r="G173" s="9">
        <v>12115757</v>
      </c>
      <c r="H173" s="2">
        <v>31</v>
      </c>
      <c r="I173" t="s">
        <v>32</v>
      </c>
    </row>
    <row r="174" spans="1:9" x14ac:dyDescent="0.35">
      <c r="A174" s="2" t="s">
        <v>5959</v>
      </c>
      <c r="B174" s="2" t="s">
        <v>4388</v>
      </c>
      <c r="C174" s="9">
        <v>0.73</v>
      </c>
      <c r="D174" s="9">
        <v>1589469</v>
      </c>
      <c r="E174" s="9">
        <v>0.76</v>
      </c>
      <c r="F174" s="9">
        <v>1589469</v>
      </c>
      <c r="G174" s="9">
        <v>0</v>
      </c>
      <c r="H174" s="2">
        <v>32</v>
      </c>
      <c r="I174" t="s">
        <v>23</v>
      </c>
    </row>
    <row r="175" spans="1:9" x14ac:dyDescent="0.35">
      <c r="A175" s="2" t="s">
        <v>4407</v>
      </c>
      <c r="B175" s="2" t="s">
        <v>4388</v>
      </c>
      <c r="C175" s="9">
        <v>0.71</v>
      </c>
      <c r="D175" s="9">
        <v>12487053</v>
      </c>
      <c r="E175" s="9">
        <v>0</v>
      </c>
      <c r="F175" s="9">
        <v>0</v>
      </c>
      <c r="G175" s="9">
        <v>12487053</v>
      </c>
      <c r="H175" s="2">
        <v>33</v>
      </c>
      <c r="I175" t="s">
        <v>32</v>
      </c>
    </row>
    <row r="176" spans="1:9" x14ac:dyDescent="0.35">
      <c r="A176" s="2" t="s">
        <v>5960</v>
      </c>
      <c r="B176" s="2" t="s">
        <v>4388</v>
      </c>
      <c r="C176" s="9">
        <v>0.69</v>
      </c>
      <c r="D176" s="9">
        <v>1496396</v>
      </c>
      <c r="E176" s="9">
        <v>0.67</v>
      </c>
      <c r="F176" s="9">
        <v>1496396</v>
      </c>
      <c r="G176" s="9">
        <v>0</v>
      </c>
      <c r="H176" s="2">
        <v>34</v>
      </c>
      <c r="I176" t="s">
        <v>23</v>
      </c>
    </row>
    <row r="177" spans="1:9" x14ac:dyDescent="0.35">
      <c r="A177" s="2" t="s">
        <v>5961</v>
      </c>
      <c r="B177" s="2" t="s">
        <v>4388</v>
      </c>
      <c r="C177" s="9">
        <v>0.52</v>
      </c>
      <c r="D177" s="9">
        <v>1426186</v>
      </c>
      <c r="E177" s="9">
        <v>0.54</v>
      </c>
      <c r="F177" s="9">
        <v>1426186</v>
      </c>
      <c r="G177" s="9">
        <v>0</v>
      </c>
      <c r="H177" s="2">
        <v>35</v>
      </c>
      <c r="I177" t="s">
        <v>23</v>
      </c>
    </row>
    <row r="178" spans="1:9" x14ac:dyDescent="0.35">
      <c r="A178" s="2" t="s">
        <v>4408</v>
      </c>
      <c r="B178" s="2" t="s">
        <v>4388</v>
      </c>
      <c r="C178" s="9">
        <v>0.51</v>
      </c>
      <c r="D178" s="9">
        <v>5053322</v>
      </c>
      <c r="E178" s="9">
        <v>0.53</v>
      </c>
      <c r="F178" s="9">
        <v>5282363</v>
      </c>
      <c r="G178" s="9">
        <v>-229041</v>
      </c>
      <c r="H178" s="2">
        <v>36</v>
      </c>
      <c r="I178" t="s">
        <v>25</v>
      </c>
    </row>
    <row r="179" spans="1:9" x14ac:dyDescent="0.35">
      <c r="A179" s="2" t="s">
        <v>5962</v>
      </c>
      <c r="B179" s="2" t="s">
        <v>4388</v>
      </c>
      <c r="C179" s="9">
        <v>0.51</v>
      </c>
      <c r="D179" s="9">
        <v>542914</v>
      </c>
      <c r="E179" s="9">
        <v>0.49</v>
      </c>
      <c r="F179" s="9">
        <v>542914</v>
      </c>
      <c r="G179" s="9">
        <v>0</v>
      </c>
      <c r="H179" s="2">
        <v>37</v>
      </c>
      <c r="I179" t="s">
        <v>23</v>
      </c>
    </row>
    <row r="180" spans="1:9" x14ac:dyDescent="0.35">
      <c r="A180" s="2" t="s">
        <v>46</v>
      </c>
      <c r="B180" s="2" t="s">
        <v>4388</v>
      </c>
      <c r="C180" s="9">
        <v>0.5</v>
      </c>
      <c r="D180" s="9">
        <v>508452</v>
      </c>
      <c r="E180" s="9">
        <v>0.49</v>
      </c>
      <c r="F180" s="9">
        <v>508452</v>
      </c>
      <c r="G180" s="9">
        <v>0</v>
      </c>
      <c r="H180" s="2">
        <v>38</v>
      </c>
      <c r="I180" t="s">
        <v>23</v>
      </c>
    </row>
    <row r="181" spans="1:9" x14ac:dyDescent="0.35">
      <c r="A181" s="2" t="s">
        <v>5963</v>
      </c>
      <c r="B181" s="2" t="s">
        <v>4388</v>
      </c>
      <c r="C181" s="9">
        <v>0.47</v>
      </c>
      <c r="D181" s="9">
        <v>952051</v>
      </c>
      <c r="E181" s="9">
        <v>0.48</v>
      </c>
      <c r="F181" s="9">
        <v>952051</v>
      </c>
      <c r="G181" s="9">
        <v>0</v>
      </c>
      <c r="H181" s="2">
        <v>39</v>
      </c>
      <c r="I181" t="s">
        <v>23</v>
      </c>
    </row>
    <row r="182" spans="1:9" x14ac:dyDescent="0.35">
      <c r="A182" s="2" t="s">
        <v>4409</v>
      </c>
      <c r="B182" s="2" t="s">
        <v>4388</v>
      </c>
      <c r="C182" s="9">
        <v>0.46</v>
      </c>
      <c r="D182" s="9">
        <v>7718276</v>
      </c>
      <c r="E182" s="9">
        <v>0.35</v>
      </c>
      <c r="F182" s="9">
        <v>7718276</v>
      </c>
      <c r="G182" s="9">
        <v>0</v>
      </c>
      <c r="H182" s="2">
        <v>40</v>
      </c>
      <c r="I182" t="s">
        <v>23</v>
      </c>
    </row>
    <row r="183" spans="1:9" x14ac:dyDescent="0.35">
      <c r="A183" s="2" t="s">
        <v>5964</v>
      </c>
      <c r="B183" s="2" t="s">
        <v>4388</v>
      </c>
      <c r="C183" s="9">
        <v>0.42</v>
      </c>
      <c r="D183" s="9">
        <v>1228419</v>
      </c>
      <c r="E183" s="9">
        <v>0.43</v>
      </c>
      <c r="F183" s="9">
        <v>1228419</v>
      </c>
      <c r="G183" s="9">
        <v>0</v>
      </c>
      <c r="H183" s="2">
        <v>41</v>
      </c>
      <c r="I183" t="s">
        <v>23</v>
      </c>
    </row>
    <row r="184" spans="1:9" x14ac:dyDescent="0.35">
      <c r="A184" s="2" t="s">
        <v>4410</v>
      </c>
      <c r="B184" s="2" t="s">
        <v>4388</v>
      </c>
      <c r="C184" s="9">
        <v>0.38</v>
      </c>
      <c r="D184" s="9">
        <v>387847</v>
      </c>
      <c r="E184" s="9">
        <v>0.38</v>
      </c>
      <c r="F184" s="9">
        <v>387847</v>
      </c>
      <c r="G184" s="9">
        <v>0</v>
      </c>
      <c r="H184" s="2">
        <v>42</v>
      </c>
      <c r="I184" t="s">
        <v>23</v>
      </c>
    </row>
    <row r="185" spans="1:9" x14ac:dyDescent="0.35">
      <c r="A185" s="2" t="s">
        <v>44</v>
      </c>
      <c r="B185" s="2" t="s">
        <v>4388</v>
      </c>
      <c r="C185" s="9">
        <v>0.36</v>
      </c>
      <c r="D185" s="9">
        <v>254608</v>
      </c>
      <c r="E185" s="9">
        <v>0.38</v>
      </c>
      <c r="F185" s="9">
        <v>285108</v>
      </c>
      <c r="G185" s="9">
        <v>-30500</v>
      </c>
      <c r="H185" s="2">
        <v>43</v>
      </c>
      <c r="I185" t="s">
        <v>25</v>
      </c>
    </row>
    <row r="186" spans="1:9" x14ac:dyDescent="0.35">
      <c r="A186" s="2" t="s">
        <v>5965</v>
      </c>
      <c r="B186" s="2" t="s">
        <v>4388</v>
      </c>
      <c r="C186" s="9">
        <v>0.31</v>
      </c>
      <c r="D186" s="9">
        <v>414211</v>
      </c>
      <c r="E186" s="9">
        <v>0.33</v>
      </c>
      <c r="F186" s="9">
        <v>414211</v>
      </c>
      <c r="G186" s="9">
        <v>0</v>
      </c>
      <c r="H186" s="2">
        <v>44</v>
      </c>
      <c r="I186" t="s">
        <v>23</v>
      </c>
    </row>
    <row r="187" spans="1:9" x14ac:dyDescent="0.35">
      <c r="A187" s="2" t="s">
        <v>4411</v>
      </c>
      <c r="B187" s="2" t="s">
        <v>4388</v>
      </c>
      <c r="C187" s="9">
        <v>0.31</v>
      </c>
      <c r="D187" s="9">
        <v>308876</v>
      </c>
      <c r="E187" s="9">
        <v>0.24</v>
      </c>
      <c r="F187" s="9">
        <v>259661</v>
      </c>
      <c r="G187" s="9">
        <v>49215</v>
      </c>
      <c r="H187" s="2">
        <v>45</v>
      </c>
      <c r="I187" t="s">
        <v>22</v>
      </c>
    </row>
    <row r="188" spans="1:9" x14ac:dyDescent="0.35">
      <c r="A188" s="2" t="s">
        <v>4412</v>
      </c>
      <c r="B188" s="2" t="s">
        <v>4388</v>
      </c>
      <c r="C188" s="9">
        <v>0.31</v>
      </c>
      <c r="D188" s="9">
        <v>484358</v>
      </c>
      <c r="E188" s="9">
        <v>0.33</v>
      </c>
      <c r="F188" s="9">
        <v>484358</v>
      </c>
      <c r="G188" s="9">
        <v>0</v>
      </c>
      <c r="H188" s="2">
        <v>46</v>
      </c>
      <c r="I188" t="s">
        <v>23</v>
      </c>
    </row>
    <row r="189" spans="1:9" x14ac:dyDescent="0.35">
      <c r="A189" s="2" t="s">
        <v>5966</v>
      </c>
      <c r="B189" s="2" t="s">
        <v>4388</v>
      </c>
      <c r="C189" s="9">
        <v>0.3</v>
      </c>
      <c r="D189" s="9">
        <v>224034</v>
      </c>
      <c r="E189" s="9">
        <v>0.31</v>
      </c>
      <c r="F189" s="9">
        <v>224034</v>
      </c>
      <c r="G189" s="9">
        <v>0</v>
      </c>
      <c r="H189" s="2">
        <v>47</v>
      </c>
      <c r="I189" t="s">
        <v>23</v>
      </c>
    </row>
    <row r="190" spans="1:9" x14ac:dyDescent="0.35">
      <c r="A190" s="2" t="s">
        <v>5967</v>
      </c>
      <c r="B190" s="2" t="s">
        <v>4388</v>
      </c>
      <c r="C190" s="9">
        <v>0.3</v>
      </c>
      <c r="D190" s="9">
        <v>694918</v>
      </c>
      <c r="E190" s="9">
        <v>0.32</v>
      </c>
      <c r="F190" s="9">
        <v>694918</v>
      </c>
      <c r="G190" s="9">
        <v>0</v>
      </c>
      <c r="H190" s="2">
        <v>48</v>
      </c>
      <c r="I190" t="s">
        <v>23</v>
      </c>
    </row>
    <row r="191" spans="1:9" x14ac:dyDescent="0.35">
      <c r="A191" s="2" t="s">
        <v>4413</v>
      </c>
      <c r="B191" s="2" t="s">
        <v>4388</v>
      </c>
      <c r="C191" s="9">
        <v>0.28999999999999998</v>
      </c>
      <c r="D191" s="9">
        <v>2790459</v>
      </c>
      <c r="E191" s="9">
        <v>0.28000000000000003</v>
      </c>
      <c r="F191" s="9">
        <v>2790459</v>
      </c>
      <c r="G191" s="9">
        <v>0</v>
      </c>
      <c r="H191" s="2">
        <v>49</v>
      </c>
      <c r="I191" t="s">
        <v>23</v>
      </c>
    </row>
    <row r="192" spans="1:9" x14ac:dyDescent="0.35">
      <c r="A192" s="2" t="s">
        <v>4414</v>
      </c>
      <c r="B192" s="2" t="s">
        <v>4388</v>
      </c>
      <c r="C192" s="9">
        <v>0.23</v>
      </c>
      <c r="D192" s="9">
        <v>3327398</v>
      </c>
      <c r="E192" s="9">
        <v>0.24</v>
      </c>
      <c r="F192" s="9">
        <v>3327398</v>
      </c>
      <c r="G192" s="9">
        <v>0</v>
      </c>
      <c r="H192" s="2">
        <v>50</v>
      </c>
      <c r="I192" t="s">
        <v>23</v>
      </c>
    </row>
    <row r="193" spans="1:9" x14ac:dyDescent="0.35">
      <c r="A193" s="2" t="s">
        <v>4415</v>
      </c>
      <c r="B193" s="2" t="s">
        <v>4388</v>
      </c>
      <c r="C193" s="9">
        <v>0.22</v>
      </c>
      <c r="D193" s="9">
        <v>662648</v>
      </c>
      <c r="E193" s="9">
        <v>0.21</v>
      </c>
      <c r="F193" s="9">
        <v>662648</v>
      </c>
      <c r="G193" s="9">
        <v>0</v>
      </c>
      <c r="H193" s="2">
        <v>51</v>
      </c>
      <c r="I193" t="s">
        <v>23</v>
      </c>
    </row>
    <row r="194" spans="1:9" x14ac:dyDescent="0.35">
      <c r="A194" s="2" t="s">
        <v>5968</v>
      </c>
      <c r="B194" s="2" t="s">
        <v>4388</v>
      </c>
      <c r="C194" s="9">
        <v>0.21</v>
      </c>
      <c r="D194" s="9">
        <v>1041677</v>
      </c>
      <c r="E194" s="9">
        <v>0.22</v>
      </c>
      <c r="F194" s="9">
        <v>1041677</v>
      </c>
      <c r="G194" s="9">
        <v>0</v>
      </c>
      <c r="H194" s="2">
        <v>52</v>
      </c>
      <c r="I194" t="s">
        <v>23</v>
      </c>
    </row>
    <row r="195" spans="1:9" x14ac:dyDescent="0.35">
      <c r="A195" s="2" t="s">
        <v>5969</v>
      </c>
      <c r="B195" s="2" t="s">
        <v>4388</v>
      </c>
      <c r="C195" s="9">
        <v>0.21</v>
      </c>
      <c r="D195" s="9">
        <v>10759494</v>
      </c>
      <c r="E195" s="9">
        <v>0.2</v>
      </c>
      <c r="F195" s="9">
        <v>10759494</v>
      </c>
      <c r="G195" s="9">
        <v>0</v>
      </c>
      <c r="H195" s="2">
        <v>53</v>
      </c>
      <c r="I195" t="s">
        <v>23</v>
      </c>
    </row>
    <row r="196" spans="1:9" x14ac:dyDescent="0.35">
      <c r="A196" s="2" t="s">
        <v>5970</v>
      </c>
      <c r="B196" s="2" t="s">
        <v>4388</v>
      </c>
      <c r="C196" s="9">
        <v>0.2</v>
      </c>
      <c r="D196" s="9">
        <v>1264500</v>
      </c>
      <c r="E196" s="9">
        <v>0.21</v>
      </c>
      <c r="F196" s="9">
        <v>1264500</v>
      </c>
      <c r="G196" s="9">
        <v>0</v>
      </c>
      <c r="H196" s="2">
        <v>54</v>
      </c>
      <c r="I196" t="s">
        <v>23</v>
      </c>
    </row>
    <row r="197" spans="1:9" x14ac:dyDescent="0.35">
      <c r="A197" s="2" t="s">
        <v>5971</v>
      </c>
      <c r="B197" s="2" t="s">
        <v>4388</v>
      </c>
      <c r="C197" s="9">
        <v>0.16</v>
      </c>
      <c r="D197" s="9">
        <v>127654</v>
      </c>
      <c r="E197" s="9">
        <v>0.15</v>
      </c>
      <c r="F197" s="9">
        <v>127654</v>
      </c>
      <c r="G197" s="9">
        <v>0</v>
      </c>
      <c r="H197" s="2">
        <v>55</v>
      </c>
      <c r="I197" t="s">
        <v>23</v>
      </c>
    </row>
    <row r="198" spans="1:9" x14ac:dyDescent="0.35">
      <c r="A198" s="2" t="s">
        <v>4416</v>
      </c>
      <c r="B198" s="2" t="s">
        <v>4388</v>
      </c>
      <c r="C198" s="9">
        <v>0.15</v>
      </c>
      <c r="D198" s="9">
        <v>4950934</v>
      </c>
      <c r="E198" s="9">
        <v>0.14000000000000001</v>
      </c>
      <c r="F198" s="9">
        <v>4972934</v>
      </c>
      <c r="G198" s="9">
        <v>-22000</v>
      </c>
      <c r="H198" s="2">
        <v>56</v>
      </c>
      <c r="I198" t="s">
        <v>25</v>
      </c>
    </row>
    <row r="199" spans="1:9" x14ac:dyDescent="0.35">
      <c r="A199" s="2" t="s">
        <v>5972</v>
      </c>
      <c r="B199" s="2" t="s">
        <v>4388</v>
      </c>
      <c r="C199" s="9">
        <v>0.14000000000000001</v>
      </c>
      <c r="D199" s="9">
        <v>494717</v>
      </c>
      <c r="E199" s="9">
        <v>0.13</v>
      </c>
      <c r="F199" s="9">
        <v>494717</v>
      </c>
      <c r="G199" s="9">
        <v>0</v>
      </c>
      <c r="H199" s="2">
        <v>57</v>
      </c>
      <c r="I199" t="s">
        <v>23</v>
      </c>
    </row>
    <row r="200" spans="1:9" x14ac:dyDescent="0.35">
      <c r="A200" s="2" t="s">
        <v>4417</v>
      </c>
      <c r="B200" s="2" t="s">
        <v>4388</v>
      </c>
      <c r="C200" s="9">
        <v>0.13</v>
      </c>
      <c r="D200" s="9">
        <v>10077627</v>
      </c>
      <c r="E200" s="9">
        <v>0</v>
      </c>
      <c r="F200" s="9">
        <v>0</v>
      </c>
      <c r="G200" s="9">
        <v>10077627</v>
      </c>
      <c r="H200" s="2">
        <v>58</v>
      </c>
      <c r="I200" t="s">
        <v>32</v>
      </c>
    </row>
    <row r="201" spans="1:9" x14ac:dyDescent="0.35">
      <c r="A201" s="2" t="s">
        <v>5973</v>
      </c>
      <c r="B201" s="2" t="s">
        <v>4388</v>
      </c>
      <c r="C201" s="9">
        <v>0.1</v>
      </c>
      <c r="D201" s="9">
        <v>3090876</v>
      </c>
      <c r="E201" s="9">
        <v>0.1</v>
      </c>
      <c r="F201" s="9">
        <v>3090876</v>
      </c>
      <c r="G201" s="9">
        <v>0</v>
      </c>
      <c r="H201" s="2">
        <v>59</v>
      </c>
      <c r="I201" t="s">
        <v>23</v>
      </c>
    </row>
    <row r="202" spans="1:9" x14ac:dyDescent="0.35">
      <c r="A202" s="2" t="s">
        <v>5974</v>
      </c>
      <c r="B202" s="2" t="s">
        <v>4388</v>
      </c>
      <c r="C202" s="9">
        <v>0.09</v>
      </c>
      <c r="D202" s="9">
        <v>251731</v>
      </c>
      <c r="E202" s="9">
        <v>0.09</v>
      </c>
      <c r="F202" s="9">
        <v>251731</v>
      </c>
      <c r="G202" s="9">
        <v>0</v>
      </c>
      <c r="H202" s="2">
        <v>60</v>
      </c>
      <c r="I202" t="s">
        <v>23</v>
      </c>
    </row>
    <row r="203" spans="1:9" x14ac:dyDescent="0.35">
      <c r="A203" s="2" t="s">
        <v>5975</v>
      </c>
      <c r="B203" s="2" t="s">
        <v>4388</v>
      </c>
      <c r="C203" s="9">
        <v>0.09</v>
      </c>
      <c r="D203" s="9">
        <v>63752</v>
      </c>
      <c r="E203" s="9">
        <v>0.08</v>
      </c>
      <c r="F203" s="9">
        <v>63752</v>
      </c>
      <c r="G203" s="9">
        <v>0</v>
      </c>
      <c r="H203" s="2">
        <v>61</v>
      </c>
      <c r="I203" t="s">
        <v>23</v>
      </c>
    </row>
    <row r="204" spans="1:9" x14ac:dyDescent="0.35">
      <c r="A204" s="2" t="s">
        <v>5976</v>
      </c>
      <c r="B204" s="2" t="s">
        <v>4388</v>
      </c>
      <c r="C204" s="9">
        <v>0.09</v>
      </c>
      <c r="D204" s="9">
        <v>165000</v>
      </c>
      <c r="E204" s="9">
        <v>0.08</v>
      </c>
      <c r="F204" s="9">
        <v>165000</v>
      </c>
      <c r="G204" s="9">
        <v>0</v>
      </c>
      <c r="H204" s="2">
        <v>62</v>
      </c>
      <c r="I204" t="s">
        <v>23</v>
      </c>
    </row>
    <row r="205" spans="1:9" x14ac:dyDescent="0.35">
      <c r="A205" s="2" t="s">
        <v>4418</v>
      </c>
      <c r="B205" s="2" t="s">
        <v>4388</v>
      </c>
      <c r="C205" s="9">
        <v>0.08</v>
      </c>
      <c r="D205" s="9">
        <v>541237</v>
      </c>
      <c r="E205" s="9">
        <v>0.08</v>
      </c>
      <c r="F205" s="9">
        <v>541237</v>
      </c>
      <c r="G205" s="9">
        <v>0</v>
      </c>
      <c r="H205" s="2">
        <v>63</v>
      </c>
      <c r="I205" t="s">
        <v>23</v>
      </c>
    </row>
    <row r="206" spans="1:9" x14ac:dyDescent="0.35">
      <c r="A206" s="2" t="s">
        <v>5977</v>
      </c>
      <c r="B206" s="2" t="s">
        <v>4388</v>
      </c>
      <c r="C206" s="9">
        <v>0.06</v>
      </c>
      <c r="D206" s="9">
        <v>201254</v>
      </c>
      <c r="E206" s="9">
        <v>0.06</v>
      </c>
      <c r="F206" s="9">
        <v>201254</v>
      </c>
      <c r="G206" s="9">
        <v>0</v>
      </c>
      <c r="H206" s="2">
        <v>64</v>
      </c>
      <c r="I206" t="s">
        <v>23</v>
      </c>
    </row>
    <row r="207" spans="1:9" x14ac:dyDescent="0.35">
      <c r="A207" s="2" t="s">
        <v>5978</v>
      </c>
      <c r="B207" s="2" t="s">
        <v>4388</v>
      </c>
      <c r="C207" s="9">
        <v>0.05</v>
      </c>
      <c r="D207" s="9">
        <v>826000</v>
      </c>
      <c r="E207" s="9">
        <v>0.05</v>
      </c>
      <c r="F207" s="9">
        <v>826000</v>
      </c>
      <c r="G207" s="9">
        <v>0</v>
      </c>
      <c r="H207" s="2">
        <v>65</v>
      </c>
      <c r="I207" t="s">
        <v>23</v>
      </c>
    </row>
    <row r="208" spans="1:9" x14ac:dyDescent="0.35">
      <c r="A208" s="2" t="s">
        <v>4419</v>
      </c>
      <c r="B208" s="2" t="s">
        <v>4388</v>
      </c>
      <c r="C208" s="9">
        <v>0.04</v>
      </c>
      <c r="D208" s="9">
        <v>1202239</v>
      </c>
      <c r="E208" s="9">
        <v>0</v>
      </c>
      <c r="F208" s="9">
        <v>0</v>
      </c>
      <c r="G208" s="9">
        <v>1202239</v>
      </c>
      <c r="H208" s="2">
        <v>66</v>
      </c>
      <c r="I208" t="s">
        <v>32</v>
      </c>
    </row>
    <row r="209" spans="1:9" x14ac:dyDescent="0.35">
      <c r="A209" s="2" t="s">
        <v>4420</v>
      </c>
      <c r="B209" s="2" t="s">
        <v>4388</v>
      </c>
      <c r="C209" s="9">
        <v>0.02</v>
      </c>
      <c r="D209" s="9">
        <v>248917</v>
      </c>
      <c r="E209" s="9">
        <v>0</v>
      </c>
      <c r="F209" s="9">
        <v>0</v>
      </c>
      <c r="G209" s="9">
        <v>248917</v>
      </c>
      <c r="H209" s="2">
        <v>67</v>
      </c>
      <c r="I209" t="s">
        <v>32</v>
      </c>
    </row>
    <row r="210" spans="1:9" x14ac:dyDescent="0.35">
      <c r="A210" s="2" t="s">
        <v>5979</v>
      </c>
      <c r="B210" s="2" t="s">
        <v>4388</v>
      </c>
      <c r="C210" s="9">
        <v>0.01</v>
      </c>
      <c r="D210" s="9">
        <v>66821</v>
      </c>
      <c r="E210" s="9">
        <v>0.01</v>
      </c>
      <c r="F210" s="9">
        <v>66821</v>
      </c>
      <c r="G210" s="9">
        <v>0</v>
      </c>
      <c r="H210" s="2">
        <v>68</v>
      </c>
      <c r="I210" t="s">
        <v>23</v>
      </c>
    </row>
    <row r="211" spans="1:9" x14ac:dyDescent="0.35">
      <c r="A211" s="2" t="s">
        <v>4421</v>
      </c>
      <c r="B211" s="2" t="s">
        <v>4388</v>
      </c>
      <c r="C211" s="9">
        <v>0</v>
      </c>
      <c r="D211" s="9">
        <v>0</v>
      </c>
      <c r="E211" s="9">
        <v>6.38</v>
      </c>
      <c r="F211" s="9">
        <v>8751924</v>
      </c>
      <c r="G211" s="9">
        <v>-8751924</v>
      </c>
      <c r="H211" s="2">
        <v>69</v>
      </c>
      <c r="I211" t="s">
        <v>25</v>
      </c>
    </row>
    <row r="212" spans="1:9" x14ac:dyDescent="0.35">
      <c r="A212" s="2" t="s">
        <v>4422</v>
      </c>
      <c r="B212" s="2" t="s">
        <v>4388</v>
      </c>
      <c r="C212" s="9">
        <v>0</v>
      </c>
      <c r="D212" s="9">
        <v>0</v>
      </c>
      <c r="E212" s="9">
        <v>0</v>
      </c>
      <c r="F212" s="9">
        <v>2798</v>
      </c>
      <c r="G212" s="9">
        <v>-2798</v>
      </c>
      <c r="H212" s="2">
        <v>70</v>
      </c>
      <c r="I212" t="s">
        <v>25</v>
      </c>
    </row>
    <row r="213" spans="1:9" x14ac:dyDescent="0.35">
      <c r="A213" s="2" t="s">
        <v>4423</v>
      </c>
      <c r="B213" s="2" t="s">
        <v>4388</v>
      </c>
      <c r="C213" s="9">
        <v>0</v>
      </c>
      <c r="D213" s="9">
        <v>0</v>
      </c>
      <c r="E213" s="9">
        <v>0.02</v>
      </c>
      <c r="F213" s="9">
        <v>33300</v>
      </c>
      <c r="G213" s="9">
        <v>-33300</v>
      </c>
      <c r="H213" s="2">
        <v>71</v>
      </c>
      <c r="I213" t="s">
        <v>25</v>
      </c>
    </row>
    <row r="214" spans="1:9" x14ac:dyDescent="0.35">
      <c r="A214" s="2" t="s">
        <v>4424</v>
      </c>
      <c r="B214" s="2" t="s">
        <v>4388</v>
      </c>
      <c r="C214" s="9">
        <v>0</v>
      </c>
      <c r="D214" s="9">
        <v>0</v>
      </c>
      <c r="E214" s="9">
        <v>0.16</v>
      </c>
      <c r="F214" s="9">
        <v>2354870</v>
      </c>
      <c r="G214" s="9">
        <v>-2354870</v>
      </c>
      <c r="H214" s="2">
        <v>72</v>
      </c>
      <c r="I214" t="s">
        <v>25</v>
      </c>
    </row>
    <row r="215" spans="1:9" x14ac:dyDescent="0.35">
      <c r="A215" s="2" t="s">
        <v>4425</v>
      </c>
      <c r="B215" s="2" t="s">
        <v>4388</v>
      </c>
      <c r="C215" s="9">
        <v>0</v>
      </c>
      <c r="D215" s="9">
        <v>0</v>
      </c>
      <c r="E215" s="9">
        <v>0.28999999999999998</v>
      </c>
      <c r="F215" s="9">
        <v>337102</v>
      </c>
      <c r="G215" s="9">
        <v>-337102</v>
      </c>
      <c r="H215" s="2">
        <v>73</v>
      </c>
      <c r="I215" t="s">
        <v>25</v>
      </c>
    </row>
    <row r="216" spans="1:9" x14ac:dyDescent="0.35">
      <c r="A216" s="2" t="s">
        <v>4426</v>
      </c>
      <c r="B216" s="2" t="s">
        <v>4388</v>
      </c>
      <c r="C216" s="9">
        <v>0</v>
      </c>
      <c r="D216" s="9">
        <v>0</v>
      </c>
      <c r="E216" s="9">
        <v>0</v>
      </c>
      <c r="F216" s="9">
        <v>0</v>
      </c>
      <c r="G216" s="9">
        <v>0</v>
      </c>
      <c r="H216" s="2">
        <v>74</v>
      </c>
      <c r="I216" t="s">
        <v>36</v>
      </c>
    </row>
    <row r="217" spans="1:9" x14ac:dyDescent="0.35">
      <c r="A217" s="2" t="s">
        <v>4427</v>
      </c>
      <c r="B217" s="2" t="s">
        <v>4388</v>
      </c>
      <c r="C217" s="9">
        <v>0</v>
      </c>
      <c r="D217" s="9">
        <v>0</v>
      </c>
      <c r="E217" s="9">
        <v>0</v>
      </c>
      <c r="F217" s="9">
        <v>0</v>
      </c>
      <c r="G217" s="9">
        <v>0</v>
      </c>
      <c r="H217" s="2">
        <v>75</v>
      </c>
      <c r="I217" t="s">
        <v>36</v>
      </c>
    </row>
    <row r="218" spans="1:9" x14ac:dyDescent="0.35">
      <c r="A218" s="2" t="s">
        <v>4387</v>
      </c>
      <c r="B218" s="2" t="s">
        <v>4428</v>
      </c>
      <c r="C218" s="9">
        <v>8.7799999999999994</v>
      </c>
      <c r="D218" s="9">
        <v>4258124</v>
      </c>
      <c r="E218" s="9">
        <v>9.39</v>
      </c>
      <c r="F218" s="9">
        <v>4566523</v>
      </c>
      <c r="G218" s="9">
        <v>-308399</v>
      </c>
      <c r="H218" s="2">
        <v>1</v>
      </c>
      <c r="I218" t="s">
        <v>25</v>
      </c>
    </row>
    <row r="219" spans="1:9" x14ac:dyDescent="0.35">
      <c r="A219" s="2" t="s">
        <v>4389</v>
      </c>
      <c r="B219" s="2" t="s">
        <v>4428</v>
      </c>
      <c r="C219" s="9">
        <v>8.58</v>
      </c>
      <c r="D219" s="9">
        <v>1629408</v>
      </c>
      <c r="E219" s="9">
        <v>8.4499999999999993</v>
      </c>
      <c r="F219" s="9">
        <v>1505408</v>
      </c>
      <c r="G219" s="9">
        <v>124000</v>
      </c>
      <c r="H219" s="2">
        <v>2</v>
      </c>
      <c r="I219" t="s">
        <v>22</v>
      </c>
    </row>
    <row r="220" spans="1:9" x14ac:dyDescent="0.35">
      <c r="A220" s="2" t="s">
        <v>4398</v>
      </c>
      <c r="B220" s="2" t="s">
        <v>4428</v>
      </c>
      <c r="C220" s="9">
        <v>6.3</v>
      </c>
      <c r="D220" s="9">
        <v>2665137</v>
      </c>
      <c r="E220" s="9">
        <v>7.45</v>
      </c>
      <c r="F220" s="9">
        <v>3221216</v>
      </c>
      <c r="G220" s="9">
        <v>-556079</v>
      </c>
      <c r="H220" s="2">
        <v>3</v>
      </c>
      <c r="I220" t="s">
        <v>25</v>
      </c>
    </row>
    <row r="221" spans="1:9" x14ac:dyDescent="0.35">
      <c r="A221" s="2" t="s">
        <v>4391</v>
      </c>
      <c r="B221" s="2" t="s">
        <v>4428</v>
      </c>
      <c r="C221" s="9">
        <v>5.59</v>
      </c>
      <c r="D221" s="9">
        <v>1996395</v>
      </c>
      <c r="E221" s="9">
        <v>5.07</v>
      </c>
      <c r="F221" s="9">
        <v>1725828</v>
      </c>
      <c r="G221" s="9">
        <v>270567</v>
      </c>
      <c r="H221" s="2">
        <v>4</v>
      </c>
      <c r="I221" t="s">
        <v>22</v>
      </c>
    </row>
    <row r="222" spans="1:9" x14ac:dyDescent="0.35">
      <c r="A222" s="2" t="s">
        <v>4390</v>
      </c>
      <c r="B222" s="2" t="s">
        <v>4428</v>
      </c>
      <c r="C222" s="9">
        <v>5.38</v>
      </c>
      <c r="D222" s="9">
        <v>970370</v>
      </c>
      <c r="E222" s="9">
        <v>5.79</v>
      </c>
      <c r="F222" s="9">
        <v>1063370</v>
      </c>
      <c r="G222" s="9">
        <v>-93000</v>
      </c>
      <c r="H222" s="2">
        <v>5</v>
      </c>
      <c r="I222" t="s">
        <v>25</v>
      </c>
    </row>
    <row r="223" spans="1:9" x14ac:dyDescent="0.35">
      <c r="A223" s="2" t="s">
        <v>5949</v>
      </c>
      <c r="B223" s="2" t="s">
        <v>4428</v>
      </c>
      <c r="C223" s="9">
        <v>4.5199999999999996</v>
      </c>
      <c r="D223" s="9">
        <v>1324784</v>
      </c>
      <c r="E223" s="9">
        <v>0</v>
      </c>
      <c r="F223" s="9">
        <v>0</v>
      </c>
      <c r="G223" s="9">
        <v>1324784</v>
      </c>
      <c r="H223" s="2">
        <v>6</v>
      </c>
      <c r="I223" t="s">
        <v>32</v>
      </c>
    </row>
    <row r="224" spans="1:9" x14ac:dyDescent="0.35">
      <c r="A224" s="2" t="s">
        <v>4395</v>
      </c>
      <c r="B224" s="2" t="s">
        <v>4428</v>
      </c>
      <c r="C224" s="9">
        <v>3.79</v>
      </c>
      <c r="D224" s="9">
        <v>186652</v>
      </c>
      <c r="E224" s="9">
        <v>4.58</v>
      </c>
      <c r="F224" s="9">
        <v>212704</v>
      </c>
      <c r="G224" s="9">
        <v>-26052</v>
      </c>
      <c r="H224" s="2">
        <v>7</v>
      </c>
      <c r="I224" t="s">
        <v>25</v>
      </c>
    </row>
    <row r="225" spans="1:9" x14ac:dyDescent="0.35">
      <c r="A225" s="2" t="s">
        <v>4415</v>
      </c>
      <c r="B225" s="2" t="s">
        <v>4428</v>
      </c>
      <c r="C225" s="9">
        <v>3.35</v>
      </c>
      <c r="D225" s="9">
        <v>1199538</v>
      </c>
      <c r="E225" s="9">
        <v>2.58</v>
      </c>
      <c r="F225" s="9">
        <v>946288</v>
      </c>
      <c r="G225" s="9">
        <v>253250</v>
      </c>
      <c r="H225" s="2">
        <v>8</v>
      </c>
      <c r="I225" t="s">
        <v>22</v>
      </c>
    </row>
    <row r="226" spans="1:9" x14ac:dyDescent="0.35">
      <c r="A226" s="2" t="s">
        <v>46</v>
      </c>
      <c r="B226" s="2" t="s">
        <v>4428</v>
      </c>
      <c r="C226" s="9">
        <v>3.29</v>
      </c>
      <c r="D226" s="9">
        <v>399211</v>
      </c>
      <c r="E226" s="9">
        <v>2.71</v>
      </c>
      <c r="F226" s="9">
        <v>326752</v>
      </c>
      <c r="G226" s="9">
        <v>72459</v>
      </c>
      <c r="H226" s="2">
        <v>9</v>
      </c>
      <c r="I226" t="s">
        <v>22</v>
      </c>
    </row>
    <row r="227" spans="1:9" x14ac:dyDescent="0.35">
      <c r="A227" s="2" t="s">
        <v>4397</v>
      </c>
      <c r="B227" s="2" t="s">
        <v>4428</v>
      </c>
      <c r="C227" s="9">
        <v>3.2</v>
      </c>
      <c r="D227" s="9">
        <v>7094486</v>
      </c>
      <c r="E227" s="9">
        <v>3.11</v>
      </c>
      <c r="F227" s="9">
        <v>7464486</v>
      </c>
      <c r="G227" s="9">
        <v>-370000</v>
      </c>
      <c r="H227" s="2">
        <v>10</v>
      </c>
      <c r="I227" t="s">
        <v>25</v>
      </c>
    </row>
    <row r="228" spans="1:9" x14ac:dyDescent="0.35">
      <c r="A228" s="2" t="s">
        <v>4392</v>
      </c>
      <c r="B228" s="2" t="s">
        <v>4428</v>
      </c>
      <c r="C228" s="9">
        <v>3.2</v>
      </c>
      <c r="D228" s="9">
        <v>1621759</v>
      </c>
      <c r="E228" s="9">
        <v>2.4500000000000002</v>
      </c>
      <c r="F228" s="9">
        <v>1126134</v>
      </c>
      <c r="G228" s="9">
        <v>495625</v>
      </c>
      <c r="H228" s="2">
        <v>11</v>
      </c>
      <c r="I228" t="s">
        <v>22</v>
      </c>
    </row>
    <row r="229" spans="1:9" x14ac:dyDescent="0.35">
      <c r="A229" s="2" t="s">
        <v>4418</v>
      </c>
      <c r="B229" s="2" t="s">
        <v>4428</v>
      </c>
      <c r="C229" s="9">
        <v>3.16</v>
      </c>
      <c r="D229" s="9">
        <v>2654271</v>
      </c>
      <c r="E229" s="9">
        <v>2.8</v>
      </c>
      <c r="F229" s="9">
        <v>2224271</v>
      </c>
      <c r="G229" s="9">
        <v>430000</v>
      </c>
      <c r="H229" s="2">
        <v>12</v>
      </c>
      <c r="I229" t="s">
        <v>22</v>
      </c>
    </row>
    <row r="230" spans="1:9" x14ac:dyDescent="0.35">
      <c r="A230" s="2" t="s">
        <v>4394</v>
      </c>
      <c r="B230" s="2" t="s">
        <v>4428</v>
      </c>
      <c r="C230" s="9">
        <v>3.14</v>
      </c>
      <c r="D230" s="9">
        <v>1708421</v>
      </c>
      <c r="E230" s="9">
        <v>3.05</v>
      </c>
      <c r="F230" s="9">
        <v>1578421</v>
      </c>
      <c r="G230" s="9">
        <v>130000</v>
      </c>
      <c r="H230" s="2">
        <v>13</v>
      </c>
      <c r="I230" t="s">
        <v>22</v>
      </c>
    </row>
    <row r="231" spans="1:9" x14ac:dyDescent="0.35">
      <c r="A231" s="2" t="s">
        <v>4401</v>
      </c>
      <c r="B231" s="2" t="s">
        <v>4428</v>
      </c>
      <c r="C231" s="9">
        <v>3.06</v>
      </c>
      <c r="D231" s="9">
        <v>1077249</v>
      </c>
      <c r="E231" s="9">
        <v>3.14</v>
      </c>
      <c r="F231" s="9">
        <v>1077249</v>
      </c>
      <c r="G231" s="9">
        <v>0</v>
      </c>
      <c r="H231" s="2">
        <v>14</v>
      </c>
      <c r="I231" t="s">
        <v>23</v>
      </c>
    </row>
    <row r="232" spans="1:9" x14ac:dyDescent="0.35">
      <c r="A232" s="2" t="s">
        <v>4404</v>
      </c>
      <c r="B232" s="2" t="s">
        <v>4428</v>
      </c>
      <c r="C232" s="9">
        <v>2.81</v>
      </c>
      <c r="D232" s="9">
        <v>361822</v>
      </c>
      <c r="E232" s="9">
        <v>3.34</v>
      </c>
      <c r="F232" s="9">
        <v>389810</v>
      </c>
      <c r="G232" s="9">
        <v>-27988</v>
      </c>
      <c r="H232" s="2">
        <v>15</v>
      </c>
      <c r="I232" t="s">
        <v>25</v>
      </c>
    </row>
    <row r="233" spans="1:9" x14ac:dyDescent="0.35">
      <c r="A233" s="2" t="s">
        <v>4409</v>
      </c>
      <c r="B233" s="2" t="s">
        <v>4428</v>
      </c>
      <c r="C233" s="9">
        <v>2.71</v>
      </c>
      <c r="D233" s="9">
        <v>5412116</v>
      </c>
      <c r="E233" s="9">
        <v>2.1800000000000002</v>
      </c>
      <c r="F233" s="9">
        <v>5594909</v>
      </c>
      <c r="G233" s="9">
        <v>-182793</v>
      </c>
      <c r="H233" s="2">
        <v>16</v>
      </c>
      <c r="I233" t="s">
        <v>25</v>
      </c>
    </row>
    <row r="234" spans="1:9" x14ac:dyDescent="0.35">
      <c r="A234" s="2" t="s">
        <v>4396</v>
      </c>
      <c r="B234" s="2" t="s">
        <v>4428</v>
      </c>
      <c r="C234" s="9">
        <v>2.59</v>
      </c>
      <c r="D234" s="9">
        <v>390645</v>
      </c>
      <c r="E234" s="9">
        <v>0.4</v>
      </c>
      <c r="F234" s="9">
        <v>62553</v>
      </c>
      <c r="G234" s="9">
        <v>328092</v>
      </c>
      <c r="H234" s="2">
        <v>17</v>
      </c>
      <c r="I234" t="s">
        <v>22</v>
      </c>
    </row>
    <row r="235" spans="1:9" x14ac:dyDescent="0.35">
      <c r="A235" s="2" t="s">
        <v>4429</v>
      </c>
      <c r="B235" s="2" t="s">
        <v>4428</v>
      </c>
      <c r="C235" s="9">
        <v>2.4</v>
      </c>
      <c r="D235" s="9">
        <v>670461</v>
      </c>
      <c r="E235" s="9">
        <v>2.37</v>
      </c>
      <c r="F235" s="9">
        <v>687447</v>
      </c>
      <c r="G235" s="9">
        <v>-16986</v>
      </c>
      <c r="H235" s="2">
        <v>18</v>
      </c>
      <c r="I235" t="s">
        <v>25</v>
      </c>
    </row>
    <row r="236" spans="1:9" x14ac:dyDescent="0.35">
      <c r="A236" s="2" t="s">
        <v>4402</v>
      </c>
      <c r="B236" s="2" t="s">
        <v>4428</v>
      </c>
      <c r="C236" s="9">
        <v>2.35</v>
      </c>
      <c r="D236" s="9">
        <v>2745459</v>
      </c>
      <c r="E236" s="9">
        <v>2.09</v>
      </c>
      <c r="F236" s="9">
        <v>3045459</v>
      </c>
      <c r="G236" s="9">
        <v>-300000</v>
      </c>
      <c r="H236" s="2">
        <v>19</v>
      </c>
      <c r="I236" t="s">
        <v>25</v>
      </c>
    </row>
    <row r="237" spans="1:9" x14ac:dyDescent="0.35">
      <c r="A237" s="2" t="s">
        <v>4430</v>
      </c>
      <c r="B237" s="2" t="s">
        <v>4428</v>
      </c>
      <c r="C237" s="9">
        <v>2.25</v>
      </c>
      <c r="D237" s="9">
        <v>310148</v>
      </c>
      <c r="E237" s="9">
        <v>1.91</v>
      </c>
      <c r="F237" s="9">
        <v>253521</v>
      </c>
      <c r="G237" s="9">
        <v>56627</v>
      </c>
      <c r="H237" s="2">
        <v>20</v>
      </c>
      <c r="I237" t="s">
        <v>22</v>
      </c>
    </row>
    <row r="238" spans="1:9" x14ac:dyDescent="0.35">
      <c r="A238" s="2" t="s">
        <v>4431</v>
      </c>
      <c r="B238" s="2" t="s">
        <v>4428</v>
      </c>
      <c r="C238" s="9">
        <v>2.2400000000000002</v>
      </c>
      <c r="D238" s="9">
        <v>1359404</v>
      </c>
      <c r="E238" s="9">
        <v>1.89</v>
      </c>
      <c r="F238" s="9">
        <v>1122616</v>
      </c>
      <c r="G238" s="9">
        <v>236788</v>
      </c>
      <c r="H238" s="2">
        <v>21</v>
      </c>
      <c r="I238" t="s">
        <v>22</v>
      </c>
    </row>
    <row r="239" spans="1:9" x14ac:dyDescent="0.35">
      <c r="A239" s="2" t="s">
        <v>5964</v>
      </c>
      <c r="B239" s="2" t="s">
        <v>4428</v>
      </c>
      <c r="C239" s="9">
        <v>2.2400000000000002</v>
      </c>
      <c r="D239" s="9">
        <v>783457</v>
      </c>
      <c r="E239" s="9">
        <v>2.3199999999999998</v>
      </c>
      <c r="F239" s="9">
        <v>783457</v>
      </c>
      <c r="G239" s="9">
        <v>0</v>
      </c>
      <c r="H239" s="2">
        <v>22</v>
      </c>
      <c r="I239" t="s">
        <v>23</v>
      </c>
    </row>
    <row r="240" spans="1:9" x14ac:dyDescent="0.35">
      <c r="A240" s="2" t="s">
        <v>4399</v>
      </c>
      <c r="B240" s="2" t="s">
        <v>4428</v>
      </c>
      <c r="C240" s="9">
        <v>2.1800000000000002</v>
      </c>
      <c r="D240" s="9">
        <v>824361</v>
      </c>
      <c r="E240" s="9">
        <v>1.94</v>
      </c>
      <c r="F240" s="9">
        <v>674361</v>
      </c>
      <c r="G240" s="9">
        <v>150000</v>
      </c>
      <c r="H240" s="2">
        <v>23</v>
      </c>
      <c r="I240" t="s">
        <v>22</v>
      </c>
    </row>
    <row r="241" spans="1:9" x14ac:dyDescent="0.35">
      <c r="A241" s="2" t="s">
        <v>4393</v>
      </c>
      <c r="B241" s="2" t="s">
        <v>4428</v>
      </c>
      <c r="C241" s="9">
        <v>2.02</v>
      </c>
      <c r="D241" s="9">
        <v>117747</v>
      </c>
      <c r="E241" s="9">
        <v>0</v>
      </c>
      <c r="F241" s="9">
        <v>0</v>
      </c>
      <c r="G241" s="9">
        <v>117747</v>
      </c>
      <c r="H241" s="2">
        <v>24</v>
      </c>
      <c r="I241" t="s">
        <v>32</v>
      </c>
    </row>
    <row r="242" spans="1:9" x14ac:dyDescent="0.35">
      <c r="A242" s="2" t="s">
        <v>4405</v>
      </c>
      <c r="B242" s="2" t="s">
        <v>4428</v>
      </c>
      <c r="C242" s="9">
        <v>2</v>
      </c>
      <c r="D242" s="9">
        <v>9834031</v>
      </c>
      <c r="E242" s="9">
        <v>2.27</v>
      </c>
      <c r="F242" s="9">
        <v>12027510</v>
      </c>
      <c r="G242" s="9">
        <v>-2193479</v>
      </c>
      <c r="H242" s="2">
        <v>25</v>
      </c>
      <c r="I242" t="s">
        <v>25</v>
      </c>
    </row>
    <row r="243" spans="1:9" x14ac:dyDescent="0.35">
      <c r="A243" s="2" t="s">
        <v>4412</v>
      </c>
      <c r="B243" s="2" t="s">
        <v>4428</v>
      </c>
      <c r="C243" s="9">
        <v>1.99</v>
      </c>
      <c r="D243" s="9">
        <v>371289</v>
      </c>
      <c r="E243" s="9">
        <v>1.58</v>
      </c>
      <c r="F243" s="9">
        <v>273693</v>
      </c>
      <c r="G243" s="9">
        <v>97596</v>
      </c>
      <c r="H243" s="2">
        <v>26</v>
      </c>
      <c r="I243" t="s">
        <v>22</v>
      </c>
    </row>
    <row r="244" spans="1:9" x14ac:dyDescent="0.35">
      <c r="A244" s="2" t="s">
        <v>4432</v>
      </c>
      <c r="B244" s="2" t="s">
        <v>4428</v>
      </c>
      <c r="C244" s="9">
        <v>1.83</v>
      </c>
      <c r="D244" s="9">
        <v>789937</v>
      </c>
      <c r="E244" s="9">
        <v>1.51</v>
      </c>
      <c r="F244" s="9">
        <v>694823</v>
      </c>
      <c r="G244" s="9">
        <v>95114</v>
      </c>
      <c r="H244" s="2">
        <v>27</v>
      </c>
      <c r="I244" t="s">
        <v>22</v>
      </c>
    </row>
    <row r="245" spans="1:9" x14ac:dyDescent="0.35">
      <c r="A245" s="2" t="s">
        <v>4433</v>
      </c>
      <c r="B245" s="2" t="s">
        <v>4428</v>
      </c>
      <c r="C245" s="9">
        <v>1.49</v>
      </c>
      <c r="D245" s="9">
        <v>539893</v>
      </c>
      <c r="E245" s="9">
        <v>1.25</v>
      </c>
      <c r="F245" s="9">
        <v>443906</v>
      </c>
      <c r="G245" s="9">
        <v>95987</v>
      </c>
      <c r="H245" s="2">
        <v>28</v>
      </c>
      <c r="I245" t="s">
        <v>22</v>
      </c>
    </row>
    <row r="246" spans="1:9" x14ac:dyDescent="0.35">
      <c r="A246" s="2" t="s">
        <v>5945</v>
      </c>
      <c r="B246" s="2" t="s">
        <v>4428</v>
      </c>
      <c r="C246" s="9">
        <v>0.81</v>
      </c>
      <c r="D246" s="9">
        <v>1505408</v>
      </c>
      <c r="E246" s="9">
        <v>0</v>
      </c>
      <c r="F246" s="9">
        <v>0</v>
      </c>
      <c r="G246" s="9">
        <v>1505408</v>
      </c>
      <c r="H246" s="2">
        <v>29</v>
      </c>
      <c r="I246" t="s">
        <v>32</v>
      </c>
    </row>
    <row r="247" spans="1:9" x14ac:dyDescent="0.35">
      <c r="A247" s="2" t="s">
        <v>49</v>
      </c>
      <c r="B247" s="2" t="s">
        <v>4428</v>
      </c>
      <c r="C247" s="9">
        <v>0.4</v>
      </c>
      <c r="D247" s="9">
        <v>112573</v>
      </c>
      <c r="E247" s="9">
        <v>0</v>
      </c>
      <c r="F247" s="9">
        <v>0</v>
      </c>
      <c r="G247" s="9">
        <v>112573</v>
      </c>
      <c r="H247" s="2">
        <v>30</v>
      </c>
      <c r="I247" t="s">
        <v>32</v>
      </c>
    </row>
    <row r="248" spans="1:9" x14ac:dyDescent="0.35">
      <c r="A248" s="2" t="s">
        <v>4421</v>
      </c>
      <c r="B248" s="2" t="s">
        <v>4428</v>
      </c>
      <c r="C248" s="9">
        <v>0</v>
      </c>
      <c r="D248" s="9">
        <v>0</v>
      </c>
      <c r="E248" s="9">
        <v>4.9000000000000004</v>
      </c>
      <c r="F248" s="9">
        <v>788562</v>
      </c>
      <c r="G248" s="9">
        <v>-788562</v>
      </c>
      <c r="H248" s="2">
        <v>31</v>
      </c>
      <c r="I248" t="s">
        <v>25</v>
      </c>
    </row>
    <row r="249" spans="1:9" x14ac:dyDescent="0.35">
      <c r="A249" s="2" t="s">
        <v>5958</v>
      </c>
      <c r="B249" s="2" t="s">
        <v>4428</v>
      </c>
      <c r="C249" s="9">
        <v>0</v>
      </c>
      <c r="D249" s="9">
        <v>0</v>
      </c>
      <c r="E249" s="9">
        <v>0</v>
      </c>
      <c r="F249" s="9">
        <v>0</v>
      </c>
      <c r="G249" s="9">
        <v>0</v>
      </c>
      <c r="H249" s="2">
        <v>32</v>
      </c>
      <c r="I249" t="s">
        <v>36</v>
      </c>
    </row>
    <row r="250" spans="1:9" x14ac:dyDescent="0.35">
      <c r="A250" s="2" t="s">
        <v>4413</v>
      </c>
      <c r="B250" s="2" t="s">
        <v>4428</v>
      </c>
      <c r="C250" s="9">
        <v>0</v>
      </c>
      <c r="D250" s="9">
        <v>0</v>
      </c>
      <c r="E250" s="9">
        <v>2.09</v>
      </c>
      <c r="F250" s="9">
        <v>2426100</v>
      </c>
      <c r="G250" s="9">
        <v>-2426100</v>
      </c>
      <c r="H250" s="2">
        <v>33</v>
      </c>
      <c r="I250" t="s">
        <v>25</v>
      </c>
    </row>
    <row r="251" spans="1:9" x14ac:dyDescent="0.35">
      <c r="A251" s="2" t="s">
        <v>4434</v>
      </c>
      <c r="B251" s="2" t="s">
        <v>4428</v>
      </c>
      <c r="C251" s="9">
        <v>0</v>
      </c>
      <c r="D251" s="9">
        <v>0</v>
      </c>
      <c r="E251" s="9">
        <v>0</v>
      </c>
      <c r="F251" s="9">
        <v>0</v>
      </c>
      <c r="G251" s="9">
        <v>0</v>
      </c>
      <c r="H251" s="2">
        <v>34</v>
      </c>
      <c r="I251" t="s">
        <v>36</v>
      </c>
    </row>
    <row r="252" spans="1:9" x14ac:dyDescent="0.35">
      <c r="A252" s="2" t="s">
        <v>4435</v>
      </c>
      <c r="B252" s="2" t="s">
        <v>4428</v>
      </c>
      <c r="C252" s="9">
        <v>0</v>
      </c>
      <c r="D252" s="9">
        <v>0</v>
      </c>
      <c r="E252" s="9">
        <v>0</v>
      </c>
      <c r="F252" s="9">
        <v>0</v>
      </c>
      <c r="G252" s="9">
        <v>0</v>
      </c>
      <c r="H252" s="2">
        <v>35</v>
      </c>
      <c r="I252" t="s">
        <v>36</v>
      </c>
    </row>
    <row r="253" spans="1:9" x14ac:dyDescent="0.35">
      <c r="A253" s="2" t="s">
        <v>4410</v>
      </c>
      <c r="B253" s="2" t="s">
        <v>4428</v>
      </c>
      <c r="C253" s="9">
        <v>0</v>
      </c>
      <c r="D253" s="9">
        <v>0</v>
      </c>
      <c r="E253" s="9">
        <v>1.53</v>
      </c>
      <c r="F253" s="9">
        <v>183020</v>
      </c>
      <c r="G253" s="9">
        <v>-183020</v>
      </c>
      <c r="H253" s="2">
        <v>36</v>
      </c>
      <c r="I253" t="s">
        <v>25</v>
      </c>
    </row>
    <row r="254" spans="1:9" x14ac:dyDescent="0.35">
      <c r="A254" s="2" t="s">
        <v>4436</v>
      </c>
      <c r="B254" s="2" t="s">
        <v>4428</v>
      </c>
      <c r="C254" s="9">
        <v>0</v>
      </c>
      <c r="D254" s="9">
        <v>0</v>
      </c>
      <c r="E254" s="9">
        <v>1.39</v>
      </c>
      <c r="F254" s="9">
        <v>745051</v>
      </c>
      <c r="G254" s="9">
        <v>-745051</v>
      </c>
      <c r="H254" s="2">
        <v>37</v>
      </c>
      <c r="I254" t="s">
        <v>25</v>
      </c>
    </row>
    <row r="255" spans="1:9" x14ac:dyDescent="0.35">
      <c r="A255" s="2" t="s">
        <v>4437</v>
      </c>
      <c r="B255" s="2" t="s">
        <v>4428</v>
      </c>
      <c r="C255" s="9">
        <v>0</v>
      </c>
      <c r="D255" s="9">
        <v>0</v>
      </c>
      <c r="E255" s="9">
        <v>0</v>
      </c>
      <c r="F255" s="9">
        <v>0</v>
      </c>
      <c r="G255" s="9">
        <v>0</v>
      </c>
      <c r="H255" s="2">
        <v>38</v>
      </c>
      <c r="I255" t="s">
        <v>36</v>
      </c>
    </row>
    <row r="256" spans="1:9" x14ac:dyDescent="0.35">
      <c r="A256" s="2" t="s">
        <v>4438</v>
      </c>
      <c r="B256" s="2" t="s">
        <v>4439</v>
      </c>
      <c r="C256" s="9">
        <v>4.22</v>
      </c>
      <c r="D256" s="9">
        <v>1870832</v>
      </c>
      <c r="E256" s="9">
        <v>4.5999999999999996</v>
      </c>
      <c r="F256" s="9">
        <v>1851866</v>
      </c>
      <c r="G256" s="9">
        <v>18966</v>
      </c>
      <c r="H256" s="2">
        <v>1</v>
      </c>
      <c r="I256" t="s">
        <v>22</v>
      </c>
    </row>
    <row r="257" spans="1:9" x14ac:dyDescent="0.35">
      <c r="A257" s="2" t="s">
        <v>4440</v>
      </c>
      <c r="B257" s="2" t="s">
        <v>4439</v>
      </c>
      <c r="C257" s="9">
        <v>3.54</v>
      </c>
      <c r="D257" s="9">
        <v>1480723</v>
      </c>
      <c r="E257" s="9">
        <v>3.25</v>
      </c>
      <c r="F257" s="9">
        <v>1430723</v>
      </c>
      <c r="G257" s="9">
        <v>50000</v>
      </c>
      <c r="H257" s="2">
        <v>2</v>
      </c>
      <c r="I257" t="s">
        <v>22</v>
      </c>
    </row>
    <row r="258" spans="1:9" x14ac:dyDescent="0.35">
      <c r="A258" s="2" t="s">
        <v>5980</v>
      </c>
      <c r="B258" s="2" t="s">
        <v>4439</v>
      </c>
      <c r="C258" s="9">
        <v>3.21</v>
      </c>
      <c r="D258" s="9">
        <v>9166610</v>
      </c>
      <c r="E258" s="9">
        <v>3.25</v>
      </c>
      <c r="F258" s="9">
        <v>9166610</v>
      </c>
      <c r="G258" s="9">
        <v>0</v>
      </c>
      <c r="H258" s="2">
        <v>3</v>
      </c>
      <c r="I258" t="s">
        <v>23</v>
      </c>
    </row>
    <row r="259" spans="1:9" x14ac:dyDescent="0.35">
      <c r="A259" s="2" t="s">
        <v>4441</v>
      </c>
      <c r="B259" s="2" t="s">
        <v>4439</v>
      </c>
      <c r="C259" s="9">
        <v>3.01</v>
      </c>
      <c r="D259" s="9">
        <v>1023989</v>
      </c>
      <c r="E259" s="9">
        <v>3.5</v>
      </c>
      <c r="F259" s="9">
        <v>1183233</v>
      </c>
      <c r="G259" s="9">
        <v>-159244</v>
      </c>
      <c r="H259" s="2">
        <v>4</v>
      </c>
      <c r="I259" t="s">
        <v>25</v>
      </c>
    </row>
    <row r="260" spans="1:9" x14ac:dyDescent="0.35">
      <c r="A260" s="2" t="s">
        <v>5981</v>
      </c>
      <c r="B260" s="2" t="s">
        <v>4439</v>
      </c>
      <c r="C260" s="9">
        <v>2.98</v>
      </c>
      <c r="D260" s="9">
        <v>873867</v>
      </c>
      <c r="E260" s="9">
        <v>3.22</v>
      </c>
      <c r="F260" s="9">
        <v>873867</v>
      </c>
      <c r="G260" s="9">
        <v>0</v>
      </c>
      <c r="H260" s="2">
        <v>5</v>
      </c>
      <c r="I260" t="s">
        <v>23</v>
      </c>
    </row>
    <row r="261" spans="1:9" x14ac:dyDescent="0.35">
      <c r="A261" s="2" t="s">
        <v>5982</v>
      </c>
      <c r="B261" s="2" t="s">
        <v>4439</v>
      </c>
      <c r="C261" s="9">
        <v>2.42</v>
      </c>
      <c r="D261" s="9">
        <v>1617691</v>
      </c>
      <c r="E261" s="9">
        <v>2.4</v>
      </c>
      <c r="F261" s="9">
        <v>1617691</v>
      </c>
      <c r="G261" s="9">
        <v>0</v>
      </c>
      <c r="H261" s="2">
        <v>6</v>
      </c>
      <c r="I261" t="s">
        <v>23</v>
      </c>
    </row>
    <row r="262" spans="1:9" x14ac:dyDescent="0.35">
      <c r="A262" s="2" t="s">
        <v>4442</v>
      </c>
      <c r="B262" s="2" t="s">
        <v>4439</v>
      </c>
      <c r="C262" s="9">
        <v>2.37</v>
      </c>
      <c r="D262" s="9">
        <v>634852</v>
      </c>
      <c r="E262" s="9">
        <v>2.4900000000000002</v>
      </c>
      <c r="F262" s="9">
        <v>651065</v>
      </c>
      <c r="G262" s="9">
        <v>-16213</v>
      </c>
      <c r="H262" s="2">
        <v>7</v>
      </c>
      <c r="I262" t="s">
        <v>25</v>
      </c>
    </row>
    <row r="263" spans="1:9" x14ac:dyDescent="0.35">
      <c r="A263" s="2" t="s">
        <v>5983</v>
      </c>
      <c r="B263" s="2" t="s">
        <v>4439</v>
      </c>
      <c r="C263" s="9">
        <v>2.37</v>
      </c>
      <c r="D263" s="9">
        <v>676631</v>
      </c>
      <c r="E263" s="9">
        <v>2.4700000000000002</v>
      </c>
      <c r="F263" s="9">
        <v>676631</v>
      </c>
      <c r="G263" s="9">
        <v>0</v>
      </c>
      <c r="H263" s="2">
        <v>8</v>
      </c>
      <c r="I263" t="s">
        <v>23</v>
      </c>
    </row>
    <row r="264" spans="1:9" x14ac:dyDescent="0.35">
      <c r="A264" s="2" t="s">
        <v>5984</v>
      </c>
      <c r="B264" s="2" t="s">
        <v>4439</v>
      </c>
      <c r="C264" s="9">
        <v>2.34</v>
      </c>
      <c r="D264" s="9">
        <v>917205</v>
      </c>
      <c r="E264" s="9">
        <v>2.2799999999999998</v>
      </c>
      <c r="F264" s="9">
        <v>917205</v>
      </c>
      <c r="G264" s="9">
        <v>0</v>
      </c>
      <c r="H264" s="2">
        <v>9</v>
      </c>
      <c r="I264" t="s">
        <v>23</v>
      </c>
    </row>
    <row r="265" spans="1:9" x14ac:dyDescent="0.35">
      <c r="A265" s="2" t="s">
        <v>5985</v>
      </c>
      <c r="B265" s="2" t="s">
        <v>4439</v>
      </c>
      <c r="C265" s="9">
        <v>2.2599999999999998</v>
      </c>
      <c r="D265" s="9">
        <v>2848630</v>
      </c>
      <c r="E265" s="9">
        <v>2.19</v>
      </c>
      <c r="F265" s="9">
        <v>2848630</v>
      </c>
      <c r="G265" s="9">
        <v>0</v>
      </c>
      <c r="H265" s="2">
        <v>10</v>
      </c>
      <c r="I265" t="s">
        <v>23</v>
      </c>
    </row>
    <row r="266" spans="1:9" x14ac:dyDescent="0.35">
      <c r="A266" s="2" t="s">
        <v>5986</v>
      </c>
      <c r="B266" s="2" t="s">
        <v>4439</v>
      </c>
      <c r="C266" s="9">
        <v>2.0699999999999998</v>
      </c>
      <c r="D266" s="9">
        <v>2250439</v>
      </c>
      <c r="E266" s="9">
        <v>2.2400000000000002</v>
      </c>
      <c r="F266" s="9">
        <v>2250439</v>
      </c>
      <c r="G266" s="9">
        <v>0</v>
      </c>
      <c r="H266" s="2">
        <v>11</v>
      </c>
      <c r="I266" t="s">
        <v>23</v>
      </c>
    </row>
    <row r="267" spans="1:9" x14ac:dyDescent="0.35">
      <c r="A267" s="2" t="s">
        <v>5987</v>
      </c>
      <c r="B267" s="2" t="s">
        <v>4439</v>
      </c>
      <c r="C267" s="9">
        <v>1.98</v>
      </c>
      <c r="D267" s="9">
        <v>3966215</v>
      </c>
      <c r="E267" s="9">
        <v>2.34</v>
      </c>
      <c r="F267" s="9">
        <v>3966215</v>
      </c>
      <c r="G267" s="9">
        <v>0</v>
      </c>
      <c r="H267" s="2">
        <v>12</v>
      </c>
      <c r="I267" t="s">
        <v>23</v>
      </c>
    </row>
    <row r="268" spans="1:9" x14ac:dyDescent="0.35">
      <c r="A268" s="2" t="s">
        <v>5988</v>
      </c>
      <c r="B268" s="2" t="s">
        <v>4439</v>
      </c>
      <c r="C268" s="9">
        <v>1.96</v>
      </c>
      <c r="D268" s="9">
        <v>3689521</v>
      </c>
      <c r="E268" s="9">
        <v>2</v>
      </c>
      <c r="F268" s="9">
        <v>3689521</v>
      </c>
      <c r="G268" s="9">
        <v>0</v>
      </c>
      <c r="H268" s="2">
        <v>13</v>
      </c>
      <c r="I268" t="s">
        <v>23</v>
      </c>
    </row>
    <row r="269" spans="1:9" x14ac:dyDescent="0.35">
      <c r="A269" s="2" t="s">
        <v>5989</v>
      </c>
      <c r="B269" s="2" t="s">
        <v>4439</v>
      </c>
      <c r="C269" s="9">
        <v>1.9</v>
      </c>
      <c r="D269" s="9">
        <v>2752402</v>
      </c>
      <c r="E269" s="9">
        <v>2.15</v>
      </c>
      <c r="F269" s="9">
        <v>2752402</v>
      </c>
      <c r="G269" s="9">
        <v>0</v>
      </c>
      <c r="H269" s="2">
        <v>14</v>
      </c>
      <c r="I269" t="s">
        <v>23</v>
      </c>
    </row>
    <row r="270" spans="1:9" x14ac:dyDescent="0.35">
      <c r="A270" s="2" t="s">
        <v>4443</v>
      </c>
      <c r="B270" s="2" t="s">
        <v>4439</v>
      </c>
      <c r="C270" s="9">
        <v>1.82</v>
      </c>
      <c r="D270" s="9">
        <v>2293860</v>
      </c>
      <c r="E270" s="9">
        <v>0.17</v>
      </c>
      <c r="F270" s="9">
        <v>377384</v>
      </c>
      <c r="G270" s="9">
        <v>1916476</v>
      </c>
      <c r="H270" s="2">
        <v>15</v>
      </c>
      <c r="I270" t="s">
        <v>22</v>
      </c>
    </row>
    <row r="271" spans="1:9" x14ac:dyDescent="0.35">
      <c r="A271" s="2" t="s">
        <v>5990</v>
      </c>
      <c r="B271" s="2" t="s">
        <v>4439</v>
      </c>
      <c r="C271" s="9">
        <v>1.81</v>
      </c>
      <c r="D271" s="9">
        <v>858323</v>
      </c>
      <c r="E271" s="9">
        <v>1.95</v>
      </c>
      <c r="F271" s="9">
        <v>858323</v>
      </c>
      <c r="G271" s="9">
        <v>0</v>
      </c>
      <c r="H271" s="2">
        <v>16</v>
      </c>
      <c r="I271" t="s">
        <v>23</v>
      </c>
    </row>
    <row r="272" spans="1:9" x14ac:dyDescent="0.35">
      <c r="A272" s="2" t="s">
        <v>5991</v>
      </c>
      <c r="B272" s="2" t="s">
        <v>4439</v>
      </c>
      <c r="C272" s="9">
        <v>1.8</v>
      </c>
      <c r="D272" s="9">
        <v>1983557</v>
      </c>
      <c r="E272" s="9">
        <v>1.89</v>
      </c>
      <c r="F272" s="9">
        <v>1983557</v>
      </c>
      <c r="G272" s="9">
        <v>0</v>
      </c>
      <c r="H272" s="2">
        <v>17</v>
      </c>
      <c r="I272" t="s">
        <v>23</v>
      </c>
    </row>
    <row r="273" spans="1:9" x14ac:dyDescent="0.35">
      <c r="A273" s="2" t="s">
        <v>4445</v>
      </c>
      <c r="B273" s="2" t="s">
        <v>4439</v>
      </c>
      <c r="C273" s="9">
        <v>1.75</v>
      </c>
      <c r="D273" s="9">
        <v>4935563</v>
      </c>
      <c r="E273" s="9">
        <v>0.78</v>
      </c>
      <c r="F273" s="9">
        <v>1967370</v>
      </c>
      <c r="G273" s="9">
        <v>2968193</v>
      </c>
      <c r="H273" s="2">
        <v>18</v>
      </c>
      <c r="I273" t="s">
        <v>22</v>
      </c>
    </row>
    <row r="274" spans="1:9" x14ac:dyDescent="0.35">
      <c r="A274" s="2" t="s">
        <v>4444</v>
      </c>
      <c r="B274" s="2" t="s">
        <v>4439</v>
      </c>
      <c r="C274" s="9">
        <v>1.75</v>
      </c>
      <c r="D274" s="9">
        <v>454657</v>
      </c>
      <c r="E274" s="9">
        <v>1.88</v>
      </c>
      <c r="F274" s="9">
        <v>479239</v>
      </c>
      <c r="G274" s="9">
        <v>-24582</v>
      </c>
      <c r="H274" s="2">
        <v>19</v>
      </c>
      <c r="I274" t="s">
        <v>25</v>
      </c>
    </row>
    <row r="275" spans="1:9" x14ac:dyDescent="0.35">
      <c r="A275" s="2" t="s">
        <v>5992</v>
      </c>
      <c r="B275" s="2" t="s">
        <v>4439</v>
      </c>
      <c r="C275" s="9">
        <v>1.72</v>
      </c>
      <c r="D275" s="9">
        <v>9965021</v>
      </c>
      <c r="E275" s="9">
        <v>1.68</v>
      </c>
      <c r="F275" s="9">
        <v>9965021</v>
      </c>
      <c r="G275" s="9">
        <v>0</v>
      </c>
      <c r="H275" s="2">
        <v>20</v>
      </c>
      <c r="I275" t="s">
        <v>23</v>
      </c>
    </row>
    <row r="276" spans="1:9" x14ac:dyDescent="0.35">
      <c r="A276" s="2" t="s">
        <v>4446</v>
      </c>
      <c r="B276" s="2" t="s">
        <v>4439</v>
      </c>
      <c r="C276" s="9">
        <v>1.71</v>
      </c>
      <c r="D276" s="9">
        <v>1098274</v>
      </c>
      <c r="E276" s="9">
        <v>1.85</v>
      </c>
      <c r="F276" s="9">
        <v>1104902</v>
      </c>
      <c r="G276" s="9">
        <v>-6628</v>
      </c>
      <c r="H276" s="2">
        <v>21</v>
      </c>
      <c r="I276" t="s">
        <v>25</v>
      </c>
    </row>
    <row r="277" spans="1:9" x14ac:dyDescent="0.35">
      <c r="A277" s="2" t="s">
        <v>4447</v>
      </c>
      <c r="B277" s="2" t="s">
        <v>4439</v>
      </c>
      <c r="C277" s="9">
        <v>1.68</v>
      </c>
      <c r="D277" s="9">
        <v>1782864</v>
      </c>
      <c r="E277" s="9">
        <v>2.02</v>
      </c>
      <c r="F277" s="9">
        <v>1836064</v>
      </c>
      <c r="G277" s="9">
        <v>-53200</v>
      </c>
      <c r="H277" s="2">
        <v>22</v>
      </c>
      <c r="I277" t="s">
        <v>25</v>
      </c>
    </row>
    <row r="278" spans="1:9" x14ac:dyDescent="0.35">
      <c r="A278" s="2" t="s">
        <v>5993</v>
      </c>
      <c r="B278" s="2" t="s">
        <v>4439</v>
      </c>
      <c r="C278" s="9">
        <v>1.64</v>
      </c>
      <c r="D278" s="9">
        <v>3422826</v>
      </c>
      <c r="E278" s="9">
        <v>1.22</v>
      </c>
      <c r="F278" s="9">
        <v>3422826</v>
      </c>
      <c r="G278" s="9">
        <v>0</v>
      </c>
      <c r="H278" s="2">
        <v>23</v>
      </c>
      <c r="I278" t="s">
        <v>23</v>
      </c>
    </row>
    <row r="279" spans="1:9" x14ac:dyDescent="0.35">
      <c r="A279" s="2" t="s">
        <v>4448</v>
      </c>
      <c r="B279" s="2" t="s">
        <v>4439</v>
      </c>
      <c r="C279" s="9">
        <v>1.59</v>
      </c>
      <c r="D279" s="9">
        <v>2590457</v>
      </c>
      <c r="E279" s="9">
        <v>1.78</v>
      </c>
      <c r="F279" s="9">
        <v>2933119</v>
      </c>
      <c r="G279" s="9">
        <v>-342662</v>
      </c>
      <c r="H279" s="2">
        <v>24</v>
      </c>
      <c r="I279" t="s">
        <v>25</v>
      </c>
    </row>
    <row r="280" spans="1:9" x14ac:dyDescent="0.35">
      <c r="A280" s="2" t="s">
        <v>4436</v>
      </c>
      <c r="B280" s="2" t="s">
        <v>4439</v>
      </c>
      <c r="C280" s="9">
        <v>1.56</v>
      </c>
      <c r="D280" s="9">
        <v>1186783</v>
      </c>
      <c r="E280" s="9">
        <v>1.66</v>
      </c>
      <c r="F280" s="9">
        <v>1186783</v>
      </c>
      <c r="G280" s="9">
        <v>0</v>
      </c>
      <c r="H280" s="2">
        <v>25</v>
      </c>
      <c r="I280" t="s">
        <v>23</v>
      </c>
    </row>
    <row r="281" spans="1:9" x14ac:dyDescent="0.35">
      <c r="A281" s="2" t="s">
        <v>5994</v>
      </c>
      <c r="B281" s="2" t="s">
        <v>4439</v>
      </c>
      <c r="C281" s="9">
        <v>1.54</v>
      </c>
      <c r="D281" s="9">
        <v>3203377</v>
      </c>
      <c r="E281" s="9">
        <v>1.48</v>
      </c>
      <c r="F281" s="9">
        <v>3203377</v>
      </c>
      <c r="G281" s="9">
        <v>0</v>
      </c>
      <c r="H281" s="2">
        <v>26</v>
      </c>
      <c r="I281" t="s">
        <v>23</v>
      </c>
    </row>
    <row r="282" spans="1:9" x14ac:dyDescent="0.35">
      <c r="A282" s="2" t="s">
        <v>5995</v>
      </c>
      <c r="B282" s="2" t="s">
        <v>4439</v>
      </c>
      <c r="C282" s="9">
        <v>1.47</v>
      </c>
      <c r="D282" s="9">
        <v>1299762</v>
      </c>
      <c r="E282" s="9">
        <v>1.53</v>
      </c>
      <c r="F282" s="9">
        <v>1299762</v>
      </c>
      <c r="G282" s="9">
        <v>0</v>
      </c>
      <c r="H282" s="2">
        <v>27</v>
      </c>
      <c r="I282" t="s">
        <v>23</v>
      </c>
    </row>
    <row r="283" spans="1:9" x14ac:dyDescent="0.35">
      <c r="A283" s="2" t="s">
        <v>5996</v>
      </c>
      <c r="B283" s="2" t="s">
        <v>4439</v>
      </c>
      <c r="C283" s="9">
        <v>1.45</v>
      </c>
      <c r="D283" s="9">
        <v>989708</v>
      </c>
      <c r="E283" s="9">
        <v>1.42</v>
      </c>
      <c r="F283" s="9">
        <v>989708</v>
      </c>
      <c r="G283" s="9">
        <v>0</v>
      </c>
      <c r="H283" s="2">
        <v>28</v>
      </c>
      <c r="I283" t="s">
        <v>23</v>
      </c>
    </row>
    <row r="284" spans="1:9" x14ac:dyDescent="0.35">
      <c r="A284" s="2" t="s">
        <v>4431</v>
      </c>
      <c r="B284" s="2" t="s">
        <v>4439</v>
      </c>
      <c r="C284" s="9">
        <v>1.38</v>
      </c>
      <c r="D284" s="9">
        <v>1128572</v>
      </c>
      <c r="E284" s="9">
        <v>1.43</v>
      </c>
      <c r="F284" s="9">
        <v>1128572</v>
      </c>
      <c r="G284" s="9">
        <v>0</v>
      </c>
      <c r="H284" s="2">
        <v>29</v>
      </c>
      <c r="I284" t="s">
        <v>23</v>
      </c>
    </row>
    <row r="285" spans="1:9" x14ac:dyDescent="0.35">
      <c r="A285" s="2" t="s">
        <v>5997</v>
      </c>
      <c r="B285" s="2" t="s">
        <v>4439</v>
      </c>
      <c r="C285" s="9">
        <v>1.38</v>
      </c>
      <c r="D285" s="9">
        <v>11455291</v>
      </c>
      <c r="E285" s="9">
        <v>1.37</v>
      </c>
      <c r="F285" s="9">
        <v>11455291</v>
      </c>
      <c r="G285" s="9">
        <v>0</v>
      </c>
      <c r="H285" s="2">
        <v>30</v>
      </c>
      <c r="I285" t="s">
        <v>23</v>
      </c>
    </row>
    <row r="286" spans="1:9" x14ac:dyDescent="0.35">
      <c r="A286" s="2" t="s">
        <v>4449</v>
      </c>
      <c r="B286" s="2" t="s">
        <v>4439</v>
      </c>
      <c r="C286" s="9">
        <v>1.36</v>
      </c>
      <c r="D286" s="9">
        <v>1127405</v>
      </c>
      <c r="E286" s="9">
        <v>1.44</v>
      </c>
      <c r="F286" s="9">
        <v>1135648</v>
      </c>
      <c r="G286" s="9">
        <v>-8243</v>
      </c>
      <c r="H286" s="2">
        <v>31</v>
      </c>
      <c r="I286" t="s">
        <v>25</v>
      </c>
    </row>
    <row r="287" spans="1:9" x14ac:dyDescent="0.35">
      <c r="A287" s="2" t="s">
        <v>5998</v>
      </c>
      <c r="B287" s="2" t="s">
        <v>4439</v>
      </c>
      <c r="C287" s="9">
        <v>1.27</v>
      </c>
      <c r="D287" s="9">
        <v>1665847</v>
      </c>
      <c r="E287" s="9">
        <v>1.34</v>
      </c>
      <c r="F287" s="9">
        <v>1665847</v>
      </c>
      <c r="G287" s="9">
        <v>0</v>
      </c>
      <c r="H287" s="2">
        <v>32</v>
      </c>
      <c r="I287" t="s">
        <v>23</v>
      </c>
    </row>
    <row r="288" spans="1:9" x14ac:dyDescent="0.35">
      <c r="A288" s="2" t="s">
        <v>5999</v>
      </c>
      <c r="B288" s="2" t="s">
        <v>4439</v>
      </c>
      <c r="C288" s="9">
        <v>1.26</v>
      </c>
      <c r="D288" s="9">
        <v>3150000</v>
      </c>
      <c r="E288" s="9">
        <v>1.29</v>
      </c>
      <c r="F288" s="9">
        <v>3150000</v>
      </c>
      <c r="G288" s="9">
        <v>0</v>
      </c>
      <c r="H288" s="2">
        <v>33</v>
      </c>
      <c r="I288" t="s">
        <v>23</v>
      </c>
    </row>
    <row r="289" spans="1:9" x14ac:dyDescent="0.35">
      <c r="A289" s="2" t="s">
        <v>5977</v>
      </c>
      <c r="B289" s="2" t="s">
        <v>4439</v>
      </c>
      <c r="C289" s="9">
        <v>1.26</v>
      </c>
      <c r="D289" s="9">
        <v>668302</v>
      </c>
      <c r="E289" s="9">
        <v>1.37</v>
      </c>
      <c r="F289" s="9">
        <v>668302</v>
      </c>
      <c r="G289" s="9">
        <v>0</v>
      </c>
      <c r="H289" s="2">
        <v>34</v>
      </c>
      <c r="I289" t="s">
        <v>23</v>
      </c>
    </row>
    <row r="290" spans="1:9" x14ac:dyDescent="0.35">
      <c r="A290" s="2" t="s">
        <v>6000</v>
      </c>
      <c r="B290" s="2" t="s">
        <v>4439</v>
      </c>
      <c r="C290" s="9">
        <v>1.21</v>
      </c>
      <c r="D290" s="9">
        <v>5042558</v>
      </c>
      <c r="E290" s="9">
        <v>1.36</v>
      </c>
      <c r="F290" s="9">
        <v>5042558</v>
      </c>
      <c r="G290" s="9">
        <v>0</v>
      </c>
      <c r="H290" s="2">
        <v>35</v>
      </c>
      <c r="I290" t="s">
        <v>23</v>
      </c>
    </row>
    <row r="291" spans="1:9" x14ac:dyDescent="0.35">
      <c r="A291" s="2" t="s">
        <v>6001</v>
      </c>
      <c r="B291" s="2" t="s">
        <v>4439</v>
      </c>
      <c r="C291" s="9">
        <v>1.1299999999999999</v>
      </c>
      <c r="D291" s="9">
        <v>1158165</v>
      </c>
      <c r="E291" s="9">
        <v>1.03</v>
      </c>
      <c r="F291" s="9">
        <v>1158165</v>
      </c>
      <c r="G291" s="9">
        <v>0</v>
      </c>
      <c r="H291" s="2">
        <v>36</v>
      </c>
      <c r="I291" t="s">
        <v>23</v>
      </c>
    </row>
    <row r="292" spans="1:9" x14ac:dyDescent="0.35">
      <c r="A292" s="2" t="s">
        <v>4450</v>
      </c>
      <c r="B292" s="2" t="s">
        <v>4439</v>
      </c>
      <c r="C292" s="9">
        <v>1.05</v>
      </c>
      <c r="D292" s="9">
        <v>539811</v>
      </c>
      <c r="E292" s="9">
        <v>1.1100000000000001</v>
      </c>
      <c r="F292" s="9">
        <v>550482</v>
      </c>
      <c r="G292" s="9">
        <v>-10671</v>
      </c>
      <c r="H292" s="2">
        <v>37</v>
      </c>
      <c r="I292" t="s">
        <v>25</v>
      </c>
    </row>
    <row r="293" spans="1:9" x14ac:dyDescent="0.35">
      <c r="A293" s="2" t="s">
        <v>4451</v>
      </c>
      <c r="B293" s="2" t="s">
        <v>4439</v>
      </c>
      <c r="C293" s="9">
        <v>1.05</v>
      </c>
      <c r="D293" s="9">
        <v>1596364</v>
      </c>
      <c r="E293" s="9">
        <v>1.01</v>
      </c>
      <c r="F293" s="9">
        <v>1703175</v>
      </c>
      <c r="G293" s="9">
        <v>-106811</v>
      </c>
      <c r="H293" s="2">
        <v>38</v>
      </c>
      <c r="I293" t="s">
        <v>25</v>
      </c>
    </row>
    <row r="294" spans="1:9" x14ac:dyDescent="0.35">
      <c r="A294" s="2" t="s">
        <v>6002</v>
      </c>
      <c r="B294" s="2" t="s">
        <v>4439</v>
      </c>
      <c r="C294" s="9">
        <v>1</v>
      </c>
      <c r="D294" s="9">
        <v>6871542</v>
      </c>
      <c r="E294" s="9">
        <v>1.02</v>
      </c>
      <c r="F294" s="9">
        <v>6871542</v>
      </c>
      <c r="G294" s="9">
        <v>0</v>
      </c>
      <c r="H294" s="2">
        <v>39</v>
      </c>
      <c r="I294" t="s">
        <v>23</v>
      </c>
    </row>
    <row r="295" spans="1:9" x14ac:dyDescent="0.35">
      <c r="A295" s="2" t="s">
        <v>6003</v>
      </c>
      <c r="B295" s="2" t="s">
        <v>4439</v>
      </c>
      <c r="C295" s="9">
        <v>0.99</v>
      </c>
      <c r="D295" s="9">
        <v>207517</v>
      </c>
      <c r="E295" s="9">
        <v>0.98</v>
      </c>
      <c r="F295" s="9">
        <v>207517</v>
      </c>
      <c r="G295" s="9">
        <v>0</v>
      </c>
      <c r="H295" s="2">
        <v>40</v>
      </c>
      <c r="I295" t="s">
        <v>23</v>
      </c>
    </row>
    <row r="296" spans="1:9" x14ac:dyDescent="0.35">
      <c r="A296" s="2" t="s">
        <v>6004</v>
      </c>
      <c r="B296" s="2" t="s">
        <v>4439</v>
      </c>
      <c r="C296" s="9">
        <v>0.98</v>
      </c>
      <c r="D296" s="9">
        <v>599641</v>
      </c>
      <c r="E296" s="9">
        <v>0.85</v>
      </c>
      <c r="F296" s="9">
        <v>599641</v>
      </c>
      <c r="G296" s="9">
        <v>0</v>
      </c>
      <c r="H296" s="2">
        <v>41</v>
      </c>
      <c r="I296" t="s">
        <v>23</v>
      </c>
    </row>
    <row r="297" spans="1:9" x14ac:dyDescent="0.35">
      <c r="A297" s="2" t="s">
        <v>4452</v>
      </c>
      <c r="B297" s="2" t="s">
        <v>4439</v>
      </c>
      <c r="C297" s="9">
        <v>0.98</v>
      </c>
      <c r="D297" s="9">
        <v>3024625</v>
      </c>
      <c r="E297" s="9">
        <v>1.07</v>
      </c>
      <c r="F297" s="9">
        <v>3020000</v>
      </c>
      <c r="G297" s="9">
        <v>4625</v>
      </c>
      <c r="H297" s="2">
        <v>42</v>
      </c>
      <c r="I297" t="s">
        <v>22</v>
      </c>
    </row>
    <row r="298" spans="1:9" x14ac:dyDescent="0.35">
      <c r="A298" s="2" t="s">
        <v>6005</v>
      </c>
      <c r="B298" s="2" t="s">
        <v>4439</v>
      </c>
      <c r="C298" s="9">
        <v>0.96</v>
      </c>
      <c r="D298" s="9">
        <v>529564</v>
      </c>
      <c r="E298" s="9">
        <v>1</v>
      </c>
      <c r="F298" s="9">
        <v>529564</v>
      </c>
      <c r="G298" s="9">
        <v>0</v>
      </c>
      <c r="H298" s="2">
        <v>43</v>
      </c>
      <c r="I298" t="s">
        <v>23</v>
      </c>
    </row>
    <row r="299" spans="1:9" x14ac:dyDescent="0.35">
      <c r="A299" s="2" t="s">
        <v>6006</v>
      </c>
      <c r="B299" s="2" t="s">
        <v>4439</v>
      </c>
      <c r="C299" s="9">
        <v>0.91</v>
      </c>
      <c r="D299" s="9">
        <v>1723556</v>
      </c>
      <c r="E299" s="9">
        <v>0.88</v>
      </c>
      <c r="F299" s="9">
        <v>1723556</v>
      </c>
      <c r="G299" s="9">
        <v>0</v>
      </c>
      <c r="H299" s="2">
        <v>44</v>
      </c>
      <c r="I299" t="s">
        <v>23</v>
      </c>
    </row>
    <row r="300" spans="1:9" x14ac:dyDescent="0.35">
      <c r="A300" s="2" t="s">
        <v>6007</v>
      </c>
      <c r="B300" s="2" t="s">
        <v>4439</v>
      </c>
      <c r="C300" s="9">
        <v>0.91</v>
      </c>
      <c r="D300" s="9">
        <v>143770</v>
      </c>
      <c r="E300" s="9">
        <v>1.04</v>
      </c>
      <c r="F300" s="9">
        <v>143770</v>
      </c>
      <c r="G300" s="9">
        <v>0</v>
      </c>
      <c r="H300" s="2">
        <v>45</v>
      </c>
      <c r="I300" t="s">
        <v>23</v>
      </c>
    </row>
    <row r="301" spans="1:9" x14ac:dyDescent="0.35">
      <c r="A301" s="2" t="s">
        <v>6008</v>
      </c>
      <c r="B301" s="2" t="s">
        <v>4439</v>
      </c>
      <c r="C301" s="9">
        <v>0.88</v>
      </c>
      <c r="D301" s="9">
        <v>1105632</v>
      </c>
      <c r="E301" s="9">
        <v>0.98</v>
      </c>
      <c r="F301" s="9">
        <v>1105632</v>
      </c>
      <c r="G301" s="9">
        <v>0</v>
      </c>
      <c r="H301" s="2">
        <v>46</v>
      </c>
      <c r="I301" t="s">
        <v>23</v>
      </c>
    </row>
    <row r="302" spans="1:9" x14ac:dyDescent="0.35">
      <c r="A302" s="2" t="s">
        <v>4453</v>
      </c>
      <c r="B302" s="2" t="s">
        <v>4439</v>
      </c>
      <c r="C302" s="9">
        <v>0.87</v>
      </c>
      <c r="D302" s="9">
        <v>637336</v>
      </c>
      <c r="E302" s="9">
        <v>0.97</v>
      </c>
      <c r="F302" s="9">
        <v>638194</v>
      </c>
      <c r="G302" s="9">
        <v>-858</v>
      </c>
      <c r="H302" s="2">
        <v>47</v>
      </c>
      <c r="I302" t="s">
        <v>25</v>
      </c>
    </row>
    <row r="303" spans="1:9" x14ac:dyDescent="0.35">
      <c r="A303" s="2" t="s">
        <v>6009</v>
      </c>
      <c r="B303" s="2" t="s">
        <v>4439</v>
      </c>
      <c r="C303" s="9">
        <v>0.86</v>
      </c>
      <c r="D303" s="9">
        <v>1772651</v>
      </c>
      <c r="E303" s="9">
        <v>0.96</v>
      </c>
      <c r="F303" s="9">
        <v>1772651</v>
      </c>
      <c r="G303" s="9">
        <v>0</v>
      </c>
      <c r="H303" s="2">
        <v>48</v>
      </c>
      <c r="I303" t="s">
        <v>23</v>
      </c>
    </row>
    <row r="304" spans="1:9" x14ac:dyDescent="0.35">
      <c r="A304" s="2" t="s">
        <v>4454</v>
      </c>
      <c r="B304" s="2" t="s">
        <v>4439</v>
      </c>
      <c r="C304" s="9">
        <v>0.84</v>
      </c>
      <c r="D304" s="9">
        <v>436018</v>
      </c>
      <c r="E304" s="9">
        <v>0.7</v>
      </c>
      <c r="F304" s="9">
        <v>319137</v>
      </c>
      <c r="G304" s="9">
        <v>116881</v>
      </c>
      <c r="H304" s="2">
        <v>49</v>
      </c>
      <c r="I304" t="s">
        <v>22</v>
      </c>
    </row>
    <row r="305" spans="1:9" x14ac:dyDescent="0.35">
      <c r="A305" s="2" t="s">
        <v>4455</v>
      </c>
      <c r="B305" s="2" t="s">
        <v>4439</v>
      </c>
      <c r="C305" s="9">
        <v>0.78</v>
      </c>
      <c r="D305" s="9">
        <v>856311</v>
      </c>
      <c r="E305" s="9">
        <v>0.91</v>
      </c>
      <c r="F305" s="9">
        <v>941909</v>
      </c>
      <c r="G305" s="9">
        <v>-85598</v>
      </c>
      <c r="H305" s="2">
        <v>50</v>
      </c>
      <c r="I305" t="s">
        <v>25</v>
      </c>
    </row>
    <row r="306" spans="1:9" x14ac:dyDescent="0.35">
      <c r="A306" s="2" t="s">
        <v>6010</v>
      </c>
      <c r="B306" s="2" t="s">
        <v>4439</v>
      </c>
      <c r="C306" s="9">
        <v>0.74</v>
      </c>
      <c r="D306" s="9">
        <v>705969</v>
      </c>
      <c r="E306" s="9">
        <v>0.77</v>
      </c>
      <c r="F306" s="9">
        <v>705969</v>
      </c>
      <c r="G306" s="9">
        <v>0</v>
      </c>
      <c r="H306" s="2">
        <v>51</v>
      </c>
      <c r="I306" t="s">
        <v>23</v>
      </c>
    </row>
    <row r="307" spans="1:9" x14ac:dyDescent="0.35">
      <c r="A307" s="2" t="s">
        <v>6011</v>
      </c>
      <c r="B307" s="2" t="s">
        <v>4439</v>
      </c>
      <c r="C307" s="9">
        <v>0.73</v>
      </c>
      <c r="D307" s="9">
        <v>2255909</v>
      </c>
      <c r="E307" s="9">
        <v>0.79</v>
      </c>
      <c r="F307" s="9">
        <v>2255909</v>
      </c>
      <c r="G307" s="9">
        <v>0</v>
      </c>
      <c r="H307" s="2">
        <v>52</v>
      </c>
      <c r="I307" t="s">
        <v>23</v>
      </c>
    </row>
    <row r="308" spans="1:9" x14ac:dyDescent="0.35">
      <c r="A308" s="2" t="s">
        <v>6012</v>
      </c>
      <c r="B308" s="2" t="s">
        <v>4439</v>
      </c>
      <c r="C308" s="9">
        <v>0.72</v>
      </c>
      <c r="D308" s="9">
        <v>3814186</v>
      </c>
      <c r="E308" s="9">
        <v>0.77</v>
      </c>
      <c r="F308" s="9">
        <v>3814186</v>
      </c>
      <c r="G308" s="9">
        <v>0</v>
      </c>
      <c r="H308" s="2">
        <v>53</v>
      </c>
      <c r="I308" t="s">
        <v>23</v>
      </c>
    </row>
    <row r="309" spans="1:9" x14ac:dyDescent="0.35">
      <c r="A309" s="2" t="s">
        <v>6013</v>
      </c>
      <c r="B309" s="2" t="s">
        <v>4439</v>
      </c>
      <c r="C309" s="9">
        <v>0.56999999999999995</v>
      </c>
      <c r="D309" s="9">
        <v>1100485</v>
      </c>
      <c r="E309" s="9">
        <v>0.54</v>
      </c>
      <c r="F309" s="9">
        <v>1100485</v>
      </c>
      <c r="G309" s="9">
        <v>0</v>
      </c>
      <c r="H309" s="2">
        <v>54</v>
      </c>
      <c r="I309" t="s">
        <v>23</v>
      </c>
    </row>
    <row r="310" spans="1:9" x14ac:dyDescent="0.35">
      <c r="A310" s="2" t="s">
        <v>5973</v>
      </c>
      <c r="B310" s="2" t="s">
        <v>4439</v>
      </c>
      <c r="C310" s="9">
        <v>0.51</v>
      </c>
      <c r="D310" s="9">
        <v>2665117</v>
      </c>
      <c r="E310" s="9">
        <v>0.54</v>
      </c>
      <c r="F310" s="9">
        <v>2665117</v>
      </c>
      <c r="G310" s="9">
        <v>0</v>
      </c>
      <c r="H310" s="2">
        <v>55</v>
      </c>
      <c r="I310" t="s">
        <v>23</v>
      </c>
    </row>
    <row r="311" spans="1:9" x14ac:dyDescent="0.35">
      <c r="A311" s="2" t="s">
        <v>4456</v>
      </c>
      <c r="B311" s="2" t="s">
        <v>4439</v>
      </c>
      <c r="C311" s="9">
        <v>0.5</v>
      </c>
      <c r="D311" s="9">
        <v>3796234</v>
      </c>
      <c r="E311" s="9">
        <v>0.56000000000000005</v>
      </c>
      <c r="F311" s="9">
        <v>4211850</v>
      </c>
      <c r="G311" s="9">
        <v>-415616</v>
      </c>
      <c r="H311" s="2">
        <v>56</v>
      </c>
      <c r="I311" t="s">
        <v>25</v>
      </c>
    </row>
    <row r="312" spans="1:9" x14ac:dyDescent="0.35">
      <c r="A312" s="2" t="s">
        <v>6014</v>
      </c>
      <c r="B312" s="2" t="s">
        <v>4439</v>
      </c>
      <c r="C312" s="9">
        <v>0.48</v>
      </c>
      <c r="D312" s="9">
        <v>475643</v>
      </c>
      <c r="E312" s="9">
        <v>0.5</v>
      </c>
      <c r="F312" s="9">
        <v>475643</v>
      </c>
      <c r="G312" s="9">
        <v>0</v>
      </c>
      <c r="H312" s="2">
        <v>57</v>
      </c>
      <c r="I312" t="s">
        <v>23</v>
      </c>
    </row>
    <row r="313" spans="1:9" x14ac:dyDescent="0.35">
      <c r="A313" s="2" t="s">
        <v>4457</v>
      </c>
      <c r="B313" s="2" t="s">
        <v>4439</v>
      </c>
      <c r="C313" s="9">
        <v>0.47</v>
      </c>
      <c r="D313" s="9">
        <v>690718</v>
      </c>
      <c r="E313" s="9">
        <v>0</v>
      </c>
      <c r="F313" s="9">
        <v>0</v>
      </c>
      <c r="G313" s="9">
        <v>690718</v>
      </c>
      <c r="H313" s="2">
        <v>58</v>
      </c>
      <c r="I313" t="s">
        <v>32</v>
      </c>
    </row>
    <row r="314" spans="1:9" x14ac:dyDescent="0.35">
      <c r="A314" s="2" t="s">
        <v>6015</v>
      </c>
      <c r="B314" s="2" t="s">
        <v>4439</v>
      </c>
      <c r="C314" s="9">
        <v>0.43</v>
      </c>
      <c r="D314" s="9">
        <v>614009</v>
      </c>
      <c r="E314" s="9">
        <v>0.47</v>
      </c>
      <c r="F314" s="9">
        <v>614009</v>
      </c>
      <c r="G314" s="9">
        <v>0</v>
      </c>
      <c r="H314" s="2">
        <v>59</v>
      </c>
      <c r="I314" t="s">
        <v>23</v>
      </c>
    </row>
    <row r="315" spans="1:9" x14ac:dyDescent="0.35">
      <c r="A315" s="2" t="s">
        <v>6016</v>
      </c>
      <c r="B315" s="2" t="s">
        <v>4439</v>
      </c>
      <c r="C315" s="9">
        <v>0.38</v>
      </c>
      <c r="D315" s="9">
        <v>479345</v>
      </c>
      <c r="E315" s="9">
        <v>0.46</v>
      </c>
      <c r="F315" s="9">
        <v>479345</v>
      </c>
      <c r="G315" s="9">
        <v>0</v>
      </c>
      <c r="H315" s="2">
        <v>60</v>
      </c>
      <c r="I315" t="s">
        <v>23</v>
      </c>
    </row>
    <row r="316" spans="1:9" x14ac:dyDescent="0.35">
      <c r="A316" s="2" t="s">
        <v>6017</v>
      </c>
      <c r="B316" s="2" t="s">
        <v>4439</v>
      </c>
      <c r="C316" s="9">
        <v>0.33</v>
      </c>
      <c r="D316" s="9">
        <v>91065</v>
      </c>
      <c r="E316" s="9">
        <v>0.38</v>
      </c>
      <c r="F316" s="9">
        <v>91065</v>
      </c>
      <c r="G316" s="9">
        <v>0</v>
      </c>
      <c r="H316" s="2">
        <v>61</v>
      </c>
      <c r="I316" t="s">
        <v>23</v>
      </c>
    </row>
    <row r="317" spans="1:9" x14ac:dyDescent="0.35">
      <c r="A317" s="2" t="s">
        <v>4458</v>
      </c>
      <c r="B317" s="2" t="s">
        <v>4439</v>
      </c>
      <c r="C317" s="9">
        <v>0</v>
      </c>
      <c r="D317" s="9">
        <v>0</v>
      </c>
      <c r="E317" s="9">
        <v>0</v>
      </c>
      <c r="F317" s="9">
        <v>0</v>
      </c>
      <c r="G317" s="9">
        <v>0</v>
      </c>
      <c r="H317" s="2">
        <v>62</v>
      </c>
      <c r="I317" t="s">
        <v>36</v>
      </c>
    </row>
    <row r="318" spans="1:9" x14ac:dyDescent="0.35">
      <c r="A318" s="2" t="s">
        <v>4459</v>
      </c>
      <c r="B318" s="2" t="s">
        <v>4439</v>
      </c>
      <c r="C318" s="9">
        <v>0</v>
      </c>
      <c r="D318" s="9">
        <v>0</v>
      </c>
      <c r="E318" s="9">
        <v>0</v>
      </c>
      <c r="F318" s="9">
        <v>0</v>
      </c>
      <c r="G318" s="9">
        <v>0</v>
      </c>
      <c r="H318" s="2">
        <v>63</v>
      </c>
      <c r="I318" t="s">
        <v>36</v>
      </c>
    </row>
    <row r="319" spans="1:9" x14ac:dyDescent="0.35">
      <c r="A319" s="2" t="s">
        <v>4460</v>
      </c>
      <c r="B319" s="2" t="s">
        <v>4439</v>
      </c>
      <c r="C319" s="9">
        <v>0</v>
      </c>
      <c r="D319" s="9">
        <v>0</v>
      </c>
      <c r="E319" s="9">
        <v>0</v>
      </c>
      <c r="F319" s="9">
        <v>0</v>
      </c>
      <c r="G319" s="9">
        <v>0</v>
      </c>
      <c r="H319" s="2">
        <v>64</v>
      </c>
      <c r="I319" t="s">
        <v>36</v>
      </c>
    </row>
    <row r="320" spans="1:9" x14ac:dyDescent="0.35">
      <c r="A320" s="2" t="s">
        <v>461</v>
      </c>
      <c r="B320" s="2" t="s">
        <v>4461</v>
      </c>
      <c r="C320" s="9">
        <v>4.78</v>
      </c>
      <c r="D320" s="9">
        <v>4222578</v>
      </c>
      <c r="E320" s="9">
        <v>4.53</v>
      </c>
      <c r="F320" s="9">
        <v>4219899</v>
      </c>
      <c r="G320" s="9">
        <v>2679</v>
      </c>
      <c r="H320" s="2">
        <v>1</v>
      </c>
      <c r="I320" t="s">
        <v>22</v>
      </c>
    </row>
    <row r="321" spans="1:9" x14ac:dyDescent="0.35">
      <c r="A321" s="2" t="s">
        <v>5963</v>
      </c>
      <c r="B321" s="2" t="s">
        <v>4461</v>
      </c>
      <c r="C321" s="9">
        <v>3.68</v>
      </c>
      <c r="D321" s="9">
        <v>5863399</v>
      </c>
      <c r="E321" s="9">
        <v>3.83</v>
      </c>
      <c r="F321" s="9">
        <v>5863399</v>
      </c>
      <c r="G321" s="9">
        <v>0</v>
      </c>
      <c r="H321" s="2">
        <v>2</v>
      </c>
      <c r="I321" t="s">
        <v>23</v>
      </c>
    </row>
    <row r="322" spans="1:9" x14ac:dyDescent="0.35">
      <c r="A322" s="2" t="s">
        <v>4462</v>
      </c>
      <c r="B322" s="2" t="s">
        <v>4461</v>
      </c>
      <c r="C322" s="9">
        <v>3.56</v>
      </c>
      <c r="D322" s="9">
        <v>3576284</v>
      </c>
      <c r="E322" s="9">
        <v>3.66</v>
      </c>
      <c r="F322" s="9">
        <v>3520962</v>
      </c>
      <c r="G322" s="9">
        <v>55322</v>
      </c>
      <c r="H322" s="2">
        <v>3</v>
      </c>
      <c r="I322" t="s">
        <v>22</v>
      </c>
    </row>
    <row r="323" spans="1:9" x14ac:dyDescent="0.35">
      <c r="A323" s="2" t="s">
        <v>433</v>
      </c>
      <c r="B323" s="2" t="s">
        <v>4461</v>
      </c>
      <c r="C323" s="9">
        <v>2.88</v>
      </c>
      <c r="D323" s="9">
        <v>1903852</v>
      </c>
      <c r="E323" s="9">
        <v>3.21</v>
      </c>
      <c r="F323" s="9">
        <v>1903852</v>
      </c>
      <c r="G323" s="9">
        <v>0</v>
      </c>
      <c r="H323" s="2">
        <v>4</v>
      </c>
      <c r="I323" t="s">
        <v>23</v>
      </c>
    </row>
    <row r="324" spans="1:9" x14ac:dyDescent="0.35">
      <c r="A324" s="2" t="s">
        <v>6018</v>
      </c>
      <c r="B324" s="2" t="s">
        <v>4461</v>
      </c>
      <c r="C324" s="9">
        <v>2.87</v>
      </c>
      <c r="D324" s="9">
        <v>1681491</v>
      </c>
      <c r="E324" s="9">
        <v>2.81</v>
      </c>
      <c r="F324" s="9">
        <v>1681491</v>
      </c>
      <c r="G324" s="9">
        <v>0</v>
      </c>
      <c r="H324" s="2">
        <v>5</v>
      </c>
      <c r="I324" t="s">
        <v>23</v>
      </c>
    </row>
    <row r="325" spans="1:9" x14ac:dyDescent="0.35">
      <c r="A325" s="2" t="s">
        <v>469</v>
      </c>
      <c r="B325" s="2" t="s">
        <v>4461</v>
      </c>
      <c r="C325" s="9">
        <v>2.7</v>
      </c>
      <c r="D325" s="9">
        <v>7575014</v>
      </c>
      <c r="E325" s="9">
        <v>2.4500000000000002</v>
      </c>
      <c r="F325" s="9">
        <v>7402201</v>
      </c>
      <c r="G325" s="9">
        <v>172813</v>
      </c>
      <c r="H325" s="2">
        <v>6</v>
      </c>
      <c r="I325" t="s">
        <v>22</v>
      </c>
    </row>
    <row r="326" spans="1:9" x14ac:dyDescent="0.35">
      <c r="A326" s="2" t="s">
        <v>4463</v>
      </c>
      <c r="B326" s="2" t="s">
        <v>4461</v>
      </c>
      <c r="C326" s="9">
        <v>2.62</v>
      </c>
      <c r="D326" s="9">
        <v>5723155</v>
      </c>
      <c r="E326" s="9">
        <v>2.41</v>
      </c>
      <c r="F326" s="9">
        <v>5703155</v>
      </c>
      <c r="G326" s="9">
        <v>20000</v>
      </c>
      <c r="H326" s="2">
        <v>7</v>
      </c>
      <c r="I326" t="s">
        <v>22</v>
      </c>
    </row>
    <row r="327" spans="1:9" x14ac:dyDescent="0.35">
      <c r="A327" s="2" t="s">
        <v>6019</v>
      </c>
      <c r="B327" s="2" t="s">
        <v>4461</v>
      </c>
      <c r="C327" s="9">
        <v>2.54</v>
      </c>
      <c r="D327" s="9">
        <v>3066715</v>
      </c>
      <c r="E327" s="9">
        <v>2.35</v>
      </c>
      <c r="F327" s="9">
        <v>3066715</v>
      </c>
      <c r="G327" s="9">
        <v>0</v>
      </c>
      <c r="H327" s="2">
        <v>8</v>
      </c>
      <c r="I327" t="s">
        <v>23</v>
      </c>
    </row>
    <row r="328" spans="1:9" x14ac:dyDescent="0.35">
      <c r="A328" s="2" t="s">
        <v>445</v>
      </c>
      <c r="B328" s="2" t="s">
        <v>4461</v>
      </c>
      <c r="C328" s="9">
        <v>2.46</v>
      </c>
      <c r="D328" s="9">
        <v>2035017</v>
      </c>
      <c r="E328" s="9">
        <v>2.54</v>
      </c>
      <c r="F328" s="9">
        <v>2022995</v>
      </c>
      <c r="G328" s="9">
        <v>12022</v>
      </c>
      <c r="H328" s="2">
        <v>9</v>
      </c>
      <c r="I328" t="s">
        <v>22</v>
      </c>
    </row>
    <row r="329" spans="1:9" x14ac:dyDescent="0.35">
      <c r="A329" s="2" t="s">
        <v>6020</v>
      </c>
      <c r="B329" s="2" t="s">
        <v>4461</v>
      </c>
      <c r="C329" s="9">
        <v>2.42</v>
      </c>
      <c r="D329" s="9">
        <v>2100000</v>
      </c>
      <c r="E329" s="9">
        <v>2.77</v>
      </c>
      <c r="F329" s="9">
        <v>2100000</v>
      </c>
      <c r="G329" s="9">
        <v>0</v>
      </c>
      <c r="H329" s="2">
        <v>10</v>
      </c>
      <c r="I329" t="s">
        <v>23</v>
      </c>
    </row>
    <row r="330" spans="1:9" x14ac:dyDescent="0.35">
      <c r="A330" s="2" t="s">
        <v>511</v>
      </c>
      <c r="B330" s="2" t="s">
        <v>4461</v>
      </c>
      <c r="C330" s="9">
        <v>2.41</v>
      </c>
      <c r="D330" s="9">
        <v>7345069</v>
      </c>
      <c r="E330" s="9">
        <v>2.25</v>
      </c>
      <c r="F330" s="9">
        <v>7068818</v>
      </c>
      <c r="G330" s="9">
        <v>276251</v>
      </c>
      <c r="H330" s="2">
        <v>11</v>
      </c>
      <c r="I330" t="s">
        <v>22</v>
      </c>
    </row>
    <row r="331" spans="1:9" x14ac:dyDescent="0.35">
      <c r="A331" s="2" t="s">
        <v>4464</v>
      </c>
      <c r="B331" s="2" t="s">
        <v>4461</v>
      </c>
      <c r="C331" s="9">
        <v>2.39</v>
      </c>
      <c r="D331" s="9">
        <v>8051993</v>
      </c>
      <c r="E331" s="9">
        <v>2.21</v>
      </c>
      <c r="F331" s="9">
        <v>7851993</v>
      </c>
      <c r="G331" s="9">
        <v>200000</v>
      </c>
      <c r="H331" s="2">
        <v>12</v>
      </c>
      <c r="I331" t="s">
        <v>22</v>
      </c>
    </row>
    <row r="332" spans="1:9" x14ac:dyDescent="0.35">
      <c r="A332" s="2" t="s">
        <v>4465</v>
      </c>
      <c r="B332" s="2" t="s">
        <v>4461</v>
      </c>
      <c r="C332" s="9">
        <v>2.38</v>
      </c>
      <c r="D332" s="9">
        <v>1097884</v>
      </c>
      <c r="E332" s="9">
        <v>2.27</v>
      </c>
      <c r="F332" s="9">
        <v>967670</v>
      </c>
      <c r="G332" s="9">
        <v>130214</v>
      </c>
      <c r="H332" s="2">
        <v>13</v>
      </c>
      <c r="I332" t="s">
        <v>22</v>
      </c>
    </row>
    <row r="333" spans="1:9" x14ac:dyDescent="0.35">
      <c r="A333" s="2" t="s">
        <v>4466</v>
      </c>
      <c r="B333" s="2" t="s">
        <v>4461</v>
      </c>
      <c r="C333" s="9">
        <v>2.34</v>
      </c>
      <c r="D333" s="9">
        <v>2245964</v>
      </c>
      <c r="E333" s="9">
        <v>2.52</v>
      </c>
      <c r="F333" s="9">
        <v>2216527</v>
      </c>
      <c r="G333" s="9">
        <v>29437</v>
      </c>
      <c r="H333" s="2">
        <v>14</v>
      </c>
      <c r="I333" t="s">
        <v>22</v>
      </c>
    </row>
    <row r="334" spans="1:9" x14ac:dyDescent="0.35">
      <c r="A334" s="2" t="s">
        <v>4467</v>
      </c>
      <c r="B334" s="2" t="s">
        <v>4461</v>
      </c>
      <c r="C334" s="9">
        <v>2.29</v>
      </c>
      <c r="D334" s="9">
        <v>55087745</v>
      </c>
      <c r="E334" s="9">
        <v>2.31</v>
      </c>
      <c r="F334" s="9">
        <v>54587745</v>
      </c>
      <c r="G334" s="9">
        <v>500000</v>
      </c>
      <c r="H334" s="2">
        <v>15</v>
      </c>
      <c r="I334" t="s">
        <v>22</v>
      </c>
    </row>
    <row r="335" spans="1:9" x14ac:dyDescent="0.35">
      <c r="A335" s="2" t="s">
        <v>4468</v>
      </c>
      <c r="B335" s="2" t="s">
        <v>4461</v>
      </c>
      <c r="C335" s="9">
        <v>2.2200000000000002</v>
      </c>
      <c r="D335" s="9">
        <v>2629293</v>
      </c>
      <c r="E335" s="9">
        <v>2.14</v>
      </c>
      <c r="F335" s="9">
        <v>2442463</v>
      </c>
      <c r="G335" s="9">
        <v>186830</v>
      </c>
      <c r="H335" s="2">
        <v>16</v>
      </c>
      <c r="I335" t="s">
        <v>22</v>
      </c>
    </row>
    <row r="336" spans="1:9" x14ac:dyDescent="0.35">
      <c r="A336" s="2" t="s">
        <v>4469</v>
      </c>
      <c r="B336" s="2" t="s">
        <v>4461</v>
      </c>
      <c r="C336" s="9">
        <v>1.99</v>
      </c>
      <c r="D336" s="9">
        <v>4288368</v>
      </c>
      <c r="E336" s="9">
        <v>2.12</v>
      </c>
      <c r="F336" s="9">
        <v>4283715</v>
      </c>
      <c r="G336" s="9">
        <v>4653</v>
      </c>
      <c r="H336" s="2">
        <v>17</v>
      </c>
      <c r="I336" t="s">
        <v>22</v>
      </c>
    </row>
    <row r="337" spans="1:9" x14ac:dyDescent="0.35">
      <c r="A337" s="2" t="s">
        <v>6021</v>
      </c>
      <c r="B337" s="2" t="s">
        <v>4461</v>
      </c>
      <c r="C337" s="9">
        <v>1.8</v>
      </c>
      <c r="D337" s="9">
        <v>6480087</v>
      </c>
      <c r="E337" s="9">
        <v>1.62</v>
      </c>
      <c r="F337" s="9">
        <v>6480087</v>
      </c>
      <c r="G337" s="9">
        <v>0</v>
      </c>
      <c r="H337" s="2">
        <v>18</v>
      </c>
      <c r="I337" t="s">
        <v>23</v>
      </c>
    </row>
    <row r="338" spans="1:9" x14ac:dyDescent="0.35">
      <c r="A338" s="2" t="s">
        <v>4422</v>
      </c>
      <c r="B338" s="2" t="s">
        <v>4461</v>
      </c>
      <c r="C338" s="9">
        <v>1.75</v>
      </c>
      <c r="D338" s="9">
        <v>2742196</v>
      </c>
      <c r="E338" s="9">
        <v>1.76</v>
      </c>
      <c r="F338" s="9">
        <v>2742196</v>
      </c>
      <c r="G338" s="9">
        <v>0</v>
      </c>
      <c r="H338" s="2">
        <v>19</v>
      </c>
      <c r="I338" t="s">
        <v>23</v>
      </c>
    </row>
    <row r="339" spans="1:9" x14ac:dyDescent="0.35">
      <c r="A339" s="2" t="s">
        <v>49</v>
      </c>
      <c r="B339" s="2" t="s">
        <v>4461</v>
      </c>
      <c r="C339" s="9">
        <v>1.73</v>
      </c>
      <c r="D339" s="9">
        <v>3133553</v>
      </c>
      <c r="E339" s="9">
        <v>1.66</v>
      </c>
      <c r="F339" s="9">
        <v>2940933</v>
      </c>
      <c r="G339" s="9">
        <v>192620</v>
      </c>
      <c r="H339" s="2">
        <v>20</v>
      </c>
      <c r="I339" t="s">
        <v>22</v>
      </c>
    </row>
    <row r="340" spans="1:9" x14ac:dyDescent="0.35">
      <c r="A340" s="2" t="s">
        <v>4470</v>
      </c>
      <c r="B340" s="2" t="s">
        <v>4461</v>
      </c>
      <c r="C340" s="9">
        <v>1.66</v>
      </c>
      <c r="D340" s="9">
        <v>3263263</v>
      </c>
      <c r="E340" s="9">
        <v>1.39</v>
      </c>
      <c r="F340" s="9">
        <v>3179807</v>
      </c>
      <c r="G340" s="9">
        <v>83456</v>
      </c>
      <c r="H340" s="2">
        <v>21</v>
      </c>
      <c r="I340" t="s">
        <v>22</v>
      </c>
    </row>
    <row r="341" spans="1:9" x14ac:dyDescent="0.35">
      <c r="A341" s="2" t="s">
        <v>4471</v>
      </c>
      <c r="B341" s="2" t="s">
        <v>4461</v>
      </c>
      <c r="C341" s="9">
        <v>1.6</v>
      </c>
      <c r="D341" s="9">
        <v>20111771</v>
      </c>
      <c r="E341" s="9">
        <v>1.51</v>
      </c>
      <c r="F341" s="9">
        <v>19011771</v>
      </c>
      <c r="G341" s="9">
        <v>1100000</v>
      </c>
      <c r="H341" s="2">
        <v>22</v>
      </c>
      <c r="I341" t="s">
        <v>22</v>
      </c>
    </row>
    <row r="342" spans="1:9" x14ac:dyDescent="0.35">
      <c r="A342" s="2" t="s">
        <v>4472</v>
      </c>
      <c r="B342" s="2" t="s">
        <v>4461</v>
      </c>
      <c r="C342" s="9">
        <v>1.56</v>
      </c>
      <c r="D342" s="9">
        <v>1831319</v>
      </c>
      <c r="E342" s="9">
        <v>1.4</v>
      </c>
      <c r="F342" s="9">
        <v>1827324</v>
      </c>
      <c r="G342" s="9">
        <v>3995</v>
      </c>
      <c r="H342" s="2">
        <v>23</v>
      </c>
      <c r="I342" t="s">
        <v>22</v>
      </c>
    </row>
    <row r="343" spans="1:9" x14ac:dyDescent="0.35">
      <c r="A343" s="2" t="s">
        <v>4473</v>
      </c>
      <c r="B343" s="2" t="s">
        <v>4461</v>
      </c>
      <c r="C343" s="9">
        <v>1.55</v>
      </c>
      <c r="D343" s="9">
        <v>5491304</v>
      </c>
      <c r="E343" s="9">
        <v>1.61</v>
      </c>
      <c r="F343" s="9">
        <v>5191304</v>
      </c>
      <c r="G343" s="9">
        <v>300000</v>
      </c>
      <c r="H343" s="2">
        <v>24</v>
      </c>
      <c r="I343" t="s">
        <v>22</v>
      </c>
    </row>
    <row r="344" spans="1:9" x14ac:dyDescent="0.35">
      <c r="A344" s="2" t="s">
        <v>6022</v>
      </c>
      <c r="B344" s="2" t="s">
        <v>4461</v>
      </c>
      <c r="C344" s="9">
        <v>1.53</v>
      </c>
      <c r="D344" s="9">
        <v>6580909</v>
      </c>
      <c r="E344" s="9">
        <v>1.67</v>
      </c>
      <c r="F344" s="9">
        <v>6580909</v>
      </c>
      <c r="G344" s="9">
        <v>0</v>
      </c>
      <c r="H344" s="2">
        <v>25</v>
      </c>
      <c r="I344" t="s">
        <v>23</v>
      </c>
    </row>
    <row r="345" spans="1:9" x14ac:dyDescent="0.35">
      <c r="A345" s="2" t="s">
        <v>6023</v>
      </c>
      <c r="B345" s="2" t="s">
        <v>4461</v>
      </c>
      <c r="C345" s="9">
        <v>1.52</v>
      </c>
      <c r="D345" s="9">
        <v>4774058</v>
      </c>
      <c r="E345" s="9">
        <v>1.5</v>
      </c>
      <c r="F345" s="9">
        <v>4774058</v>
      </c>
      <c r="G345" s="9">
        <v>0</v>
      </c>
      <c r="H345" s="2">
        <v>26</v>
      </c>
      <c r="I345" t="s">
        <v>23</v>
      </c>
    </row>
    <row r="346" spans="1:9" x14ac:dyDescent="0.35">
      <c r="A346" s="2" t="s">
        <v>4474</v>
      </c>
      <c r="B346" s="2" t="s">
        <v>4461</v>
      </c>
      <c r="C346" s="9">
        <v>1.37</v>
      </c>
      <c r="D346" s="9">
        <v>31649080</v>
      </c>
      <c r="E346" s="9">
        <v>1.25</v>
      </c>
      <c r="F346" s="9">
        <v>29374630</v>
      </c>
      <c r="G346" s="9">
        <v>2274450</v>
      </c>
      <c r="H346" s="2">
        <v>27</v>
      </c>
      <c r="I346" t="s">
        <v>22</v>
      </c>
    </row>
    <row r="347" spans="1:9" x14ac:dyDescent="0.35">
      <c r="A347" s="2" t="s">
        <v>4475</v>
      </c>
      <c r="B347" s="2" t="s">
        <v>4461</v>
      </c>
      <c r="C347" s="9">
        <v>1.28</v>
      </c>
      <c r="D347" s="9">
        <v>3322537</v>
      </c>
      <c r="E347" s="9">
        <v>1.34</v>
      </c>
      <c r="F347" s="9">
        <v>3302537</v>
      </c>
      <c r="G347" s="9">
        <v>20000</v>
      </c>
      <c r="H347" s="2">
        <v>28</v>
      </c>
      <c r="I347" t="s">
        <v>22</v>
      </c>
    </row>
    <row r="348" spans="1:9" x14ac:dyDescent="0.35">
      <c r="A348" s="2" t="s">
        <v>4476</v>
      </c>
      <c r="B348" s="2" t="s">
        <v>4461</v>
      </c>
      <c r="C348" s="9">
        <v>1.23</v>
      </c>
      <c r="D348" s="9">
        <v>940364</v>
      </c>
      <c r="E348" s="9">
        <v>1.39</v>
      </c>
      <c r="F348" s="9">
        <v>940364</v>
      </c>
      <c r="G348" s="9">
        <v>0</v>
      </c>
      <c r="H348" s="2">
        <v>29</v>
      </c>
      <c r="I348" t="s">
        <v>23</v>
      </c>
    </row>
    <row r="349" spans="1:9" x14ac:dyDescent="0.35">
      <c r="A349" s="2" t="s">
        <v>6024</v>
      </c>
      <c r="B349" s="2" t="s">
        <v>4461</v>
      </c>
      <c r="C349" s="9">
        <v>1.23</v>
      </c>
      <c r="D349" s="9">
        <v>1778955</v>
      </c>
      <c r="E349" s="9">
        <v>1.37</v>
      </c>
      <c r="F349" s="9">
        <v>1778955</v>
      </c>
      <c r="G349" s="9">
        <v>0</v>
      </c>
      <c r="H349" s="2">
        <v>30</v>
      </c>
      <c r="I349" t="s">
        <v>23</v>
      </c>
    </row>
    <row r="350" spans="1:9" x14ac:dyDescent="0.35">
      <c r="A350" s="2" t="s">
        <v>6025</v>
      </c>
      <c r="B350" s="2" t="s">
        <v>4461</v>
      </c>
      <c r="C350" s="9">
        <v>1.2</v>
      </c>
      <c r="D350" s="9">
        <v>4799330</v>
      </c>
      <c r="E350" s="9">
        <v>1.19</v>
      </c>
      <c r="F350" s="9">
        <v>4632592</v>
      </c>
      <c r="G350" s="9">
        <v>166738</v>
      </c>
      <c r="H350" s="2">
        <v>31</v>
      </c>
      <c r="I350" t="s">
        <v>22</v>
      </c>
    </row>
    <row r="351" spans="1:9" x14ac:dyDescent="0.35">
      <c r="A351" s="2" t="s">
        <v>6026</v>
      </c>
      <c r="B351" s="2" t="s">
        <v>4461</v>
      </c>
      <c r="C351" s="9">
        <v>1.2</v>
      </c>
      <c r="D351" s="9">
        <v>12617274</v>
      </c>
      <c r="E351" s="9">
        <v>1.43</v>
      </c>
      <c r="F351" s="9">
        <v>12617274</v>
      </c>
      <c r="G351" s="9">
        <v>0</v>
      </c>
      <c r="H351" s="2">
        <v>32</v>
      </c>
      <c r="I351" t="s">
        <v>23</v>
      </c>
    </row>
    <row r="352" spans="1:9" x14ac:dyDescent="0.35">
      <c r="A352" s="2" t="s">
        <v>6027</v>
      </c>
      <c r="B352" s="2" t="s">
        <v>4461</v>
      </c>
      <c r="C352" s="9">
        <v>1.2</v>
      </c>
      <c r="D352" s="9">
        <v>2978121</v>
      </c>
      <c r="E352" s="9">
        <v>1.24</v>
      </c>
      <c r="F352" s="9">
        <v>2978121</v>
      </c>
      <c r="G352" s="9">
        <v>0</v>
      </c>
      <c r="H352" s="2">
        <v>33</v>
      </c>
      <c r="I352" t="s">
        <v>23</v>
      </c>
    </row>
    <row r="353" spans="1:9" x14ac:dyDescent="0.35">
      <c r="A353" s="2" t="s">
        <v>6028</v>
      </c>
      <c r="B353" s="2" t="s">
        <v>4461</v>
      </c>
      <c r="C353" s="9">
        <v>1.1200000000000001</v>
      </c>
      <c r="D353" s="9">
        <v>3671058</v>
      </c>
      <c r="E353" s="9">
        <v>1.22</v>
      </c>
      <c r="F353" s="9">
        <v>3671058</v>
      </c>
      <c r="G353" s="9">
        <v>0</v>
      </c>
      <c r="H353" s="2">
        <v>34</v>
      </c>
      <c r="I353" t="s">
        <v>23</v>
      </c>
    </row>
    <row r="354" spans="1:9" x14ac:dyDescent="0.35">
      <c r="A354" s="2" t="s">
        <v>6029</v>
      </c>
      <c r="B354" s="2" t="s">
        <v>4461</v>
      </c>
      <c r="C354" s="9">
        <v>1.1000000000000001</v>
      </c>
      <c r="D354" s="9">
        <v>5549254</v>
      </c>
      <c r="E354" s="9">
        <v>1.07</v>
      </c>
      <c r="F354" s="9">
        <v>5549254</v>
      </c>
      <c r="G354" s="9">
        <v>0</v>
      </c>
      <c r="H354" s="2">
        <v>35</v>
      </c>
      <c r="I354" t="s">
        <v>23</v>
      </c>
    </row>
    <row r="355" spans="1:9" x14ac:dyDescent="0.35">
      <c r="A355" s="2" t="s">
        <v>74</v>
      </c>
      <c r="B355" s="2" t="s">
        <v>4461</v>
      </c>
      <c r="C355" s="9">
        <v>1.07</v>
      </c>
      <c r="D355" s="9">
        <v>5023804</v>
      </c>
      <c r="E355" s="9">
        <v>1</v>
      </c>
      <c r="F355" s="9">
        <v>5112706</v>
      </c>
      <c r="G355" s="9">
        <v>-88902</v>
      </c>
      <c r="H355" s="2">
        <v>36</v>
      </c>
      <c r="I355" t="s">
        <v>25</v>
      </c>
    </row>
    <row r="356" spans="1:9" x14ac:dyDescent="0.35">
      <c r="A356" s="2" t="s">
        <v>6030</v>
      </c>
      <c r="B356" s="2" t="s">
        <v>4461</v>
      </c>
      <c r="C356" s="9">
        <v>0.99</v>
      </c>
      <c r="D356" s="9">
        <v>1225426</v>
      </c>
      <c r="E356" s="9">
        <v>0.98</v>
      </c>
      <c r="F356" s="9">
        <v>1225426</v>
      </c>
      <c r="G356" s="9">
        <v>0</v>
      </c>
      <c r="H356" s="2">
        <v>37</v>
      </c>
      <c r="I356" t="s">
        <v>23</v>
      </c>
    </row>
    <row r="357" spans="1:9" x14ac:dyDescent="0.35">
      <c r="A357" s="2" t="s">
        <v>6031</v>
      </c>
      <c r="B357" s="2" t="s">
        <v>4461</v>
      </c>
      <c r="C357" s="9">
        <v>0.96</v>
      </c>
      <c r="D357" s="9">
        <v>29381</v>
      </c>
      <c r="E357" s="9">
        <v>1</v>
      </c>
      <c r="F357" s="9">
        <v>29381</v>
      </c>
      <c r="G357" s="9">
        <v>0</v>
      </c>
      <c r="H357" s="2">
        <v>38</v>
      </c>
      <c r="I357" t="s">
        <v>23</v>
      </c>
    </row>
    <row r="358" spans="1:9" x14ac:dyDescent="0.35">
      <c r="A358" s="2" t="s">
        <v>6032</v>
      </c>
      <c r="B358" s="2" t="s">
        <v>4461</v>
      </c>
      <c r="C358" s="9">
        <v>0.93</v>
      </c>
      <c r="D358" s="9">
        <v>3592291</v>
      </c>
      <c r="E358" s="9">
        <v>0.98</v>
      </c>
      <c r="F358" s="9">
        <v>3592291</v>
      </c>
      <c r="G358" s="9">
        <v>0</v>
      </c>
      <c r="H358" s="2">
        <v>39</v>
      </c>
      <c r="I358" t="s">
        <v>23</v>
      </c>
    </row>
    <row r="359" spans="1:9" x14ac:dyDescent="0.35">
      <c r="A359" s="2" t="s">
        <v>6033</v>
      </c>
      <c r="B359" s="2" t="s">
        <v>4461</v>
      </c>
      <c r="C359" s="9">
        <v>0.9</v>
      </c>
      <c r="D359" s="9">
        <v>4470897</v>
      </c>
      <c r="E359" s="9">
        <v>0.88</v>
      </c>
      <c r="F359" s="9">
        <v>4470897</v>
      </c>
      <c r="G359" s="9">
        <v>0</v>
      </c>
      <c r="H359" s="2">
        <v>40</v>
      </c>
      <c r="I359" t="s">
        <v>23</v>
      </c>
    </row>
    <row r="360" spans="1:9" x14ac:dyDescent="0.35">
      <c r="A360" s="2" t="s">
        <v>4477</v>
      </c>
      <c r="B360" s="2" t="s">
        <v>4461</v>
      </c>
      <c r="C360" s="9">
        <v>0.89</v>
      </c>
      <c r="D360" s="9">
        <v>9862872</v>
      </c>
      <c r="E360" s="9">
        <v>0.91</v>
      </c>
      <c r="F360" s="9">
        <v>9539275</v>
      </c>
      <c r="G360" s="9">
        <v>323597</v>
      </c>
      <c r="H360" s="2">
        <v>41</v>
      </c>
      <c r="I360" t="s">
        <v>22</v>
      </c>
    </row>
    <row r="361" spans="1:9" x14ac:dyDescent="0.35">
      <c r="A361" s="2" t="s">
        <v>6034</v>
      </c>
      <c r="B361" s="2" t="s">
        <v>4461</v>
      </c>
      <c r="C361" s="9">
        <v>0.85</v>
      </c>
      <c r="D361" s="9">
        <v>5780127</v>
      </c>
      <c r="E361" s="9">
        <v>0.82</v>
      </c>
      <c r="F361" s="9">
        <v>5780127</v>
      </c>
      <c r="G361" s="9">
        <v>0</v>
      </c>
      <c r="H361" s="2">
        <v>42</v>
      </c>
      <c r="I361" t="s">
        <v>23</v>
      </c>
    </row>
    <row r="362" spans="1:9" x14ac:dyDescent="0.35">
      <c r="A362" s="2" t="s">
        <v>54</v>
      </c>
      <c r="B362" s="2" t="s">
        <v>4461</v>
      </c>
      <c r="C362" s="9">
        <v>0.83</v>
      </c>
      <c r="D362" s="9">
        <v>3326936</v>
      </c>
      <c r="E362" s="9">
        <v>0.77</v>
      </c>
      <c r="F362" s="9">
        <v>3026936</v>
      </c>
      <c r="G362" s="9">
        <v>300000</v>
      </c>
      <c r="H362" s="2">
        <v>43</v>
      </c>
      <c r="I362" t="s">
        <v>22</v>
      </c>
    </row>
    <row r="363" spans="1:9" x14ac:dyDescent="0.35">
      <c r="A363" s="2" t="s">
        <v>4478</v>
      </c>
      <c r="B363" s="2" t="s">
        <v>4461</v>
      </c>
      <c r="C363" s="9">
        <v>0.78</v>
      </c>
      <c r="D363" s="9">
        <v>1286008</v>
      </c>
      <c r="E363" s="9">
        <v>0.75</v>
      </c>
      <c r="F363" s="9">
        <v>1286008</v>
      </c>
      <c r="G363" s="9">
        <v>0</v>
      </c>
      <c r="H363" s="2">
        <v>44</v>
      </c>
      <c r="I363" t="s">
        <v>23</v>
      </c>
    </row>
    <row r="364" spans="1:9" x14ac:dyDescent="0.35">
      <c r="A364" s="2" t="s">
        <v>4414</v>
      </c>
      <c r="B364" s="2" t="s">
        <v>4461</v>
      </c>
      <c r="C364" s="9">
        <v>0.77</v>
      </c>
      <c r="D364" s="9">
        <v>8560976</v>
      </c>
      <c r="E364" s="9">
        <v>0.7</v>
      </c>
      <c r="F364" s="9">
        <v>7660976</v>
      </c>
      <c r="G364" s="9">
        <v>900000</v>
      </c>
      <c r="H364" s="2">
        <v>45</v>
      </c>
      <c r="I364" t="s">
        <v>22</v>
      </c>
    </row>
    <row r="365" spans="1:9" x14ac:dyDescent="0.35">
      <c r="A365" s="2" t="s">
        <v>6035</v>
      </c>
      <c r="B365" s="2" t="s">
        <v>4461</v>
      </c>
      <c r="C365" s="9">
        <v>0.76</v>
      </c>
      <c r="D365" s="9">
        <v>458819</v>
      </c>
      <c r="E365" s="9">
        <v>0.79</v>
      </c>
      <c r="F365" s="9">
        <v>458819</v>
      </c>
      <c r="G365" s="9">
        <v>0</v>
      </c>
      <c r="H365" s="2">
        <v>46</v>
      </c>
      <c r="I365" t="s">
        <v>23</v>
      </c>
    </row>
    <row r="366" spans="1:9" x14ac:dyDescent="0.35">
      <c r="A366" s="2" t="s">
        <v>6036</v>
      </c>
      <c r="B366" s="2" t="s">
        <v>4461</v>
      </c>
      <c r="C366" s="9">
        <v>0.75</v>
      </c>
      <c r="D366" s="9">
        <v>970781</v>
      </c>
      <c r="E366" s="9">
        <v>0.74</v>
      </c>
      <c r="F366" s="9">
        <v>970781</v>
      </c>
      <c r="G366" s="9">
        <v>0</v>
      </c>
      <c r="H366" s="2">
        <v>47</v>
      </c>
      <c r="I366" t="s">
        <v>23</v>
      </c>
    </row>
    <row r="367" spans="1:9" x14ac:dyDescent="0.35">
      <c r="A367" s="2" t="s">
        <v>5944</v>
      </c>
      <c r="B367" s="2" t="s">
        <v>4461</v>
      </c>
      <c r="C367" s="9">
        <v>0.72</v>
      </c>
      <c r="D367" s="9">
        <v>59756</v>
      </c>
      <c r="E367" s="9">
        <v>0.76</v>
      </c>
      <c r="F367" s="9">
        <v>59756</v>
      </c>
      <c r="G367" s="9">
        <v>0</v>
      </c>
      <c r="H367" s="2">
        <v>48</v>
      </c>
      <c r="I367" t="s">
        <v>23</v>
      </c>
    </row>
    <row r="368" spans="1:9" x14ac:dyDescent="0.35">
      <c r="A368" s="2" t="s">
        <v>4479</v>
      </c>
      <c r="B368" s="2" t="s">
        <v>4461</v>
      </c>
      <c r="C368" s="9">
        <v>0.67</v>
      </c>
      <c r="D368" s="9">
        <v>1650702</v>
      </c>
      <c r="E368" s="9">
        <v>0.67</v>
      </c>
      <c r="F368" s="9">
        <v>1631896</v>
      </c>
      <c r="G368" s="9">
        <v>18806</v>
      </c>
      <c r="H368" s="2">
        <v>49</v>
      </c>
      <c r="I368" t="s">
        <v>22</v>
      </c>
    </row>
    <row r="369" spans="1:9" x14ac:dyDescent="0.35">
      <c r="A369" s="2" t="s">
        <v>6037</v>
      </c>
      <c r="B369" s="2" t="s">
        <v>4461</v>
      </c>
      <c r="C369" s="9">
        <v>0.63</v>
      </c>
      <c r="D369" s="9">
        <v>1192800</v>
      </c>
      <c r="E369" s="9">
        <v>0</v>
      </c>
      <c r="F369" s="9">
        <v>0</v>
      </c>
      <c r="G369" s="9">
        <v>1192800</v>
      </c>
      <c r="H369" s="2">
        <v>50</v>
      </c>
      <c r="I369" t="s">
        <v>32</v>
      </c>
    </row>
    <row r="370" spans="1:9" x14ac:dyDescent="0.35">
      <c r="A370" t="s">
        <v>6038</v>
      </c>
      <c r="B370" t="s">
        <v>4461</v>
      </c>
      <c r="C370" s="7">
        <v>0.62</v>
      </c>
      <c r="D370" s="7">
        <v>2269668</v>
      </c>
      <c r="E370" s="7">
        <v>0.66</v>
      </c>
      <c r="F370" s="7">
        <v>2269668</v>
      </c>
      <c r="G370" s="7">
        <v>0</v>
      </c>
      <c r="H370">
        <v>51</v>
      </c>
      <c r="I370" t="s">
        <v>23</v>
      </c>
    </row>
    <row r="371" spans="1:9" x14ac:dyDescent="0.35">
      <c r="A371" t="s">
        <v>6039</v>
      </c>
      <c r="B371" t="s">
        <v>4461</v>
      </c>
      <c r="C371" s="7">
        <v>0.62</v>
      </c>
      <c r="D371" s="7">
        <v>1887699</v>
      </c>
      <c r="E371" s="7">
        <v>0.59</v>
      </c>
      <c r="F371" s="7">
        <v>1887699</v>
      </c>
      <c r="G371" s="7">
        <v>0</v>
      </c>
      <c r="H371">
        <v>52</v>
      </c>
      <c r="I371" t="s">
        <v>23</v>
      </c>
    </row>
    <row r="372" spans="1:9" x14ac:dyDescent="0.35">
      <c r="A372" t="s">
        <v>4411</v>
      </c>
      <c r="B372" t="s">
        <v>4461</v>
      </c>
      <c r="C372" s="7">
        <v>0.59</v>
      </c>
      <c r="D372" s="7">
        <v>468407</v>
      </c>
      <c r="E372" s="7">
        <v>0.52</v>
      </c>
      <c r="F372" s="7">
        <v>438407</v>
      </c>
      <c r="G372" s="7">
        <v>30000</v>
      </c>
      <c r="H372">
        <v>53</v>
      </c>
      <c r="I372" t="s">
        <v>22</v>
      </c>
    </row>
    <row r="373" spans="1:9" x14ac:dyDescent="0.35">
      <c r="A373" t="s">
        <v>4480</v>
      </c>
      <c r="B373" t="s">
        <v>4461</v>
      </c>
      <c r="C373" s="7">
        <v>0.49</v>
      </c>
      <c r="D373" s="7">
        <v>2433301</v>
      </c>
      <c r="E373" s="7">
        <v>0.42</v>
      </c>
      <c r="F373" s="7">
        <v>1833301</v>
      </c>
      <c r="G373" s="7">
        <v>600000</v>
      </c>
      <c r="H373">
        <v>54</v>
      </c>
      <c r="I373" t="s">
        <v>22</v>
      </c>
    </row>
    <row r="374" spans="1:9" x14ac:dyDescent="0.35">
      <c r="A374" t="s">
        <v>6040</v>
      </c>
      <c r="B374" t="s">
        <v>4461</v>
      </c>
      <c r="C374" s="7">
        <v>0.49</v>
      </c>
      <c r="D374" s="7">
        <v>118344</v>
      </c>
      <c r="E374" s="7">
        <v>0.48</v>
      </c>
      <c r="F374" s="7">
        <v>118344</v>
      </c>
      <c r="G374" s="7">
        <v>0</v>
      </c>
      <c r="H374">
        <v>55</v>
      </c>
      <c r="I374" t="s">
        <v>23</v>
      </c>
    </row>
    <row r="375" spans="1:9" x14ac:dyDescent="0.35">
      <c r="A375" t="s">
        <v>6041</v>
      </c>
      <c r="B375" t="s">
        <v>4461</v>
      </c>
      <c r="C375" s="7">
        <v>0.44</v>
      </c>
      <c r="D375" s="7">
        <v>57410</v>
      </c>
      <c r="E375" s="7">
        <v>0.46</v>
      </c>
      <c r="F375" s="7">
        <v>57410</v>
      </c>
      <c r="G375" s="7">
        <v>0</v>
      </c>
      <c r="H375">
        <v>56</v>
      </c>
      <c r="I375" t="s">
        <v>23</v>
      </c>
    </row>
    <row r="376" spans="1:9" x14ac:dyDescent="0.35">
      <c r="A376" t="s">
        <v>6042</v>
      </c>
      <c r="B376" t="s">
        <v>4461</v>
      </c>
      <c r="C376" s="7">
        <v>0.42</v>
      </c>
      <c r="D376" s="7">
        <v>13298635</v>
      </c>
      <c r="E376" s="7">
        <v>0.38</v>
      </c>
      <c r="F376" s="7">
        <v>13298635</v>
      </c>
      <c r="G376" s="7">
        <v>0</v>
      </c>
      <c r="H376">
        <v>57</v>
      </c>
      <c r="I376" t="s">
        <v>23</v>
      </c>
    </row>
    <row r="377" spans="1:9" x14ac:dyDescent="0.35">
      <c r="A377" t="s">
        <v>6043</v>
      </c>
      <c r="B377" t="s">
        <v>4461</v>
      </c>
      <c r="C377" s="7">
        <v>0.42</v>
      </c>
      <c r="D377" s="7">
        <v>2725121</v>
      </c>
      <c r="E377" s="7">
        <v>0.43</v>
      </c>
      <c r="F377" s="7">
        <v>2725121</v>
      </c>
      <c r="G377" s="7">
        <v>0</v>
      </c>
      <c r="H377">
        <v>58</v>
      </c>
      <c r="I377" t="s">
        <v>23</v>
      </c>
    </row>
    <row r="378" spans="1:9" x14ac:dyDescent="0.35">
      <c r="A378" t="s">
        <v>1390</v>
      </c>
      <c r="B378" t="s">
        <v>4461</v>
      </c>
      <c r="C378" s="7">
        <v>0.38</v>
      </c>
      <c r="D378" s="7">
        <v>1786725</v>
      </c>
      <c r="E378" s="7">
        <v>0.32</v>
      </c>
      <c r="F378" s="7">
        <v>1786725</v>
      </c>
      <c r="G378" s="7">
        <v>0</v>
      </c>
      <c r="H378">
        <v>59</v>
      </c>
      <c r="I378" t="s">
        <v>23</v>
      </c>
    </row>
    <row r="379" spans="1:9" x14ac:dyDescent="0.35">
      <c r="A379" t="s">
        <v>6044</v>
      </c>
      <c r="B379" t="s">
        <v>4461</v>
      </c>
      <c r="C379" s="7">
        <v>0.37</v>
      </c>
      <c r="D379" s="7">
        <v>172425</v>
      </c>
      <c r="E379" s="7">
        <v>0.37</v>
      </c>
      <c r="F379" s="7">
        <v>172425</v>
      </c>
      <c r="G379" s="7">
        <v>0</v>
      </c>
      <c r="H379">
        <v>60</v>
      </c>
      <c r="I379" t="s">
        <v>23</v>
      </c>
    </row>
    <row r="380" spans="1:9" x14ac:dyDescent="0.35">
      <c r="A380" t="s">
        <v>4481</v>
      </c>
      <c r="B380" t="s">
        <v>4461</v>
      </c>
      <c r="C380" s="7">
        <v>0.36</v>
      </c>
      <c r="D380" s="7">
        <v>1767181</v>
      </c>
      <c r="E380" s="7">
        <v>0.32</v>
      </c>
      <c r="F380" s="7">
        <v>1767181</v>
      </c>
      <c r="G380" s="7">
        <v>0</v>
      </c>
      <c r="H380">
        <v>61</v>
      </c>
      <c r="I380" t="s">
        <v>23</v>
      </c>
    </row>
    <row r="381" spans="1:9" x14ac:dyDescent="0.35">
      <c r="A381" t="s">
        <v>6045</v>
      </c>
      <c r="B381" t="s">
        <v>4461</v>
      </c>
      <c r="C381" s="7">
        <v>0.35</v>
      </c>
      <c r="D381" s="7">
        <v>25750</v>
      </c>
      <c r="E381" s="7">
        <v>0.36</v>
      </c>
      <c r="F381" s="7">
        <v>25750</v>
      </c>
      <c r="G381" s="7">
        <v>0</v>
      </c>
      <c r="H381">
        <v>62</v>
      </c>
      <c r="I381" t="s">
        <v>23</v>
      </c>
    </row>
    <row r="382" spans="1:9" x14ac:dyDescent="0.35">
      <c r="A382" t="s">
        <v>5933</v>
      </c>
      <c r="B382" t="s">
        <v>4461</v>
      </c>
      <c r="C382" s="7">
        <v>0.34</v>
      </c>
      <c r="D382" s="7">
        <v>1043376</v>
      </c>
      <c r="E382" s="7">
        <v>0.32</v>
      </c>
      <c r="F382" s="7">
        <v>1043376</v>
      </c>
      <c r="G382" s="7">
        <v>0</v>
      </c>
      <c r="H382">
        <v>63</v>
      </c>
      <c r="I382" t="s">
        <v>23</v>
      </c>
    </row>
    <row r="383" spans="1:9" x14ac:dyDescent="0.35">
      <c r="A383" t="s">
        <v>6046</v>
      </c>
      <c r="B383" t="s">
        <v>4461</v>
      </c>
      <c r="C383" s="7">
        <v>0.33</v>
      </c>
      <c r="D383" s="7">
        <v>7856168</v>
      </c>
      <c r="E383" s="7">
        <v>0.34</v>
      </c>
      <c r="F383" s="7">
        <v>7856168</v>
      </c>
      <c r="G383" s="7">
        <v>0</v>
      </c>
      <c r="H383">
        <v>64</v>
      </c>
      <c r="I383" t="s">
        <v>23</v>
      </c>
    </row>
    <row r="384" spans="1:9" x14ac:dyDescent="0.35">
      <c r="A384" t="s">
        <v>4482</v>
      </c>
      <c r="B384" t="s">
        <v>4461</v>
      </c>
      <c r="C384" s="7">
        <v>0.33</v>
      </c>
      <c r="D384" s="7">
        <v>3554630</v>
      </c>
      <c r="E384" s="7">
        <v>0.34</v>
      </c>
      <c r="F384" s="7">
        <v>3554630</v>
      </c>
      <c r="G384" s="7">
        <v>0</v>
      </c>
      <c r="H384">
        <v>65</v>
      </c>
      <c r="I384" t="s">
        <v>23</v>
      </c>
    </row>
    <row r="385" spans="1:9" x14ac:dyDescent="0.35">
      <c r="A385" t="s">
        <v>1259</v>
      </c>
      <c r="B385" t="s">
        <v>4461</v>
      </c>
      <c r="C385" s="7">
        <v>0.3</v>
      </c>
      <c r="D385" s="7">
        <v>587816</v>
      </c>
      <c r="E385" s="7">
        <v>0.31</v>
      </c>
      <c r="F385" s="7">
        <v>605147</v>
      </c>
      <c r="G385" s="7">
        <v>-17331</v>
      </c>
      <c r="H385">
        <v>66</v>
      </c>
      <c r="I385" t="s">
        <v>25</v>
      </c>
    </row>
    <row r="386" spans="1:9" x14ac:dyDescent="0.35">
      <c r="A386" t="s">
        <v>6047</v>
      </c>
      <c r="B386" t="s">
        <v>4461</v>
      </c>
      <c r="C386" s="7">
        <v>0.28000000000000003</v>
      </c>
      <c r="D386" s="7">
        <v>1890000</v>
      </c>
      <c r="E386" s="7">
        <v>0.27</v>
      </c>
      <c r="F386" s="7">
        <v>1890000</v>
      </c>
      <c r="G386" s="7">
        <v>0</v>
      </c>
      <c r="H386">
        <v>67</v>
      </c>
      <c r="I386" t="s">
        <v>23</v>
      </c>
    </row>
    <row r="387" spans="1:9" x14ac:dyDescent="0.35">
      <c r="A387" t="s">
        <v>6048</v>
      </c>
      <c r="B387" t="s">
        <v>4461</v>
      </c>
      <c r="C387" s="7">
        <v>0.27</v>
      </c>
      <c r="D387" s="7">
        <v>1729515</v>
      </c>
      <c r="E387" s="7">
        <v>0.26</v>
      </c>
      <c r="F387" s="7">
        <v>1729515</v>
      </c>
      <c r="G387" s="7">
        <v>0</v>
      </c>
      <c r="H387">
        <v>68</v>
      </c>
      <c r="I387" t="s">
        <v>23</v>
      </c>
    </row>
    <row r="388" spans="1:9" x14ac:dyDescent="0.35">
      <c r="A388" t="s">
        <v>564</v>
      </c>
      <c r="B388" t="s">
        <v>4461</v>
      </c>
      <c r="C388" s="7">
        <v>0.26</v>
      </c>
      <c r="D388" s="7">
        <v>631242</v>
      </c>
      <c r="E388" s="7">
        <v>0.23</v>
      </c>
      <c r="F388" s="7">
        <v>631242</v>
      </c>
      <c r="G388" s="7">
        <v>0</v>
      </c>
      <c r="H388">
        <v>69</v>
      </c>
      <c r="I388" t="s">
        <v>23</v>
      </c>
    </row>
    <row r="389" spans="1:9" x14ac:dyDescent="0.35">
      <c r="A389" t="s">
        <v>4483</v>
      </c>
      <c r="B389" t="s">
        <v>4461</v>
      </c>
      <c r="C389" s="7">
        <v>0.25</v>
      </c>
      <c r="D389" s="7">
        <v>2210712</v>
      </c>
      <c r="E389" s="7">
        <v>0.24</v>
      </c>
      <c r="F389" s="7">
        <v>1979675</v>
      </c>
      <c r="G389" s="7">
        <v>231037</v>
      </c>
      <c r="H389">
        <v>70</v>
      </c>
      <c r="I389" t="s">
        <v>22</v>
      </c>
    </row>
    <row r="390" spans="1:9" x14ac:dyDescent="0.35">
      <c r="A390" t="s">
        <v>6049</v>
      </c>
      <c r="B390" t="s">
        <v>4461</v>
      </c>
      <c r="C390" s="7">
        <v>0.23</v>
      </c>
      <c r="D390" s="7">
        <v>2042507</v>
      </c>
      <c r="E390" s="7">
        <v>0.22</v>
      </c>
      <c r="F390" s="7">
        <v>2042507</v>
      </c>
      <c r="G390" s="7">
        <v>0</v>
      </c>
      <c r="H390">
        <v>71</v>
      </c>
      <c r="I390" t="s">
        <v>23</v>
      </c>
    </row>
    <row r="391" spans="1:9" x14ac:dyDescent="0.35">
      <c r="A391" t="s">
        <v>4484</v>
      </c>
      <c r="B391" t="s">
        <v>4461</v>
      </c>
      <c r="C391" s="7">
        <v>0.21</v>
      </c>
      <c r="D391" s="7">
        <v>378299</v>
      </c>
      <c r="E391" s="7">
        <v>0.23</v>
      </c>
      <c r="F391" s="7">
        <v>401357</v>
      </c>
      <c r="G391" s="7">
        <v>-23058</v>
      </c>
      <c r="H391">
        <v>72</v>
      </c>
      <c r="I391" t="s">
        <v>25</v>
      </c>
    </row>
    <row r="392" spans="1:9" x14ac:dyDescent="0.35">
      <c r="A392" t="s">
        <v>552</v>
      </c>
      <c r="B392" t="s">
        <v>4461</v>
      </c>
      <c r="C392" s="7">
        <v>0.21</v>
      </c>
      <c r="D392" s="7">
        <v>11152059</v>
      </c>
      <c r="E392" s="7">
        <v>0.22</v>
      </c>
      <c r="F392" s="7">
        <v>11152059</v>
      </c>
      <c r="G392" s="7">
        <v>0</v>
      </c>
      <c r="H392">
        <v>73</v>
      </c>
      <c r="I392" t="s">
        <v>23</v>
      </c>
    </row>
    <row r="393" spans="1:9" x14ac:dyDescent="0.35">
      <c r="A393" t="s">
        <v>4455</v>
      </c>
      <c r="B393" t="s">
        <v>4461</v>
      </c>
      <c r="C393" s="7">
        <v>0.19</v>
      </c>
      <c r="D393" s="7">
        <v>1000000</v>
      </c>
      <c r="E393" s="7">
        <v>0.2</v>
      </c>
      <c r="F393" s="7">
        <v>1000000</v>
      </c>
      <c r="G393" s="7">
        <v>0</v>
      </c>
      <c r="H393">
        <v>74</v>
      </c>
      <c r="I393" t="s">
        <v>23</v>
      </c>
    </row>
    <row r="394" spans="1:9" x14ac:dyDescent="0.35">
      <c r="A394" t="s">
        <v>6050</v>
      </c>
      <c r="B394" t="s">
        <v>4461</v>
      </c>
      <c r="C394" s="7">
        <v>0.19</v>
      </c>
      <c r="D394" s="7">
        <v>125000</v>
      </c>
      <c r="E394" s="7">
        <v>0.22</v>
      </c>
      <c r="F394" s="7">
        <v>125000</v>
      </c>
      <c r="G394" s="7">
        <v>0</v>
      </c>
      <c r="H394">
        <v>75</v>
      </c>
      <c r="I394" t="s">
        <v>23</v>
      </c>
    </row>
    <row r="395" spans="1:9" x14ac:dyDescent="0.35">
      <c r="A395" t="s">
        <v>6051</v>
      </c>
      <c r="B395" t="s">
        <v>4461</v>
      </c>
      <c r="C395" s="7">
        <v>0.11</v>
      </c>
      <c r="D395" s="7">
        <v>456376</v>
      </c>
      <c r="E395" s="7">
        <v>0.11</v>
      </c>
      <c r="F395" s="7">
        <v>456376</v>
      </c>
      <c r="G395" s="7">
        <v>0</v>
      </c>
      <c r="H395">
        <v>76</v>
      </c>
      <c r="I395" t="s">
        <v>23</v>
      </c>
    </row>
    <row r="396" spans="1:9" x14ac:dyDescent="0.35">
      <c r="A396" t="s">
        <v>4485</v>
      </c>
      <c r="B396" t="s">
        <v>4461</v>
      </c>
      <c r="C396" s="7">
        <v>0.11</v>
      </c>
      <c r="D396" s="7">
        <v>2469079</v>
      </c>
      <c r="E396" s="7">
        <v>0.06</v>
      </c>
      <c r="F396" s="7">
        <v>1221600</v>
      </c>
      <c r="G396" s="7">
        <v>1247479</v>
      </c>
      <c r="H396">
        <v>77</v>
      </c>
      <c r="I396" t="s">
        <v>22</v>
      </c>
    </row>
    <row r="397" spans="1:9" x14ac:dyDescent="0.35">
      <c r="A397" t="s">
        <v>136</v>
      </c>
      <c r="B397" t="s">
        <v>4461</v>
      </c>
      <c r="C397" s="7">
        <v>7.0000000000000007E-2</v>
      </c>
      <c r="D397" s="7">
        <v>326860</v>
      </c>
      <c r="E397" s="7">
        <v>7.0000000000000007E-2</v>
      </c>
      <c r="F397" s="7">
        <v>326860</v>
      </c>
      <c r="G397" s="7">
        <v>0</v>
      </c>
      <c r="H397">
        <v>78</v>
      </c>
      <c r="I397" t="s">
        <v>23</v>
      </c>
    </row>
    <row r="398" spans="1:9" x14ac:dyDescent="0.35">
      <c r="A398" t="s">
        <v>6052</v>
      </c>
      <c r="B398" t="s">
        <v>4461</v>
      </c>
      <c r="C398" s="7">
        <v>0</v>
      </c>
      <c r="D398" s="7">
        <v>0</v>
      </c>
      <c r="E398" s="7">
        <v>0.48</v>
      </c>
      <c r="F398" s="7">
        <v>510000</v>
      </c>
      <c r="G398" s="7">
        <v>-510000</v>
      </c>
      <c r="H398">
        <v>79</v>
      </c>
      <c r="I398" t="s">
        <v>25</v>
      </c>
    </row>
    <row r="399" spans="1:9" x14ac:dyDescent="0.35">
      <c r="A399" t="s">
        <v>6053</v>
      </c>
      <c r="B399" t="s">
        <v>4486</v>
      </c>
      <c r="C399" s="7">
        <v>3.79</v>
      </c>
      <c r="D399" s="7">
        <v>3630984</v>
      </c>
      <c r="E399" s="7">
        <v>4.0199999999999996</v>
      </c>
      <c r="F399" s="7">
        <v>3630984</v>
      </c>
      <c r="G399" s="7">
        <v>0</v>
      </c>
      <c r="H399">
        <v>1</v>
      </c>
      <c r="I399" t="s">
        <v>23</v>
      </c>
    </row>
    <row r="400" spans="1:9" x14ac:dyDescent="0.35">
      <c r="A400" t="s">
        <v>4438</v>
      </c>
      <c r="B400" t="s">
        <v>4486</v>
      </c>
      <c r="C400" s="7">
        <v>3.49</v>
      </c>
      <c r="D400" s="7">
        <v>2758642</v>
      </c>
      <c r="E400" s="7">
        <v>3.8</v>
      </c>
      <c r="F400" s="7">
        <v>2743435</v>
      </c>
      <c r="G400" s="7">
        <v>15207</v>
      </c>
      <c r="H400">
        <v>2</v>
      </c>
      <c r="I400" t="s">
        <v>22</v>
      </c>
    </row>
    <row r="401" spans="1:9" x14ac:dyDescent="0.35">
      <c r="A401" t="s">
        <v>4472</v>
      </c>
      <c r="B401" t="s">
        <v>4486</v>
      </c>
      <c r="C401" s="7">
        <v>3.29</v>
      </c>
      <c r="D401" s="7">
        <v>1426985</v>
      </c>
      <c r="E401" s="7">
        <v>2.98</v>
      </c>
      <c r="F401" s="7">
        <v>1419522</v>
      </c>
      <c r="G401" s="7">
        <v>7463</v>
      </c>
      <c r="H401">
        <v>3</v>
      </c>
      <c r="I401" t="s">
        <v>22</v>
      </c>
    </row>
    <row r="402" spans="1:9" x14ac:dyDescent="0.35">
      <c r="A402" t="s">
        <v>4487</v>
      </c>
      <c r="B402" t="s">
        <v>4486</v>
      </c>
      <c r="C402" s="7">
        <v>3.22</v>
      </c>
      <c r="D402" s="7">
        <v>5671972</v>
      </c>
      <c r="E402" s="7">
        <v>3.47</v>
      </c>
      <c r="F402" s="7">
        <v>5673505</v>
      </c>
      <c r="G402" s="7">
        <v>-1533</v>
      </c>
      <c r="H402">
        <v>4</v>
      </c>
      <c r="I402" t="s">
        <v>25</v>
      </c>
    </row>
    <row r="403" spans="1:9" x14ac:dyDescent="0.35">
      <c r="A403" t="s">
        <v>4488</v>
      </c>
      <c r="B403" t="s">
        <v>4486</v>
      </c>
      <c r="C403" s="7">
        <v>2.59</v>
      </c>
      <c r="D403" s="7">
        <v>1106604</v>
      </c>
      <c r="E403" s="7">
        <v>2.61</v>
      </c>
      <c r="F403" s="7">
        <v>1067105</v>
      </c>
      <c r="G403" s="7">
        <v>39499</v>
      </c>
      <c r="H403">
        <v>5</v>
      </c>
      <c r="I403" t="s">
        <v>22</v>
      </c>
    </row>
    <row r="404" spans="1:9" x14ac:dyDescent="0.35">
      <c r="A404" t="s">
        <v>4489</v>
      </c>
      <c r="B404" t="s">
        <v>4486</v>
      </c>
      <c r="C404" s="7">
        <v>2.58</v>
      </c>
      <c r="D404" s="7">
        <v>3865125</v>
      </c>
      <c r="E404" s="7">
        <v>2.2000000000000002</v>
      </c>
      <c r="F404" s="7">
        <v>3742944</v>
      </c>
      <c r="G404" s="7">
        <v>122181</v>
      </c>
      <c r="H404">
        <v>6</v>
      </c>
      <c r="I404" t="s">
        <v>22</v>
      </c>
    </row>
    <row r="405" spans="1:9" x14ac:dyDescent="0.35">
      <c r="A405" t="s">
        <v>6025</v>
      </c>
      <c r="B405" t="s">
        <v>4486</v>
      </c>
      <c r="C405" s="7">
        <v>2.57</v>
      </c>
      <c r="D405" s="7">
        <v>3806516</v>
      </c>
      <c r="E405" s="7">
        <v>2.66</v>
      </c>
      <c r="F405" s="7">
        <v>3760350</v>
      </c>
      <c r="G405" s="7">
        <v>46166</v>
      </c>
      <c r="H405">
        <v>7</v>
      </c>
      <c r="I405" t="s">
        <v>22</v>
      </c>
    </row>
    <row r="406" spans="1:9" x14ac:dyDescent="0.35">
      <c r="A406" t="s">
        <v>461</v>
      </c>
      <c r="B406" t="s">
        <v>4486</v>
      </c>
      <c r="C406" s="7">
        <v>2.4900000000000002</v>
      </c>
      <c r="D406" s="7">
        <v>814642</v>
      </c>
      <c r="E406" s="7">
        <v>2.5</v>
      </c>
      <c r="F406" s="7">
        <v>846721</v>
      </c>
      <c r="G406" s="7">
        <v>-32079</v>
      </c>
      <c r="H406">
        <v>8</v>
      </c>
      <c r="I406" t="s">
        <v>25</v>
      </c>
    </row>
    <row r="407" spans="1:9" x14ac:dyDescent="0.35">
      <c r="A407" t="s">
        <v>4490</v>
      </c>
      <c r="B407" t="s">
        <v>4486</v>
      </c>
      <c r="C407" s="7">
        <v>2.36</v>
      </c>
      <c r="D407" s="7">
        <v>863902</v>
      </c>
      <c r="E407" s="7">
        <v>2.36</v>
      </c>
      <c r="F407" s="7">
        <v>823156</v>
      </c>
      <c r="G407" s="7">
        <v>40746</v>
      </c>
      <c r="H407">
        <v>9</v>
      </c>
      <c r="I407" t="s">
        <v>22</v>
      </c>
    </row>
    <row r="408" spans="1:9" x14ac:dyDescent="0.35">
      <c r="A408" t="s">
        <v>4491</v>
      </c>
      <c r="B408" t="s">
        <v>4486</v>
      </c>
      <c r="C408" s="7">
        <v>2.0299999999999998</v>
      </c>
      <c r="D408" s="7">
        <v>349145</v>
      </c>
      <c r="E408" s="7">
        <v>2.17</v>
      </c>
      <c r="F408" s="7">
        <v>324915</v>
      </c>
      <c r="G408" s="7">
        <v>24230</v>
      </c>
      <c r="H408">
        <v>10</v>
      </c>
      <c r="I408" t="s">
        <v>22</v>
      </c>
    </row>
    <row r="409" spans="1:9" x14ac:dyDescent="0.35">
      <c r="A409" t="s">
        <v>4475</v>
      </c>
      <c r="B409" t="s">
        <v>4486</v>
      </c>
      <c r="C409" s="7">
        <v>2.02</v>
      </c>
      <c r="D409" s="7">
        <v>1927672</v>
      </c>
      <c r="E409" s="7">
        <v>2.16</v>
      </c>
      <c r="F409" s="7">
        <v>1927672</v>
      </c>
      <c r="G409" s="7">
        <v>0</v>
      </c>
      <c r="H409">
        <v>11</v>
      </c>
      <c r="I409" t="s">
        <v>23</v>
      </c>
    </row>
    <row r="410" spans="1:9" x14ac:dyDescent="0.35">
      <c r="A410" t="s">
        <v>6054</v>
      </c>
      <c r="B410" t="s">
        <v>4486</v>
      </c>
      <c r="C410" s="7">
        <v>2.0099999999999998</v>
      </c>
      <c r="D410" s="7">
        <v>2438783</v>
      </c>
      <c r="E410" s="7">
        <v>1.96</v>
      </c>
      <c r="F410" s="7">
        <v>2438783</v>
      </c>
      <c r="G410" s="7">
        <v>0</v>
      </c>
      <c r="H410">
        <v>12</v>
      </c>
      <c r="I410" t="s">
        <v>23</v>
      </c>
    </row>
    <row r="411" spans="1:9" x14ac:dyDescent="0.35">
      <c r="A411" t="s">
        <v>4492</v>
      </c>
      <c r="B411" t="s">
        <v>4486</v>
      </c>
      <c r="C411" s="7">
        <v>1.94</v>
      </c>
      <c r="D411" s="7">
        <v>2824633</v>
      </c>
      <c r="E411" s="7">
        <v>2.04</v>
      </c>
      <c r="F411" s="7">
        <v>2710742</v>
      </c>
      <c r="G411" s="7">
        <v>113891</v>
      </c>
      <c r="H411">
        <v>13</v>
      </c>
      <c r="I411" t="s">
        <v>22</v>
      </c>
    </row>
    <row r="412" spans="1:9" x14ac:dyDescent="0.35">
      <c r="A412" t="s">
        <v>4477</v>
      </c>
      <c r="B412" t="s">
        <v>4486</v>
      </c>
      <c r="C412" s="7">
        <v>1.92</v>
      </c>
      <c r="D412" s="7">
        <v>7850701</v>
      </c>
      <c r="E412" s="7">
        <v>2.0299999999999998</v>
      </c>
      <c r="F412" s="7">
        <v>7790701</v>
      </c>
      <c r="G412" s="7">
        <v>60000</v>
      </c>
      <c r="H412">
        <v>14</v>
      </c>
      <c r="I412" t="s">
        <v>22</v>
      </c>
    </row>
    <row r="413" spans="1:9" x14ac:dyDescent="0.35">
      <c r="A413" t="s">
        <v>6055</v>
      </c>
      <c r="B413" t="s">
        <v>4486</v>
      </c>
      <c r="C413" s="7">
        <v>1.87</v>
      </c>
      <c r="D413" s="7">
        <v>2902449</v>
      </c>
      <c r="E413" s="7">
        <v>1.9</v>
      </c>
      <c r="F413" s="7">
        <v>2902449</v>
      </c>
      <c r="G413" s="7">
        <v>0</v>
      </c>
      <c r="H413">
        <v>15</v>
      </c>
      <c r="I413" t="s">
        <v>23</v>
      </c>
    </row>
    <row r="414" spans="1:9" x14ac:dyDescent="0.35">
      <c r="A414" t="s">
        <v>4480</v>
      </c>
      <c r="B414" t="s">
        <v>4486</v>
      </c>
      <c r="C414" s="7">
        <v>1.83</v>
      </c>
      <c r="D414" s="7">
        <v>3344186</v>
      </c>
      <c r="E414" s="7">
        <v>1.39</v>
      </c>
      <c r="F414" s="7">
        <v>2202107</v>
      </c>
      <c r="G414" s="7">
        <v>1142079</v>
      </c>
      <c r="H414">
        <v>16</v>
      </c>
      <c r="I414" t="s">
        <v>22</v>
      </c>
    </row>
    <row r="415" spans="1:9" x14ac:dyDescent="0.35">
      <c r="A415" t="s">
        <v>433</v>
      </c>
      <c r="B415" t="s">
        <v>4486</v>
      </c>
      <c r="C415" s="7">
        <v>1.82</v>
      </c>
      <c r="D415" s="7">
        <v>444434</v>
      </c>
      <c r="E415" s="7">
        <v>2.06</v>
      </c>
      <c r="F415" s="7">
        <v>444434</v>
      </c>
      <c r="G415" s="7">
        <v>0</v>
      </c>
      <c r="H415">
        <v>17</v>
      </c>
      <c r="I415" t="s">
        <v>23</v>
      </c>
    </row>
    <row r="416" spans="1:9" x14ac:dyDescent="0.35">
      <c r="A416" t="s">
        <v>4493</v>
      </c>
      <c r="B416" t="s">
        <v>4486</v>
      </c>
      <c r="C416" s="7">
        <v>1.77</v>
      </c>
      <c r="D416" s="7">
        <v>3961498</v>
      </c>
      <c r="E416" s="7">
        <v>1.64</v>
      </c>
      <c r="F416" s="7">
        <v>3807569</v>
      </c>
      <c r="G416" s="7">
        <v>153929</v>
      </c>
      <c r="H416">
        <v>18</v>
      </c>
      <c r="I416" t="s">
        <v>22</v>
      </c>
    </row>
    <row r="417" spans="1:9" x14ac:dyDescent="0.35">
      <c r="A417" t="s">
        <v>4494</v>
      </c>
      <c r="B417" t="s">
        <v>4486</v>
      </c>
      <c r="C417" s="7">
        <v>1.72</v>
      </c>
      <c r="D417" s="7">
        <v>2530608</v>
      </c>
      <c r="E417" s="7">
        <v>1.66</v>
      </c>
      <c r="F417" s="7">
        <v>2426564</v>
      </c>
      <c r="G417" s="7">
        <v>104044</v>
      </c>
      <c r="H417">
        <v>19</v>
      </c>
      <c r="I417" t="s">
        <v>22</v>
      </c>
    </row>
    <row r="418" spans="1:9" x14ac:dyDescent="0.35">
      <c r="A418" t="s">
        <v>4462</v>
      </c>
      <c r="B418" t="s">
        <v>4486</v>
      </c>
      <c r="C418" s="7">
        <v>1.7</v>
      </c>
      <c r="D418" s="7">
        <v>633033</v>
      </c>
      <c r="E418" s="7">
        <v>1.81</v>
      </c>
      <c r="F418" s="7">
        <v>633033</v>
      </c>
      <c r="G418" s="7">
        <v>0</v>
      </c>
      <c r="H418">
        <v>20</v>
      </c>
      <c r="I418" t="s">
        <v>23</v>
      </c>
    </row>
    <row r="419" spans="1:9" x14ac:dyDescent="0.35">
      <c r="A419" t="s">
        <v>4471</v>
      </c>
      <c r="B419" t="s">
        <v>4486</v>
      </c>
      <c r="C419" s="7">
        <v>1.67</v>
      </c>
      <c r="D419" s="7">
        <v>7781980</v>
      </c>
      <c r="E419" s="7">
        <v>1.7</v>
      </c>
      <c r="F419" s="7">
        <v>7781980</v>
      </c>
      <c r="G419" s="7">
        <v>0</v>
      </c>
      <c r="H419">
        <v>21</v>
      </c>
      <c r="I419" t="s">
        <v>23</v>
      </c>
    </row>
    <row r="420" spans="1:9" x14ac:dyDescent="0.35">
      <c r="A420" t="s">
        <v>6056</v>
      </c>
      <c r="B420" t="s">
        <v>4486</v>
      </c>
      <c r="C420" s="7">
        <v>1.65</v>
      </c>
      <c r="D420" s="7">
        <v>4858077</v>
      </c>
      <c r="E420" s="7">
        <v>1.61</v>
      </c>
      <c r="F420" s="7">
        <v>4858077</v>
      </c>
      <c r="G420" s="7">
        <v>0</v>
      </c>
      <c r="H420">
        <v>22</v>
      </c>
      <c r="I420" t="s">
        <v>23</v>
      </c>
    </row>
    <row r="421" spans="1:9" x14ac:dyDescent="0.35">
      <c r="A421" t="s">
        <v>4495</v>
      </c>
      <c r="B421" t="s">
        <v>4486</v>
      </c>
      <c r="C421" s="7">
        <v>1.64</v>
      </c>
      <c r="D421" s="7">
        <v>689567</v>
      </c>
      <c r="E421" s="7">
        <v>1.49</v>
      </c>
      <c r="F421" s="7">
        <v>658770</v>
      </c>
      <c r="G421" s="7">
        <v>30797</v>
      </c>
      <c r="H421">
        <v>23</v>
      </c>
      <c r="I421" t="s">
        <v>22</v>
      </c>
    </row>
    <row r="422" spans="1:9" x14ac:dyDescent="0.35">
      <c r="A422" t="s">
        <v>445</v>
      </c>
      <c r="B422" t="s">
        <v>4486</v>
      </c>
      <c r="C422" s="7">
        <v>1.64</v>
      </c>
      <c r="D422" s="7">
        <v>500576</v>
      </c>
      <c r="E422" s="7">
        <v>1.73</v>
      </c>
      <c r="F422" s="7">
        <v>500576</v>
      </c>
      <c r="G422" s="7">
        <v>0</v>
      </c>
      <c r="H422">
        <v>24</v>
      </c>
      <c r="I422" t="s">
        <v>23</v>
      </c>
    </row>
    <row r="423" spans="1:9" x14ac:dyDescent="0.35">
      <c r="A423" t="s">
        <v>5983</v>
      </c>
      <c r="B423" t="s">
        <v>4486</v>
      </c>
      <c r="C423" s="7">
        <v>1.59</v>
      </c>
      <c r="D423" s="7">
        <v>807098</v>
      </c>
      <c r="E423" s="7">
        <v>1.65</v>
      </c>
      <c r="F423" s="7">
        <v>807098</v>
      </c>
      <c r="G423" s="7">
        <v>0</v>
      </c>
      <c r="H423">
        <v>25</v>
      </c>
      <c r="I423" t="s">
        <v>23</v>
      </c>
    </row>
    <row r="424" spans="1:9" x14ac:dyDescent="0.35">
      <c r="A424" t="s">
        <v>6023</v>
      </c>
      <c r="B424" t="s">
        <v>4486</v>
      </c>
      <c r="C424" s="7">
        <v>1.52</v>
      </c>
      <c r="D424" s="7">
        <v>1765719</v>
      </c>
      <c r="E424" s="7">
        <v>1.52</v>
      </c>
      <c r="F424" s="7">
        <v>1765719</v>
      </c>
      <c r="G424" s="7">
        <v>0</v>
      </c>
      <c r="H424">
        <v>26</v>
      </c>
      <c r="I424" t="s">
        <v>23</v>
      </c>
    </row>
    <row r="425" spans="1:9" x14ac:dyDescent="0.35">
      <c r="A425" t="s">
        <v>1241</v>
      </c>
      <c r="B425" t="s">
        <v>4486</v>
      </c>
      <c r="C425" s="7">
        <v>1.48</v>
      </c>
      <c r="D425" s="7">
        <v>3506132</v>
      </c>
      <c r="E425" s="7">
        <v>1.1399999999999999</v>
      </c>
      <c r="F425" s="7">
        <v>3384477</v>
      </c>
      <c r="G425" s="7">
        <v>121655</v>
      </c>
      <c r="H425">
        <v>27</v>
      </c>
      <c r="I425" t="s">
        <v>22</v>
      </c>
    </row>
    <row r="426" spans="1:9" x14ac:dyDescent="0.35">
      <c r="A426" t="s">
        <v>4466</v>
      </c>
      <c r="B426" t="s">
        <v>4486</v>
      </c>
      <c r="C426" s="7">
        <v>1.43</v>
      </c>
      <c r="D426" s="7">
        <v>504909</v>
      </c>
      <c r="E426" s="7">
        <v>1.58</v>
      </c>
      <c r="F426" s="7">
        <v>504909</v>
      </c>
      <c r="G426" s="7">
        <v>0</v>
      </c>
      <c r="H426">
        <v>28</v>
      </c>
      <c r="I426" t="s">
        <v>23</v>
      </c>
    </row>
    <row r="427" spans="1:9" x14ac:dyDescent="0.35">
      <c r="A427" t="s">
        <v>6036</v>
      </c>
      <c r="B427" t="s">
        <v>4486</v>
      </c>
      <c r="C427" s="7">
        <v>1.43</v>
      </c>
      <c r="D427" s="7">
        <v>679197</v>
      </c>
      <c r="E427" s="7">
        <v>1.42</v>
      </c>
      <c r="F427" s="7">
        <v>679197</v>
      </c>
      <c r="G427" s="7">
        <v>0</v>
      </c>
      <c r="H427">
        <v>29</v>
      </c>
      <c r="I427" t="s">
        <v>23</v>
      </c>
    </row>
    <row r="428" spans="1:9" x14ac:dyDescent="0.35">
      <c r="A428" t="s">
        <v>4496</v>
      </c>
      <c r="B428" t="s">
        <v>4486</v>
      </c>
      <c r="C428" s="7">
        <v>1.41</v>
      </c>
      <c r="D428" s="7">
        <v>4045998</v>
      </c>
      <c r="E428" s="7">
        <v>1.29</v>
      </c>
      <c r="F428" s="7">
        <v>3645998</v>
      </c>
      <c r="G428" s="7">
        <v>400000</v>
      </c>
      <c r="H428">
        <v>30</v>
      </c>
      <c r="I428" t="s">
        <v>22</v>
      </c>
    </row>
    <row r="429" spans="1:9" x14ac:dyDescent="0.35">
      <c r="A429" t="s">
        <v>1022</v>
      </c>
      <c r="B429" t="s">
        <v>4486</v>
      </c>
      <c r="C429" s="7">
        <v>1.37</v>
      </c>
      <c r="D429" s="7">
        <v>715063</v>
      </c>
      <c r="E429" s="7">
        <v>1.47</v>
      </c>
      <c r="F429" s="7">
        <v>715063</v>
      </c>
      <c r="G429" s="7">
        <v>0</v>
      </c>
      <c r="H429">
        <v>31</v>
      </c>
      <c r="I429" t="s">
        <v>23</v>
      </c>
    </row>
    <row r="430" spans="1:9" x14ac:dyDescent="0.35">
      <c r="A430" t="s">
        <v>1050</v>
      </c>
      <c r="B430" t="s">
        <v>4486</v>
      </c>
      <c r="C430" s="7">
        <v>1.31</v>
      </c>
      <c r="D430" s="7">
        <v>754789</v>
      </c>
      <c r="E430" s="7">
        <v>1.1299999999999999</v>
      </c>
      <c r="F430" s="7">
        <v>754789</v>
      </c>
      <c r="G430" s="7">
        <v>0</v>
      </c>
      <c r="H430">
        <v>32</v>
      </c>
      <c r="I430" t="s">
        <v>23</v>
      </c>
    </row>
    <row r="431" spans="1:9" x14ac:dyDescent="0.35">
      <c r="A431" t="s">
        <v>4470</v>
      </c>
      <c r="B431" t="s">
        <v>4486</v>
      </c>
      <c r="C431" s="7">
        <v>1.3</v>
      </c>
      <c r="D431" s="7">
        <v>942377</v>
      </c>
      <c r="E431" s="7">
        <v>1.1399999999999999</v>
      </c>
      <c r="F431" s="7">
        <v>942377</v>
      </c>
      <c r="G431" s="7">
        <v>0</v>
      </c>
      <c r="H431">
        <v>33</v>
      </c>
      <c r="I431" t="s">
        <v>23</v>
      </c>
    </row>
    <row r="432" spans="1:9" x14ac:dyDescent="0.35">
      <c r="A432" t="s">
        <v>873</v>
      </c>
      <c r="B432" t="s">
        <v>4486</v>
      </c>
      <c r="C432" s="7">
        <v>1.28</v>
      </c>
      <c r="D432" s="7">
        <v>2480393</v>
      </c>
      <c r="E432" s="7">
        <v>1.36</v>
      </c>
      <c r="F432" s="7">
        <v>2396575</v>
      </c>
      <c r="G432" s="7">
        <v>83818</v>
      </c>
      <c r="H432">
        <v>34</v>
      </c>
      <c r="I432" t="s">
        <v>22</v>
      </c>
    </row>
    <row r="433" spans="1:9" x14ac:dyDescent="0.35">
      <c r="A433" t="s">
        <v>798</v>
      </c>
      <c r="B433" t="s">
        <v>4486</v>
      </c>
      <c r="C433" s="7">
        <v>1.1599999999999999</v>
      </c>
      <c r="D433" s="7">
        <v>1009845</v>
      </c>
      <c r="E433" s="7">
        <v>1.1299999999999999</v>
      </c>
      <c r="F433" s="7">
        <v>951748</v>
      </c>
      <c r="G433" s="7">
        <v>58097</v>
      </c>
      <c r="H433">
        <v>35</v>
      </c>
      <c r="I433" t="s">
        <v>22</v>
      </c>
    </row>
    <row r="434" spans="1:9" x14ac:dyDescent="0.35">
      <c r="A434" t="s">
        <v>4481</v>
      </c>
      <c r="B434" t="s">
        <v>4486</v>
      </c>
      <c r="C434" s="7">
        <v>1.1499999999999999</v>
      </c>
      <c r="D434" s="7">
        <v>2100811</v>
      </c>
      <c r="E434" s="7">
        <v>0.91</v>
      </c>
      <c r="F434" s="7">
        <v>1830468</v>
      </c>
      <c r="G434" s="7">
        <v>270343</v>
      </c>
      <c r="H434">
        <v>36</v>
      </c>
      <c r="I434" t="s">
        <v>22</v>
      </c>
    </row>
    <row r="435" spans="1:9" x14ac:dyDescent="0.35">
      <c r="A435" t="s">
        <v>4497</v>
      </c>
      <c r="B435" t="s">
        <v>4486</v>
      </c>
      <c r="C435" s="7">
        <v>1.1299999999999999</v>
      </c>
      <c r="D435" s="7">
        <v>5661833</v>
      </c>
      <c r="E435" s="7">
        <v>1.22</v>
      </c>
      <c r="F435" s="7">
        <v>5519804</v>
      </c>
      <c r="G435" s="7">
        <v>142029</v>
      </c>
      <c r="H435">
        <v>37</v>
      </c>
      <c r="I435" t="s">
        <v>22</v>
      </c>
    </row>
    <row r="436" spans="1:9" x14ac:dyDescent="0.35">
      <c r="A436" t="s">
        <v>87</v>
      </c>
      <c r="B436" t="s">
        <v>4486</v>
      </c>
      <c r="C436" s="7">
        <v>1.0900000000000001</v>
      </c>
      <c r="D436" s="7">
        <v>66715</v>
      </c>
      <c r="E436" s="7">
        <v>1.1200000000000001</v>
      </c>
      <c r="F436" s="7">
        <v>63715</v>
      </c>
      <c r="G436" s="7">
        <v>3000</v>
      </c>
      <c r="H436">
        <v>38</v>
      </c>
      <c r="I436" t="s">
        <v>22</v>
      </c>
    </row>
    <row r="437" spans="1:9" x14ac:dyDescent="0.35">
      <c r="A437" t="s">
        <v>6057</v>
      </c>
      <c r="B437" t="s">
        <v>4486</v>
      </c>
      <c r="C437" s="7">
        <v>1.06</v>
      </c>
      <c r="D437" s="7">
        <v>1157452</v>
      </c>
      <c r="E437" s="7">
        <v>1.07</v>
      </c>
      <c r="F437" s="7">
        <v>1157452</v>
      </c>
      <c r="G437" s="7">
        <v>0</v>
      </c>
      <c r="H437">
        <v>39</v>
      </c>
      <c r="I437" t="s">
        <v>23</v>
      </c>
    </row>
    <row r="438" spans="1:9" x14ac:dyDescent="0.35">
      <c r="A438" t="s">
        <v>6044</v>
      </c>
      <c r="B438" t="s">
        <v>4486</v>
      </c>
      <c r="C438" s="7">
        <v>1.03</v>
      </c>
      <c r="D438" s="7">
        <v>177868</v>
      </c>
      <c r="E438" s="7">
        <v>1.05</v>
      </c>
      <c r="F438" s="7">
        <v>177868</v>
      </c>
      <c r="G438" s="7">
        <v>0</v>
      </c>
      <c r="H438">
        <v>40</v>
      </c>
      <c r="I438" t="s">
        <v>23</v>
      </c>
    </row>
    <row r="439" spans="1:9" x14ac:dyDescent="0.35">
      <c r="A439" t="s">
        <v>4463</v>
      </c>
      <c r="B439" t="s">
        <v>4486</v>
      </c>
      <c r="C439" s="7">
        <v>1.02</v>
      </c>
      <c r="D439" s="7">
        <v>819012</v>
      </c>
      <c r="E439" s="7">
        <v>0.95</v>
      </c>
      <c r="F439" s="7">
        <v>819012</v>
      </c>
      <c r="G439" s="7">
        <v>0</v>
      </c>
      <c r="H439">
        <v>41</v>
      </c>
      <c r="I439" t="s">
        <v>23</v>
      </c>
    </row>
    <row r="440" spans="1:9" x14ac:dyDescent="0.35">
      <c r="A440" t="s">
        <v>6058</v>
      </c>
      <c r="B440" t="s">
        <v>4486</v>
      </c>
      <c r="C440" s="7">
        <v>1</v>
      </c>
      <c r="D440" s="7">
        <v>375309</v>
      </c>
      <c r="E440" s="7">
        <v>0.99</v>
      </c>
      <c r="F440" s="7">
        <v>375309</v>
      </c>
      <c r="G440" s="7">
        <v>0</v>
      </c>
      <c r="H440">
        <v>42</v>
      </c>
      <c r="I440" t="s">
        <v>23</v>
      </c>
    </row>
    <row r="441" spans="1:9" x14ac:dyDescent="0.35">
      <c r="A441" t="s">
        <v>6019</v>
      </c>
      <c r="B441" t="s">
        <v>4486</v>
      </c>
      <c r="C441" s="7">
        <v>0.93</v>
      </c>
      <c r="D441" s="7">
        <v>413970</v>
      </c>
      <c r="E441" s="7">
        <v>0.87</v>
      </c>
      <c r="F441" s="7">
        <v>413970</v>
      </c>
      <c r="G441" s="7">
        <v>0</v>
      </c>
      <c r="H441">
        <v>43</v>
      </c>
      <c r="I441" t="s">
        <v>23</v>
      </c>
    </row>
    <row r="442" spans="1:9" x14ac:dyDescent="0.35">
      <c r="A442" t="s">
        <v>4498</v>
      </c>
      <c r="B442" t="s">
        <v>4486</v>
      </c>
      <c r="C442" s="7">
        <v>0.92</v>
      </c>
      <c r="D442" s="7">
        <v>631218</v>
      </c>
      <c r="E442" s="7">
        <v>0.69</v>
      </c>
      <c r="F442" s="7">
        <v>507196</v>
      </c>
      <c r="G442" s="7">
        <v>124022</v>
      </c>
      <c r="H442">
        <v>44</v>
      </c>
      <c r="I442" t="s">
        <v>22</v>
      </c>
    </row>
    <row r="443" spans="1:9" x14ac:dyDescent="0.35">
      <c r="A443" t="s">
        <v>6059</v>
      </c>
      <c r="B443" t="s">
        <v>4486</v>
      </c>
      <c r="C443" s="7">
        <v>0.9</v>
      </c>
      <c r="D443" s="7">
        <v>1451085</v>
      </c>
      <c r="E443" s="7">
        <v>0.94</v>
      </c>
      <c r="F443" s="7">
        <v>1451085</v>
      </c>
      <c r="G443" s="7">
        <v>0</v>
      </c>
      <c r="H443">
        <v>45</v>
      </c>
      <c r="I443" t="s">
        <v>23</v>
      </c>
    </row>
    <row r="444" spans="1:9" x14ac:dyDescent="0.35">
      <c r="A444" t="s">
        <v>981</v>
      </c>
      <c r="B444" t="s">
        <v>4486</v>
      </c>
      <c r="C444" s="7">
        <v>0.84</v>
      </c>
      <c r="D444" s="7">
        <v>3604945</v>
      </c>
      <c r="E444" s="7">
        <v>0.87</v>
      </c>
      <c r="F444" s="7">
        <v>3604945</v>
      </c>
      <c r="G444" s="7">
        <v>0</v>
      </c>
      <c r="H444">
        <v>46</v>
      </c>
      <c r="I444" t="s">
        <v>23</v>
      </c>
    </row>
    <row r="445" spans="1:9" x14ac:dyDescent="0.35">
      <c r="A445" t="s">
        <v>6022</v>
      </c>
      <c r="B445" t="s">
        <v>4486</v>
      </c>
      <c r="C445" s="7">
        <v>0.82</v>
      </c>
      <c r="D445" s="7">
        <v>1310391</v>
      </c>
      <c r="E445" s="7">
        <v>0.91</v>
      </c>
      <c r="F445" s="7">
        <v>1310391</v>
      </c>
      <c r="G445" s="7">
        <v>0</v>
      </c>
      <c r="H445">
        <v>47</v>
      </c>
      <c r="I445" t="s">
        <v>23</v>
      </c>
    </row>
    <row r="446" spans="1:9" x14ac:dyDescent="0.35">
      <c r="A446" t="s">
        <v>6020</v>
      </c>
      <c r="B446" t="s">
        <v>4486</v>
      </c>
      <c r="C446" s="7">
        <v>0.8</v>
      </c>
      <c r="D446" s="7">
        <v>257416</v>
      </c>
      <c r="E446" s="7">
        <v>0.93</v>
      </c>
      <c r="F446" s="7">
        <v>257416</v>
      </c>
      <c r="G446" s="7">
        <v>0</v>
      </c>
      <c r="H446">
        <v>48</v>
      </c>
      <c r="I446" t="s">
        <v>23</v>
      </c>
    </row>
    <row r="447" spans="1:9" x14ac:dyDescent="0.35">
      <c r="A447" t="s">
        <v>4499</v>
      </c>
      <c r="B447" t="s">
        <v>4486</v>
      </c>
      <c r="C447" s="7">
        <v>0.8</v>
      </c>
      <c r="D447" s="7">
        <v>1232712</v>
      </c>
      <c r="E447" s="7">
        <v>0.75</v>
      </c>
      <c r="F447" s="7">
        <v>1017296</v>
      </c>
      <c r="G447" s="7">
        <v>215416</v>
      </c>
      <c r="H447">
        <v>49</v>
      </c>
      <c r="I447" t="s">
        <v>22</v>
      </c>
    </row>
    <row r="448" spans="1:9" x14ac:dyDescent="0.35">
      <c r="A448" t="s">
        <v>4422</v>
      </c>
      <c r="B448" t="s">
        <v>4486</v>
      </c>
      <c r="C448" s="7">
        <v>0.8</v>
      </c>
      <c r="D448" s="7">
        <v>463748</v>
      </c>
      <c r="E448" s="7">
        <v>0.82</v>
      </c>
      <c r="F448" s="7">
        <v>463748</v>
      </c>
      <c r="G448" s="7">
        <v>0</v>
      </c>
      <c r="H448">
        <v>50</v>
      </c>
      <c r="I448" t="s">
        <v>23</v>
      </c>
    </row>
    <row r="449" spans="1:9" x14ac:dyDescent="0.35">
      <c r="A449" t="s">
        <v>6060</v>
      </c>
      <c r="B449" t="s">
        <v>4486</v>
      </c>
      <c r="C449" s="7">
        <v>0.79</v>
      </c>
      <c r="D449" s="7">
        <v>592938</v>
      </c>
      <c r="E449" s="7">
        <v>0.84</v>
      </c>
      <c r="F449" s="7">
        <v>592938</v>
      </c>
      <c r="G449" s="7">
        <v>0</v>
      </c>
      <c r="H449">
        <v>51</v>
      </c>
      <c r="I449" t="s">
        <v>23</v>
      </c>
    </row>
    <row r="450" spans="1:9" x14ac:dyDescent="0.35">
      <c r="A450" t="s">
        <v>4465</v>
      </c>
      <c r="B450" t="s">
        <v>4486</v>
      </c>
      <c r="C450" s="7">
        <v>0.73</v>
      </c>
      <c r="D450" s="7">
        <v>125319</v>
      </c>
      <c r="E450" s="7">
        <v>0.74</v>
      </c>
      <c r="F450" s="7">
        <v>115319</v>
      </c>
      <c r="G450" s="7">
        <v>10000</v>
      </c>
      <c r="H450">
        <v>52</v>
      </c>
      <c r="I450" t="s">
        <v>22</v>
      </c>
    </row>
    <row r="451" spans="1:9" x14ac:dyDescent="0.35">
      <c r="A451" t="s">
        <v>4478</v>
      </c>
      <c r="B451" t="s">
        <v>4486</v>
      </c>
      <c r="C451" s="7">
        <v>0.73</v>
      </c>
      <c r="D451" s="7">
        <v>446324</v>
      </c>
      <c r="E451" s="7">
        <v>0.72</v>
      </c>
      <c r="F451" s="7">
        <v>446324</v>
      </c>
      <c r="G451" s="7">
        <v>0</v>
      </c>
      <c r="H451">
        <v>53</v>
      </c>
      <c r="I451" t="s">
        <v>23</v>
      </c>
    </row>
    <row r="452" spans="1:9" x14ac:dyDescent="0.35">
      <c r="A452" t="s">
        <v>6061</v>
      </c>
      <c r="B452" t="s">
        <v>4486</v>
      </c>
      <c r="C452" s="7">
        <v>0.7</v>
      </c>
      <c r="D452" s="7">
        <v>686300</v>
      </c>
      <c r="E452" s="7">
        <v>0.72</v>
      </c>
      <c r="F452" s="7">
        <v>686300</v>
      </c>
      <c r="G452" s="7">
        <v>0</v>
      </c>
      <c r="H452">
        <v>54</v>
      </c>
      <c r="I452" t="s">
        <v>23</v>
      </c>
    </row>
    <row r="453" spans="1:9" x14ac:dyDescent="0.35">
      <c r="A453" t="s">
        <v>4464</v>
      </c>
      <c r="B453" t="s">
        <v>4486</v>
      </c>
      <c r="C453" s="7">
        <v>0.68</v>
      </c>
      <c r="D453" s="7">
        <v>846727</v>
      </c>
      <c r="E453" s="7">
        <v>0.65</v>
      </c>
      <c r="F453" s="7">
        <v>846727</v>
      </c>
      <c r="G453" s="7">
        <v>0</v>
      </c>
      <c r="H453">
        <v>55</v>
      </c>
      <c r="I453" t="s">
        <v>23</v>
      </c>
    </row>
    <row r="454" spans="1:9" x14ac:dyDescent="0.35">
      <c r="A454" t="s">
        <v>6026</v>
      </c>
      <c r="B454" t="s">
        <v>4486</v>
      </c>
      <c r="C454" s="7">
        <v>0.68</v>
      </c>
      <c r="D454" s="7">
        <v>2645799</v>
      </c>
      <c r="E454" s="7">
        <v>0.82</v>
      </c>
      <c r="F454" s="7">
        <v>2645799</v>
      </c>
      <c r="G454" s="7">
        <v>0</v>
      </c>
      <c r="H454">
        <v>56</v>
      </c>
      <c r="I454" t="s">
        <v>23</v>
      </c>
    </row>
    <row r="455" spans="1:9" x14ac:dyDescent="0.35">
      <c r="A455" t="s">
        <v>1632</v>
      </c>
      <c r="B455" t="s">
        <v>4486</v>
      </c>
      <c r="C455" s="7">
        <v>0.64</v>
      </c>
      <c r="D455" s="7">
        <v>882979</v>
      </c>
      <c r="E455" s="7">
        <v>0.62</v>
      </c>
      <c r="F455" s="7">
        <v>882979</v>
      </c>
      <c r="G455" s="7">
        <v>0</v>
      </c>
      <c r="H455">
        <v>57</v>
      </c>
      <c r="I455" t="s">
        <v>23</v>
      </c>
    </row>
    <row r="456" spans="1:9" x14ac:dyDescent="0.35">
      <c r="A456" t="s">
        <v>6062</v>
      </c>
      <c r="B456" t="s">
        <v>4486</v>
      </c>
      <c r="C456" s="7">
        <v>0.62</v>
      </c>
      <c r="D456" s="7">
        <v>1933858</v>
      </c>
      <c r="E456" s="7">
        <v>0.56999999999999995</v>
      </c>
      <c r="F456" s="7">
        <v>1933858</v>
      </c>
      <c r="G456" s="7">
        <v>0</v>
      </c>
      <c r="H456">
        <v>58</v>
      </c>
      <c r="I456" t="s">
        <v>23</v>
      </c>
    </row>
    <row r="457" spans="1:9" x14ac:dyDescent="0.35">
      <c r="A457" t="s">
        <v>4473</v>
      </c>
      <c r="B457" t="s">
        <v>4486</v>
      </c>
      <c r="C457" s="7">
        <v>0.61</v>
      </c>
      <c r="D457" s="7">
        <v>798619</v>
      </c>
      <c r="E457" s="7">
        <v>0.68</v>
      </c>
      <c r="F457" s="7">
        <v>798619</v>
      </c>
      <c r="G457" s="7">
        <v>0</v>
      </c>
      <c r="H457">
        <v>59</v>
      </c>
      <c r="I457" t="s">
        <v>23</v>
      </c>
    </row>
    <row r="458" spans="1:9" x14ac:dyDescent="0.35">
      <c r="A458" t="s">
        <v>6063</v>
      </c>
      <c r="B458" t="s">
        <v>4486</v>
      </c>
      <c r="C458" s="7">
        <v>0.51</v>
      </c>
      <c r="D458" s="7">
        <v>207444</v>
      </c>
      <c r="E458" s="7">
        <v>0.55000000000000004</v>
      </c>
      <c r="F458" s="7">
        <v>207444</v>
      </c>
      <c r="G458" s="7">
        <v>0</v>
      </c>
      <c r="H458">
        <v>60</v>
      </c>
      <c r="I458" t="s">
        <v>23</v>
      </c>
    </row>
    <row r="459" spans="1:9" x14ac:dyDescent="0.35">
      <c r="A459" t="s">
        <v>1390</v>
      </c>
      <c r="B459" t="s">
        <v>4486</v>
      </c>
      <c r="C459" s="7">
        <v>0.5</v>
      </c>
      <c r="D459" s="7">
        <v>875340</v>
      </c>
      <c r="E459" s="7">
        <v>0.44</v>
      </c>
      <c r="F459" s="7">
        <v>875340</v>
      </c>
      <c r="G459" s="7">
        <v>0</v>
      </c>
      <c r="H459">
        <v>61</v>
      </c>
      <c r="I459" t="s">
        <v>23</v>
      </c>
    </row>
    <row r="460" spans="1:9" x14ac:dyDescent="0.35">
      <c r="A460" t="s">
        <v>6028</v>
      </c>
      <c r="B460" t="s">
        <v>4486</v>
      </c>
      <c r="C460" s="7">
        <v>0.41</v>
      </c>
      <c r="D460" s="7">
        <v>500000</v>
      </c>
      <c r="E460" s="7">
        <v>0.46</v>
      </c>
      <c r="F460" s="7">
        <v>500000</v>
      </c>
      <c r="G460" s="7">
        <v>0</v>
      </c>
      <c r="H460">
        <v>62</v>
      </c>
      <c r="I460" t="s">
        <v>23</v>
      </c>
    </row>
    <row r="461" spans="1:9" x14ac:dyDescent="0.35">
      <c r="A461" t="s">
        <v>4469</v>
      </c>
      <c r="B461" t="s">
        <v>4486</v>
      </c>
      <c r="C461" s="7">
        <v>0.34</v>
      </c>
      <c r="D461" s="7">
        <v>272569</v>
      </c>
      <c r="E461" s="7">
        <v>0.37</v>
      </c>
      <c r="F461" s="7">
        <v>272569</v>
      </c>
      <c r="G461" s="7">
        <v>0</v>
      </c>
      <c r="H461">
        <v>63</v>
      </c>
      <c r="I461" t="s">
        <v>23</v>
      </c>
    </row>
    <row r="462" spans="1:9" x14ac:dyDescent="0.35">
      <c r="A462" t="s">
        <v>6033</v>
      </c>
      <c r="B462" t="s">
        <v>4486</v>
      </c>
      <c r="C462" s="7">
        <v>0.34</v>
      </c>
      <c r="D462" s="7">
        <v>624810</v>
      </c>
      <c r="E462" s="7">
        <v>0.34</v>
      </c>
      <c r="F462" s="7">
        <v>624810</v>
      </c>
      <c r="G462" s="7">
        <v>0</v>
      </c>
      <c r="H462">
        <v>64</v>
      </c>
      <c r="I462" t="s">
        <v>23</v>
      </c>
    </row>
    <row r="463" spans="1:9" x14ac:dyDescent="0.35">
      <c r="A463" t="s">
        <v>6064</v>
      </c>
      <c r="B463" t="s">
        <v>4486</v>
      </c>
      <c r="C463" s="7">
        <v>0.34</v>
      </c>
      <c r="D463" s="7">
        <v>1600442</v>
      </c>
      <c r="E463" s="7">
        <v>0.36</v>
      </c>
      <c r="F463" s="7">
        <v>1600442</v>
      </c>
      <c r="G463" s="7">
        <v>0</v>
      </c>
      <c r="H463">
        <v>65</v>
      </c>
      <c r="I463" t="s">
        <v>23</v>
      </c>
    </row>
    <row r="464" spans="1:9" x14ac:dyDescent="0.35">
      <c r="A464" t="s">
        <v>6065</v>
      </c>
      <c r="B464" t="s">
        <v>4486</v>
      </c>
      <c r="C464" s="7">
        <v>0.33</v>
      </c>
      <c r="D464" s="7">
        <v>1543134</v>
      </c>
      <c r="E464" s="7">
        <v>0.3</v>
      </c>
      <c r="F464" s="7">
        <v>1543134</v>
      </c>
      <c r="G464" s="7">
        <v>0</v>
      </c>
      <c r="H464">
        <v>66</v>
      </c>
      <c r="I464" t="s">
        <v>23</v>
      </c>
    </row>
    <row r="465" spans="1:9" x14ac:dyDescent="0.35">
      <c r="A465" t="s">
        <v>6008</v>
      </c>
      <c r="B465" t="s">
        <v>4486</v>
      </c>
      <c r="C465" s="7">
        <v>0.3</v>
      </c>
      <c r="D465" s="7">
        <v>666952</v>
      </c>
      <c r="E465" s="7">
        <v>0.33</v>
      </c>
      <c r="F465" s="7">
        <v>666952</v>
      </c>
      <c r="G465" s="7">
        <v>0</v>
      </c>
      <c r="H465">
        <v>67</v>
      </c>
      <c r="I465" t="s">
        <v>23</v>
      </c>
    </row>
    <row r="466" spans="1:9" x14ac:dyDescent="0.35">
      <c r="A466" t="s">
        <v>4476</v>
      </c>
      <c r="B466" t="s">
        <v>4486</v>
      </c>
      <c r="C466" s="7">
        <v>0.28000000000000003</v>
      </c>
      <c r="D466" s="7">
        <v>79123</v>
      </c>
      <c r="E466" s="7">
        <v>0.51</v>
      </c>
      <c r="F466" s="7">
        <v>126053</v>
      </c>
      <c r="G466" s="7">
        <v>-46930</v>
      </c>
      <c r="H466">
        <v>68</v>
      </c>
      <c r="I466" t="s">
        <v>25</v>
      </c>
    </row>
    <row r="467" spans="1:9" x14ac:dyDescent="0.35">
      <c r="A467" t="s">
        <v>511</v>
      </c>
      <c r="B467" t="s">
        <v>4486</v>
      </c>
      <c r="C467" s="7">
        <v>0.27</v>
      </c>
      <c r="D467" s="7">
        <v>300658</v>
      </c>
      <c r="E467" s="7">
        <v>0.26</v>
      </c>
      <c r="F467" s="7">
        <v>300658</v>
      </c>
      <c r="G467" s="7">
        <v>0</v>
      </c>
      <c r="H467">
        <v>69</v>
      </c>
      <c r="I467" t="s">
        <v>23</v>
      </c>
    </row>
    <row r="468" spans="1:9" x14ac:dyDescent="0.35">
      <c r="A468" t="s">
        <v>5910</v>
      </c>
      <c r="B468" t="s">
        <v>4486</v>
      </c>
      <c r="C468" s="7">
        <v>0.23</v>
      </c>
      <c r="D468" s="7">
        <v>124921</v>
      </c>
      <c r="E468" s="7">
        <v>0.22</v>
      </c>
      <c r="F468" s="7">
        <v>124921</v>
      </c>
      <c r="G468" s="7">
        <v>0</v>
      </c>
      <c r="H468">
        <v>70</v>
      </c>
      <c r="I468" t="s">
        <v>23</v>
      </c>
    </row>
    <row r="469" spans="1:9" x14ac:dyDescent="0.35">
      <c r="A469" t="s">
        <v>6066</v>
      </c>
      <c r="B469" t="s">
        <v>4486</v>
      </c>
      <c r="C469" s="7">
        <v>0.22</v>
      </c>
      <c r="D469" s="7">
        <v>1102519</v>
      </c>
      <c r="E469" s="7">
        <v>0.21</v>
      </c>
      <c r="F469" s="7">
        <v>1102519</v>
      </c>
      <c r="G469" s="7">
        <v>0</v>
      </c>
      <c r="H469">
        <v>71</v>
      </c>
      <c r="I469" t="s">
        <v>23</v>
      </c>
    </row>
    <row r="470" spans="1:9" x14ac:dyDescent="0.35">
      <c r="A470" t="s">
        <v>6042</v>
      </c>
      <c r="B470" t="s">
        <v>4486</v>
      </c>
      <c r="C470" s="7">
        <v>0.22</v>
      </c>
      <c r="D470" s="7">
        <v>2654286</v>
      </c>
      <c r="E470" s="7">
        <v>0.21</v>
      </c>
      <c r="F470" s="7">
        <v>2654286</v>
      </c>
      <c r="G470" s="7">
        <v>0</v>
      </c>
      <c r="H470">
        <v>72</v>
      </c>
      <c r="I470" t="s">
        <v>23</v>
      </c>
    </row>
    <row r="471" spans="1:9" x14ac:dyDescent="0.35">
      <c r="A471" t="s">
        <v>1259</v>
      </c>
      <c r="B471" t="s">
        <v>4486</v>
      </c>
      <c r="C471" s="7">
        <v>0.22</v>
      </c>
      <c r="D471" s="7">
        <v>162477</v>
      </c>
      <c r="E471" s="7">
        <v>0.25</v>
      </c>
      <c r="F471" s="7">
        <v>177716</v>
      </c>
      <c r="G471" s="7">
        <v>-15239</v>
      </c>
      <c r="H471">
        <v>73</v>
      </c>
      <c r="I471" t="s">
        <v>25</v>
      </c>
    </row>
    <row r="472" spans="1:9" x14ac:dyDescent="0.35">
      <c r="A472" t="s">
        <v>739</v>
      </c>
      <c r="B472" t="s">
        <v>4486</v>
      </c>
      <c r="C472" s="7">
        <v>0.12</v>
      </c>
      <c r="D472" s="7">
        <v>153335</v>
      </c>
      <c r="E472" s="7">
        <v>0.14000000000000001</v>
      </c>
      <c r="F472" s="7">
        <v>153335</v>
      </c>
      <c r="G472" s="7">
        <v>0</v>
      </c>
      <c r="H472">
        <v>74</v>
      </c>
      <c r="I472" t="s">
        <v>23</v>
      </c>
    </row>
    <row r="473" spans="1:9" x14ac:dyDescent="0.35">
      <c r="A473" t="s">
        <v>6067</v>
      </c>
      <c r="B473" t="s">
        <v>4486</v>
      </c>
      <c r="C473" s="7">
        <v>0.1</v>
      </c>
      <c r="D473" s="7">
        <v>754789</v>
      </c>
      <c r="E473" s="7">
        <v>0.11</v>
      </c>
      <c r="F473" s="7">
        <v>754789</v>
      </c>
      <c r="G473" s="7">
        <v>0</v>
      </c>
      <c r="H473">
        <v>75</v>
      </c>
      <c r="I473" t="s">
        <v>23</v>
      </c>
    </row>
    <row r="474" spans="1:9" x14ac:dyDescent="0.35">
      <c r="A474" t="s">
        <v>6068</v>
      </c>
      <c r="B474" t="s">
        <v>4486</v>
      </c>
      <c r="C474" s="7">
        <v>0.06</v>
      </c>
      <c r="D474" s="7">
        <v>59994</v>
      </c>
      <c r="E474" s="7">
        <v>0.05</v>
      </c>
      <c r="F474" s="7">
        <v>59994</v>
      </c>
      <c r="G474" s="7">
        <v>0</v>
      </c>
      <c r="H474">
        <v>76</v>
      </c>
      <c r="I474" t="s">
        <v>23</v>
      </c>
    </row>
    <row r="475" spans="1:9" x14ac:dyDescent="0.35">
      <c r="A475" t="s">
        <v>6069</v>
      </c>
      <c r="B475" t="s">
        <v>4486</v>
      </c>
      <c r="C475" s="7">
        <v>0.03</v>
      </c>
      <c r="D475" s="7">
        <v>30000</v>
      </c>
      <c r="E475" s="7">
        <v>0.04</v>
      </c>
      <c r="F475" s="7">
        <v>30000</v>
      </c>
      <c r="G475" s="7">
        <v>0</v>
      </c>
      <c r="H475">
        <v>77</v>
      </c>
      <c r="I475" t="s">
        <v>23</v>
      </c>
    </row>
    <row r="476" spans="1:9" x14ac:dyDescent="0.35">
      <c r="A476" t="s">
        <v>781</v>
      </c>
      <c r="B476" t="s">
        <v>4500</v>
      </c>
      <c r="C476" s="7">
        <v>3.84</v>
      </c>
      <c r="D476" s="7">
        <v>6827420</v>
      </c>
      <c r="E476" s="7">
        <v>3.83</v>
      </c>
      <c r="F476" s="7">
        <v>6966857</v>
      </c>
      <c r="G476" s="7">
        <v>-139437</v>
      </c>
      <c r="H476">
        <v>1</v>
      </c>
      <c r="I476" t="s">
        <v>25</v>
      </c>
    </row>
    <row r="477" spans="1:9" x14ac:dyDescent="0.35">
      <c r="A477" t="s">
        <v>398</v>
      </c>
      <c r="B477" t="s">
        <v>4500</v>
      </c>
      <c r="C477" s="7">
        <v>3.59</v>
      </c>
      <c r="D477" s="7">
        <v>23815322</v>
      </c>
      <c r="E477" s="7">
        <v>3.14</v>
      </c>
      <c r="F477" s="7">
        <v>23815322</v>
      </c>
      <c r="G477" s="7">
        <v>0</v>
      </c>
      <c r="H477">
        <v>2</v>
      </c>
      <c r="I477" t="s">
        <v>23</v>
      </c>
    </row>
    <row r="478" spans="1:9" x14ac:dyDescent="0.35">
      <c r="A478" t="s">
        <v>404</v>
      </c>
      <c r="B478" t="s">
        <v>4500</v>
      </c>
      <c r="C478" s="7">
        <v>3.13</v>
      </c>
      <c r="D478" s="7">
        <v>7435786</v>
      </c>
      <c r="E478" s="7">
        <v>3.43</v>
      </c>
      <c r="F478" s="7">
        <v>7435786</v>
      </c>
      <c r="G478" s="7">
        <v>0</v>
      </c>
      <c r="H478">
        <v>3</v>
      </c>
      <c r="I478" t="s">
        <v>23</v>
      </c>
    </row>
    <row r="479" spans="1:9" x14ac:dyDescent="0.35">
      <c r="A479" t="s">
        <v>461</v>
      </c>
      <c r="B479" t="s">
        <v>4500</v>
      </c>
      <c r="C479" s="7">
        <v>2.4700000000000002</v>
      </c>
      <c r="D479" s="7">
        <v>1204885</v>
      </c>
      <c r="E479" s="7">
        <v>2.36</v>
      </c>
      <c r="F479" s="7">
        <v>1204885</v>
      </c>
      <c r="G479" s="7">
        <v>0</v>
      </c>
      <c r="H479">
        <v>4</v>
      </c>
      <c r="I479" t="s">
        <v>23</v>
      </c>
    </row>
    <row r="480" spans="1:9" x14ac:dyDescent="0.35">
      <c r="A480" t="s">
        <v>280</v>
      </c>
      <c r="B480" t="s">
        <v>4500</v>
      </c>
      <c r="C480" s="7">
        <v>2.36</v>
      </c>
      <c r="D480" s="7">
        <v>5100000</v>
      </c>
      <c r="E480" s="7">
        <v>2.65</v>
      </c>
      <c r="F480" s="7">
        <v>5400000</v>
      </c>
      <c r="G480" s="7">
        <v>-300000</v>
      </c>
      <c r="H480">
        <v>5</v>
      </c>
      <c r="I480" t="s">
        <v>25</v>
      </c>
    </row>
    <row r="481" spans="1:9" x14ac:dyDescent="0.35">
      <c r="A481" t="s">
        <v>548</v>
      </c>
      <c r="B481" t="s">
        <v>4500</v>
      </c>
      <c r="C481" s="7">
        <v>2.34</v>
      </c>
      <c r="D481" s="7">
        <v>4978243</v>
      </c>
      <c r="E481" s="7">
        <v>2.4700000000000002</v>
      </c>
      <c r="F481" s="7">
        <v>4978243</v>
      </c>
      <c r="G481" s="7">
        <v>0</v>
      </c>
      <c r="H481">
        <v>6</v>
      </c>
      <c r="I481" t="s">
        <v>23</v>
      </c>
    </row>
    <row r="482" spans="1:9" x14ac:dyDescent="0.35">
      <c r="A482" t="s">
        <v>490</v>
      </c>
      <c r="B482" t="s">
        <v>4500</v>
      </c>
      <c r="C482" s="7">
        <v>2.14</v>
      </c>
      <c r="D482" s="7">
        <v>12500000</v>
      </c>
      <c r="E482" s="7">
        <v>2.57</v>
      </c>
      <c r="F482" s="7">
        <v>12500000</v>
      </c>
      <c r="G482" s="7">
        <v>0</v>
      </c>
      <c r="H482">
        <v>7</v>
      </c>
      <c r="I482" t="s">
        <v>23</v>
      </c>
    </row>
    <row r="483" spans="1:9" x14ac:dyDescent="0.35">
      <c r="A483" t="s">
        <v>590</v>
      </c>
      <c r="B483" t="s">
        <v>4500</v>
      </c>
      <c r="C483" s="7">
        <v>1.98</v>
      </c>
      <c r="D483" s="7">
        <v>9954026</v>
      </c>
      <c r="E483" s="7">
        <v>1.72</v>
      </c>
      <c r="F483" s="7">
        <v>8948803</v>
      </c>
      <c r="G483" s="7">
        <v>1005223</v>
      </c>
      <c r="H483">
        <v>8</v>
      </c>
      <c r="I483" t="s">
        <v>22</v>
      </c>
    </row>
    <row r="484" spans="1:9" x14ac:dyDescent="0.35">
      <c r="A484" t="s">
        <v>433</v>
      </c>
      <c r="B484" t="s">
        <v>4500</v>
      </c>
      <c r="C484" s="7">
        <v>1.93</v>
      </c>
      <c r="D484" s="7">
        <v>707326</v>
      </c>
      <c r="E484" s="7">
        <v>2.17</v>
      </c>
      <c r="F484" s="7">
        <v>707326</v>
      </c>
      <c r="G484" s="7">
        <v>0</v>
      </c>
      <c r="H484">
        <v>9</v>
      </c>
      <c r="I484" t="s">
        <v>23</v>
      </c>
    </row>
    <row r="485" spans="1:9" x14ac:dyDescent="0.35">
      <c r="A485" t="s">
        <v>4501</v>
      </c>
      <c r="B485" t="s">
        <v>4500</v>
      </c>
      <c r="C485" s="7">
        <v>1.91</v>
      </c>
      <c r="D485" s="7">
        <v>24426763</v>
      </c>
      <c r="E485" s="7">
        <v>1.63</v>
      </c>
      <c r="F485" s="7">
        <v>21100000</v>
      </c>
      <c r="G485" s="7">
        <v>3326763</v>
      </c>
      <c r="H485">
        <v>10</v>
      </c>
      <c r="I485" t="s">
        <v>22</v>
      </c>
    </row>
    <row r="486" spans="1:9" x14ac:dyDescent="0.35">
      <c r="A486" t="s">
        <v>112</v>
      </c>
      <c r="B486" t="s">
        <v>4500</v>
      </c>
      <c r="C486" s="7">
        <v>1.91</v>
      </c>
      <c r="D486" s="7">
        <v>15157206</v>
      </c>
      <c r="E486" s="7">
        <v>1.75</v>
      </c>
      <c r="F486" s="7">
        <v>15157206</v>
      </c>
      <c r="G486" s="7">
        <v>0</v>
      </c>
      <c r="H486">
        <v>11</v>
      </c>
      <c r="I486" t="s">
        <v>23</v>
      </c>
    </row>
    <row r="487" spans="1:9" x14ac:dyDescent="0.35">
      <c r="A487" t="s">
        <v>61</v>
      </c>
      <c r="B487" t="s">
        <v>4500</v>
      </c>
      <c r="C487" s="7">
        <v>1.9</v>
      </c>
      <c r="D487" s="7">
        <v>2000000</v>
      </c>
      <c r="E487" s="7">
        <v>2.08</v>
      </c>
      <c r="F487" s="7">
        <v>2000000</v>
      </c>
      <c r="G487" s="7">
        <v>0</v>
      </c>
      <c r="H487">
        <v>12</v>
      </c>
      <c r="I487" t="s">
        <v>23</v>
      </c>
    </row>
    <row r="488" spans="1:9" x14ac:dyDescent="0.35">
      <c r="A488" t="s">
        <v>616</v>
      </c>
      <c r="B488" t="s">
        <v>4500</v>
      </c>
      <c r="C488" s="7">
        <v>1.85</v>
      </c>
      <c r="D488" s="7">
        <v>16604941</v>
      </c>
      <c r="E488" s="7">
        <v>1.91</v>
      </c>
      <c r="F488" s="7">
        <v>16604941</v>
      </c>
      <c r="G488" s="7">
        <v>0</v>
      </c>
      <c r="H488">
        <v>13</v>
      </c>
      <c r="I488" t="s">
        <v>23</v>
      </c>
    </row>
    <row r="489" spans="1:9" x14ac:dyDescent="0.35">
      <c r="A489" t="s">
        <v>120</v>
      </c>
      <c r="B489" t="s">
        <v>4500</v>
      </c>
      <c r="C489" s="7">
        <v>1.84</v>
      </c>
      <c r="D489" s="7">
        <v>1635069</v>
      </c>
      <c r="E489" s="7">
        <v>2.17</v>
      </c>
      <c r="F489" s="7">
        <v>1635069</v>
      </c>
      <c r="G489" s="7">
        <v>0</v>
      </c>
      <c r="H489">
        <v>14</v>
      </c>
      <c r="I489" t="s">
        <v>23</v>
      </c>
    </row>
    <row r="490" spans="1:9" x14ac:dyDescent="0.35">
      <c r="A490" t="s">
        <v>121</v>
      </c>
      <c r="B490" t="s">
        <v>4500</v>
      </c>
      <c r="C490" s="7">
        <v>1.81</v>
      </c>
      <c r="D490" s="7">
        <v>790000</v>
      </c>
      <c r="E490" s="7">
        <v>1.48</v>
      </c>
      <c r="F490" s="7">
        <v>688346</v>
      </c>
      <c r="G490" s="7">
        <v>101654</v>
      </c>
      <c r="H490">
        <v>15</v>
      </c>
      <c r="I490" t="s">
        <v>22</v>
      </c>
    </row>
    <row r="491" spans="1:9" x14ac:dyDescent="0.35">
      <c r="A491" t="s">
        <v>381</v>
      </c>
      <c r="B491" t="s">
        <v>4500</v>
      </c>
      <c r="C491" s="7">
        <v>1.67</v>
      </c>
      <c r="D491" s="7">
        <v>602254</v>
      </c>
      <c r="E491" s="7">
        <v>1.31</v>
      </c>
      <c r="F491" s="7">
        <v>602254</v>
      </c>
      <c r="G491" s="7">
        <v>0</v>
      </c>
      <c r="H491">
        <v>16</v>
      </c>
      <c r="I491" t="s">
        <v>23</v>
      </c>
    </row>
    <row r="492" spans="1:9" x14ac:dyDescent="0.35">
      <c r="A492" t="s">
        <v>582</v>
      </c>
      <c r="B492" t="s">
        <v>4500</v>
      </c>
      <c r="C492" s="7">
        <v>1.58</v>
      </c>
      <c r="D492" s="7">
        <v>12300000</v>
      </c>
      <c r="E492" s="7">
        <v>1.37</v>
      </c>
      <c r="F492" s="7">
        <v>10483209</v>
      </c>
      <c r="G492" s="7">
        <v>1816791</v>
      </c>
      <c r="H492">
        <v>17</v>
      </c>
      <c r="I492" t="s">
        <v>22</v>
      </c>
    </row>
    <row r="493" spans="1:9" x14ac:dyDescent="0.35">
      <c r="A493" t="s">
        <v>800</v>
      </c>
      <c r="B493" t="s">
        <v>4500</v>
      </c>
      <c r="C493" s="7">
        <v>1.54</v>
      </c>
      <c r="D493" s="7">
        <v>1731611</v>
      </c>
      <c r="E493" s="7">
        <v>1.82</v>
      </c>
      <c r="F493" s="7">
        <v>1731611</v>
      </c>
      <c r="G493" s="7">
        <v>0</v>
      </c>
      <c r="H493">
        <v>18</v>
      </c>
      <c r="I493" t="s">
        <v>23</v>
      </c>
    </row>
    <row r="494" spans="1:9" x14ac:dyDescent="0.35">
      <c r="A494" t="s">
        <v>572</v>
      </c>
      <c r="B494" t="s">
        <v>4500</v>
      </c>
      <c r="C494" s="7">
        <v>1.43</v>
      </c>
      <c r="D494" s="7">
        <v>2843198</v>
      </c>
      <c r="E494" s="7">
        <v>1.29</v>
      </c>
      <c r="F494" s="7">
        <v>2843198</v>
      </c>
      <c r="G494" s="7">
        <v>0</v>
      </c>
      <c r="H494">
        <v>19</v>
      </c>
      <c r="I494" t="s">
        <v>23</v>
      </c>
    </row>
    <row r="495" spans="1:9" x14ac:dyDescent="0.35">
      <c r="A495" t="s">
        <v>349</v>
      </c>
      <c r="B495" t="s">
        <v>4500</v>
      </c>
      <c r="C495" s="7">
        <v>1.39</v>
      </c>
      <c r="D495" s="7">
        <v>1373477</v>
      </c>
      <c r="E495" s="7">
        <v>1.48</v>
      </c>
      <c r="F495" s="7">
        <v>1373477</v>
      </c>
      <c r="G495" s="7">
        <v>0</v>
      </c>
      <c r="H495">
        <v>20</v>
      </c>
      <c r="I495" t="s">
        <v>23</v>
      </c>
    </row>
    <row r="496" spans="1:9" x14ac:dyDescent="0.35">
      <c r="A496" t="s">
        <v>359</v>
      </c>
      <c r="B496" t="s">
        <v>4500</v>
      </c>
      <c r="C496" s="7">
        <v>1.37</v>
      </c>
      <c r="D496" s="7">
        <v>6000000</v>
      </c>
      <c r="E496" s="7">
        <v>1.44</v>
      </c>
      <c r="F496" s="7">
        <v>6000000</v>
      </c>
      <c r="G496" s="7">
        <v>0</v>
      </c>
      <c r="H496">
        <v>21</v>
      </c>
      <c r="I496" t="s">
        <v>23</v>
      </c>
    </row>
    <row r="497" spans="1:9" x14ac:dyDescent="0.35">
      <c r="A497" t="s">
        <v>431</v>
      </c>
      <c r="B497" t="s">
        <v>4500</v>
      </c>
      <c r="C497" s="7">
        <v>1.36</v>
      </c>
      <c r="D497" s="7">
        <v>3400000</v>
      </c>
      <c r="E497" s="7">
        <v>1.25</v>
      </c>
      <c r="F497" s="7">
        <v>3100000</v>
      </c>
      <c r="G497" s="7">
        <v>300000</v>
      </c>
      <c r="H497">
        <v>22</v>
      </c>
      <c r="I497" t="s">
        <v>22</v>
      </c>
    </row>
    <row r="498" spans="1:9" x14ac:dyDescent="0.35">
      <c r="A498" t="s">
        <v>297</v>
      </c>
      <c r="B498" t="s">
        <v>4500</v>
      </c>
      <c r="C498" s="7">
        <v>1.3</v>
      </c>
      <c r="D498" s="7">
        <v>868503</v>
      </c>
      <c r="E498" s="7">
        <v>1.4</v>
      </c>
      <c r="F498" s="7">
        <v>868503</v>
      </c>
      <c r="G498" s="7">
        <v>0</v>
      </c>
      <c r="H498">
        <v>23</v>
      </c>
      <c r="I498" t="s">
        <v>23</v>
      </c>
    </row>
    <row r="499" spans="1:9" x14ac:dyDescent="0.35">
      <c r="A499" t="s">
        <v>347</v>
      </c>
      <c r="B499" t="s">
        <v>4500</v>
      </c>
      <c r="C499" s="7">
        <v>1.3</v>
      </c>
      <c r="D499" s="7">
        <v>734514</v>
      </c>
      <c r="E499" s="7">
        <v>1.43</v>
      </c>
      <c r="F499" s="7">
        <v>734514</v>
      </c>
      <c r="G499" s="7">
        <v>0</v>
      </c>
      <c r="H499">
        <v>24</v>
      </c>
      <c r="I499" t="s">
        <v>23</v>
      </c>
    </row>
    <row r="500" spans="1:9" x14ac:dyDescent="0.35">
      <c r="A500" t="s">
        <v>558</v>
      </c>
      <c r="B500" t="s">
        <v>4500</v>
      </c>
      <c r="C500" s="7">
        <v>1.28</v>
      </c>
      <c r="D500" s="7">
        <v>520058</v>
      </c>
      <c r="E500" s="7">
        <v>1.43</v>
      </c>
      <c r="F500" s="7">
        <v>520058</v>
      </c>
      <c r="G500" s="7">
        <v>0</v>
      </c>
      <c r="H500">
        <v>25</v>
      </c>
      <c r="I500" t="s">
        <v>23</v>
      </c>
    </row>
    <row r="501" spans="1:9" x14ac:dyDescent="0.35">
      <c r="A501" t="s">
        <v>383</v>
      </c>
      <c r="B501" t="s">
        <v>4500</v>
      </c>
      <c r="C501" s="7">
        <v>1.27</v>
      </c>
      <c r="D501" s="7">
        <v>3700000</v>
      </c>
      <c r="E501" s="7">
        <v>1.36</v>
      </c>
      <c r="F501" s="7">
        <v>3700000</v>
      </c>
      <c r="G501" s="7">
        <v>0</v>
      </c>
      <c r="H501">
        <v>26</v>
      </c>
      <c r="I501" t="s">
        <v>23</v>
      </c>
    </row>
    <row r="502" spans="1:9" x14ac:dyDescent="0.35">
      <c r="A502" t="s">
        <v>631</v>
      </c>
      <c r="B502" t="s">
        <v>4500</v>
      </c>
      <c r="C502" s="7">
        <v>1.26</v>
      </c>
      <c r="D502" s="7">
        <v>3727054</v>
      </c>
      <c r="E502" s="7">
        <v>1.31</v>
      </c>
      <c r="F502" s="7">
        <v>3727054</v>
      </c>
      <c r="G502" s="7">
        <v>0</v>
      </c>
      <c r="H502">
        <v>27</v>
      </c>
      <c r="I502" t="s">
        <v>23</v>
      </c>
    </row>
    <row r="503" spans="1:9" x14ac:dyDescent="0.35">
      <c r="A503" t="s">
        <v>210</v>
      </c>
      <c r="B503" t="s">
        <v>4500</v>
      </c>
      <c r="C503" s="7">
        <v>1.25</v>
      </c>
      <c r="D503" s="7">
        <v>2270367</v>
      </c>
      <c r="E503" s="7">
        <v>1.37</v>
      </c>
      <c r="F503" s="7">
        <v>2270367</v>
      </c>
      <c r="G503" s="7">
        <v>0</v>
      </c>
      <c r="H503">
        <v>28</v>
      </c>
      <c r="I503" t="s">
        <v>23</v>
      </c>
    </row>
    <row r="504" spans="1:9" x14ac:dyDescent="0.35">
      <c r="A504" t="s">
        <v>375</v>
      </c>
      <c r="B504" t="s">
        <v>4500</v>
      </c>
      <c r="C504" s="7">
        <v>1.24</v>
      </c>
      <c r="D504" s="7">
        <v>25658133</v>
      </c>
      <c r="E504" s="7">
        <v>1.18</v>
      </c>
      <c r="F504" s="7">
        <v>25658133</v>
      </c>
      <c r="G504" s="7">
        <v>0</v>
      </c>
      <c r="H504">
        <v>29</v>
      </c>
      <c r="I504" t="s">
        <v>23</v>
      </c>
    </row>
    <row r="505" spans="1:9" x14ac:dyDescent="0.35">
      <c r="A505" t="s">
        <v>307</v>
      </c>
      <c r="B505" t="s">
        <v>4500</v>
      </c>
      <c r="C505" s="7">
        <v>1.22</v>
      </c>
      <c r="D505" s="7">
        <v>16233896</v>
      </c>
      <c r="E505" s="7">
        <v>1.25</v>
      </c>
      <c r="F505" s="7">
        <v>16233896</v>
      </c>
      <c r="G505" s="7">
        <v>0</v>
      </c>
      <c r="H505">
        <v>30</v>
      </c>
      <c r="I505" t="s">
        <v>23</v>
      </c>
    </row>
    <row r="506" spans="1:9" x14ac:dyDescent="0.35">
      <c r="A506" t="s">
        <v>608</v>
      </c>
      <c r="B506" t="s">
        <v>4500</v>
      </c>
      <c r="C506" s="7">
        <v>1.19</v>
      </c>
      <c r="D506" s="7">
        <v>4928223</v>
      </c>
      <c r="E506" s="7">
        <v>1.18</v>
      </c>
      <c r="F506" s="7">
        <v>4928223</v>
      </c>
      <c r="G506" s="7">
        <v>0</v>
      </c>
      <c r="H506">
        <v>31</v>
      </c>
      <c r="I506" t="s">
        <v>23</v>
      </c>
    </row>
    <row r="507" spans="1:9" x14ac:dyDescent="0.35">
      <c r="A507" t="s">
        <v>67</v>
      </c>
      <c r="B507" t="s">
        <v>4500</v>
      </c>
      <c r="C507" s="7">
        <v>1.17</v>
      </c>
      <c r="D507" s="7">
        <v>2000000</v>
      </c>
      <c r="E507" s="7">
        <v>1.1499999999999999</v>
      </c>
      <c r="F507" s="7">
        <v>2000000</v>
      </c>
      <c r="G507" s="7">
        <v>0</v>
      </c>
      <c r="H507">
        <v>32</v>
      </c>
      <c r="I507" t="s">
        <v>23</v>
      </c>
    </row>
    <row r="508" spans="1:9" x14ac:dyDescent="0.35">
      <c r="A508" t="s">
        <v>447</v>
      </c>
      <c r="B508" t="s">
        <v>4500</v>
      </c>
      <c r="C508" s="7">
        <v>1.1499999999999999</v>
      </c>
      <c r="D508" s="7">
        <v>21000000</v>
      </c>
      <c r="E508" s="7">
        <v>1.26</v>
      </c>
      <c r="F508" s="7">
        <v>24100000</v>
      </c>
      <c r="G508" s="7">
        <v>-3100000</v>
      </c>
      <c r="H508">
        <v>33</v>
      </c>
      <c r="I508" t="s">
        <v>25</v>
      </c>
    </row>
    <row r="509" spans="1:9" x14ac:dyDescent="0.35">
      <c r="A509" t="s">
        <v>578</v>
      </c>
      <c r="B509" t="s">
        <v>4500</v>
      </c>
      <c r="C509" s="7">
        <v>1.1499999999999999</v>
      </c>
      <c r="D509" s="7">
        <v>8257000</v>
      </c>
      <c r="E509" s="7">
        <v>0.9</v>
      </c>
      <c r="F509" s="7">
        <v>8257000</v>
      </c>
      <c r="G509" s="7">
        <v>0</v>
      </c>
      <c r="H509">
        <v>34</v>
      </c>
      <c r="I509" t="s">
        <v>23</v>
      </c>
    </row>
    <row r="510" spans="1:9" x14ac:dyDescent="0.35">
      <c r="A510" t="s">
        <v>480</v>
      </c>
      <c r="B510" t="s">
        <v>4500</v>
      </c>
      <c r="C510" s="7">
        <v>1.1399999999999999</v>
      </c>
      <c r="D510" s="7">
        <v>2007157</v>
      </c>
      <c r="E510" s="7">
        <v>1.1100000000000001</v>
      </c>
      <c r="F510" s="7">
        <v>2007157</v>
      </c>
      <c r="G510" s="7">
        <v>0</v>
      </c>
      <c r="H510">
        <v>35</v>
      </c>
      <c r="I510" t="s">
        <v>23</v>
      </c>
    </row>
    <row r="511" spans="1:9" x14ac:dyDescent="0.35">
      <c r="A511" t="s">
        <v>370</v>
      </c>
      <c r="B511" t="s">
        <v>4500</v>
      </c>
      <c r="C511" s="7">
        <v>1.1299999999999999</v>
      </c>
      <c r="D511" s="7">
        <v>1000000</v>
      </c>
      <c r="E511" s="7">
        <v>1.19</v>
      </c>
      <c r="F511" s="7">
        <v>1000000</v>
      </c>
      <c r="G511" s="7">
        <v>0</v>
      </c>
      <c r="H511">
        <v>36</v>
      </c>
      <c r="I511" t="s">
        <v>23</v>
      </c>
    </row>
    <row r="512" spans="1:9" x14ac:dyDescent="0.35">
      <c r="A512" t="s">
        <v>118</v>
      </c>
      <c r="B512" t="s">
        <v>4500</v>
      </c>
      <c r="C512" s="7">
        <v>1.08</v>
      </c>
      <c r="D512" s="7">
        <v>9255000</v>
      </c>
      <c r="E512" s="7">
        <v>1.08</v>
      </c>
      <c r="F512" s="7">
        <v>9255000</v>
      </c>
      <c r="G512" s="7">
        <v>0</v>
      </c>
      <c r="H512">
        <v>37</v>
      </c>
      <c r="I512" t="s">
        <v>23</v>
      </c>
    </row>
    <row r="513" spans="1:9" x14ac:dyDescent="0.35">
      <c r="A513" t="s">
        <v>99</v>
      </c>
      <c r="B513" t="s">
        <v>4500</v>
      </c>
      <c r="C513" s="7">
        <v>1.08</v>
      </c>
      <c r="D513" s="7">
        <v>2400000</v>
      </c>
      <c r="E513" s="7">
        <v>1.1200000000000001</v>
      </c>
      <c r="F513" s="7">
        <v>2400000</v>
      </c>
      <c r="G513" s="7">
        <v>0</v>
      </c>
      <c r="H513">
        <v>38</v>
      </c>
      <c r="I513" t="s">
        <v>23</v>
      </c>
    </row>
    <row r="514" spans="1:9" x14ac:dyDescent="0.35">
      <c r="A514" t="s">
        <v>409</v>
      </c>
      <c r="B514" t="s">
        <v>4500</v>
      </c>
      <c r="C514" s="7">
        <v>1.06</v>
      </c>
      <c r="D514" s="7">
        <v>1194472</v>
      </c>
      <c r="E514" s="7">
        <v>1.03</v>
      </c>
      <c r="F514" s="7">
        <v>1112672</v>
      </c>
      <c r="G514" s="7">
        <v>81800</v>
      </c>
      <c r="H514">
        <v>39</v>
      </c>
      <c r="I514" t="s">
        <v>22</v>
      </c>
    </row>
    <row r="515" spans="1:9" x14ac:dyDescent="0.35">
      <c r="A515" t="s">
        <v>387</v>
      </c>
      <c r="B515" t="s">
        <v>4500</v>
      </c>
      <c r="C515" s="7">
        <v>1.05</v>
      </c>
      <c r="D515" s="7">
        <v>48000</v>
      </c>
      <c r="E515" s="7">
        <v>0.62</v>
      </c>
      <c r="F515" s="7">
        <v>26919</v>
      </c>
      <c r="G515" s="7">
        <v>21081</v>
      </c>
      <c r="H515">
        <v>40</v>
      </c>
      <c r="I515" t="s">
        <v>22</v>
      </c>
    </row>
    <row r="516" spans="1:9" x14ac:dyDescent="0.35">
      <c r="A516" t="s">
        <v>604</v>
      </c>
      <c r="B516" t="s">
        <v>4500</v>
      </c>
      <c r="C516" s="7">
        <v>1.04</v>
      </c>
      <c r="D516" s="7">
        <v>1043061</v>
      </c>
      <c r="E516" s="7">
        <v>1.07</v>
      </c>
      <c r="F516" s="7">
        <v>1043061</v>
      </c>
      <c r="G516" s="7">
        <v>0</v>
      </c>
      <c r="H516">
        <v>41</v>
      </c>
      <c r="I516" t="s">
        <v>23</v>
      </c>
    </row>
    <row r="517" spans="1:9" x14ac:dyDescent="0.35">
      <c r="A517" t="s">
        <v>544</v>
      </c>
      <c r="B517" t="s">
        <v>4500</v>
      </c>
      <c r="C517" s="7">
        <v>1.02</v>
      </c>
      <c r="D517" s="7">
        <v>4500000</v>
      </c>
      <c r="E517" s="7">
        <v>0.94</v>
      </c>
      <c r="F517" s="7">
        <v>4500000</v>
      </c>
      <c r="G517" s="7">
        <v>0</v>
      </c>
      <c r="H517">
        <v>42</v>
      </c>
      <c r="I517" t="s">
        <v>23</v>
      </c>
    </row>
    <row r="518" spans="1:9" x14ac:dyDescent="0.35">
      <c r="A518" t="s">
        <v>598</v>
      </c>
      <c r="B518" t="s">
        <v>4500</v>
      </c>
      <c r="C518" s="7">
        <v>1.02</v>
      </c>
      <c r="D518" s="7">
        <v>6000000</v>
      </c>
      <c r="E518" s="7">
        <v>1.06</v>
      </c>
      <c r="F518" s="7">
        <v>6000000</v>
      </c>
      <c r="G518" s="7">
        <v>0</v>
      </c>
      <c r="H518">
        <v>43</v>
      </c>
      <c r="I518" t="s">
        <v>23</v>
      </c>
    </row>
    <row r="519" spans="1:9" x14ac:dyDescent="0.35">
      <c r="A519" t="s">
        <v>509</v>
      </c>
      <c r="B519" t="s">
        <v>4500</v>
      </c>
      <c r="C519" s="7">
        <v>1</v>
      </c>
      <c r="D519" s="7">
        <v>60000</v>
      </c>
      <c r="E519" s="7">
        <v>0.99</v>
      </c>
      <c r="F519" s="7">
        <v>60000</v>
      </c>
      <c r="G519" s="7">
        <v>0</v>
      </c>
      <c r="H519">
        <v>44</v>
      </c>
      <c r="I519" t="s">
        <v>23</v>
      </c>
    </row>
    <row r="520" spans="1:9" x14ac:dyDescent="0.35">
      <c r="A520" t="s">
        <v>522</v>
      </c>
      <c r="B520" t="s">
        <v>4500</v>
      </c>
      <c r="C520" s="7">
        <v>0.95</v>
      </c>
      <c r="D520" s="7">
        <v>1561427</v>
      </c>
      <c r="E520" s="7">
        <v>0.96</v>
      </c>
      <c r="F520" s="7">
        <v>1561427</v>
      </c>
      <c r="G520" s="7">
        <v>0</v>
      </c>
      <c r="H520">
        <v>45</v>
      </c>
      <c r="I520" t="s">
        <v>23</v>
      </c>
    </row>
    <row r="521" spans="1:9" x14ac:dyDescent="0.35">
      <c r="A521" t="s">
        <v>620</v>
      </c>
      <c r="B521" t="s">
        <v>4500</v>
      </c>
      <c r="C521" s="7">
        <v>0.95</v>
      </c>
      <c r="D521" s="7">
        <v>399898</v>
      </c>
      <c r="E521" s="7">
        <v>1.07</v>
      </c>
      <c r="F521" s="7">
        <v>399898</v>
      </c>
      <c r="G521" s="7">
        <v>0</v>
      </c>
      <c r="H521">
        <v>46</v>
      </c>
      <c r="I521" t="s">
        <v>23</v>
      </c>
    </row>
    <row r="522" spans="1:9" x14ac:dyDescent="0.35">
      <c r="A522" t="s">
        <v>277</v>
      </c>
      <c r="B522" t="s">
        <v>4500</v>
      </c>
      <c r="C522" s="7">
        <v>0.95</v>
      </c>
      <c r="D522" s="7">
        <v>415007</v>
      </c>
      <c r="E522" s="7">
        <v>0.96</v>
      </c>
      <c r="F522" s="7">
        <v>415007</v>
      </c>
      <c r="G522" s="7">
        <v>0</v>
      </c>
      <c r="H522">
        <v>47</v>
      </c>
      <c r="I522" t="s">
        <v>23</v>
      </c>
    </row>
    <row r="523" spans="1:9" x14ac:dyDescent="0.35">
      <c r="A523" t="s">
        <v>449</v>
      </c>
      <c r="B523" t="s">
        <v>4500</v>
      </c>
      <c r="C523" s="7">
        <v>0.93</v>
      </c>
      <c r="D523" s="7">
        <v>700000</v>
      </c>
      <c r="E523" s="7">
        <v>0.7</v>
      </c>
      <c r="F523" s="7">
        <v>600000</v>
      </c>
      <c r="G523" s="7">
        <v>100000</v>
      </c>
      <c r="H523">
        <v>48</v>
      </c>
      <c r="I523" t="s">
        <v>22</v>
      </c>
    </row>
    <row r="524" spans="1:9" x14ac:dyDescent="0.35">
      <c r="A524" t="s">
        <v>570</v>
      </c>
      <c r="B524" t="s">
        <v>4500</v>
      </c>
      <c r="C524" s="7">
        <v>0.93</v>
      </c>
      <c r="D524" s="7">
        <v>460386</v>
      </c>
      <c r="E524" s="7">
        <v>0.96</v>
      </c>
      <c r="F524" s="7">
        <v>460386</v>
      </c>
      <c r="G524" s="7">
        <v>0</v>
      </c>
      <c r="H524">
        <v>49</v>
      </c>
      <c r="I524" t="s">
        <v>23</v>
      </c>
    </row>
    <row r="525" spans="1:9" x14ac:dyDescent="0.35">
      <c r="A525" t="s">
        <v>700</v>
      </c>
      <c r="B525" t="s">
        <v>4500</v>
      </c>
      <c r="C525" s="7">
        <v>0.92</v>
      </c>
      <c r="D525" s="7">
        <v>226766</v>
      </c>
      <c r="E525" s="7">
        <v>0.96</v>
      </c>
      <c r="F525" s="7">
        <v>226766</v>
      </c>
      <c r="G525" s="7">
        <v>0</v>
      </c>
      <c r="H525">
        <v>50</v>
      </c>
      <c r="I525" t="s">
        <v>23</v>
      </c>
    </row>
    <row r="526" spans="1:9" x14ac:dyDescent="0.35">
      <c r="A526" t="s">
        <v>478</v>
      </c>
      <c r="B526" t="s">
        <v>4500</v>
      </c>
      <c r="C526" s="7">
        <v>0.92</v>
      </c>
      <c r="D526" s="7">
        <v>3452265</v>
      </c>
      <c r="E526" s="7">
        <v>1</v>
      </c>
      <c r="F526" s="7">
        <v>3452265</v>
      </c>
      <c r="G526" s="7">
        <v>0</v>
      </c>
      <c r="H526">
        <v>51</v>
      </c>
      <c r="I526" t="s">
        <v>23</v>
      </c>
    </row>
    <row r="527" spans="1:9" x14ac:dyDescent="0.35">
      <c r="A527" t="s">
        <v>1024</v>
      </c>
      <c r="B527" t="s">
        <v>4500</v>
      </c>
      <c r="C527" s="7">
        <v>0.91</v>
      </c>
      <c r="D527" s="7">
        <v>3065489</v>
      </c>
      <c r="E527" s="7">
        <v>0.87</v>
      </c>
      <c r="F527" s="7">
        <v>3065489</v>
      </c>
      <c r="G527" s="7">
        <v>0</v>
      </c>
      <c r="H527">
        <v>52</v>
      </c>
      <c r="I527" t="s">
        <v>23</v>
      </c>
    </row>
    <row r="528" spans="1:9" x14ac:dyDescent="0.35">
      <c r="A528" t="s">
        <v>529</v>
      </c>
      <c r="B528" t="s">
        <v>4500</v>
      </c>
      <c r="C528" s="7">
        <v>0.87</v>
      </c>
      <c r="D528" s="7">
        <v>2647518</v>
      </c>
      <c r="E528" s="7">
        <v>0.84</v>
      </c>
      <c r="F528" s="7">
        <v>2647518</v>
      </c>
      <c r="G528" s="7">
        <v>0</v>
      </c>
      <c r="H528">
        <v>53</v>
      </c>
      <c r="I528" t="s">
        <v>23</v>
      </c>
    </row>
    <row r="529" spans="1:9" x14ac:dyDescent="0.35">
      <c r="A529" t="s">
        <v>451</v>
      </c>
      <c r="B529" t="s">
        <v>4500</v>
      </c>
      <c r="C529" s="7">
        <v>0.83</v>
      </c>
      <c r="D529" s="7">
        <v>5097833</v>
      </c>
      <c r="E529" s="7">
        <v>0.92</v>
      </c>
      <c r="F529" s="7">
        <v>5500000</v>
      </c>
      <c r="G529" s="7">
        <v>-402167</v>
      </c>
      <c r="H529">
        <v>54</v>
      </c>
      <c r="I529" t="s">
        <v>25</v>
      </c>
    </row>
    <row r="530" spans="1:9" x14ac:dyDescent="0.35">
      <c r="A530" t="s">
        <v>564</v>
      </c>
      <c r="B530" t="s">
        <v>4500</v>
      </c>
      <c r="C530" s="7">
        <v>0.81</v>
      </c>
      <c r="D530" s="7">
        <v>1074870</v>
      </c>
      <c r="E530" s="7">
        <v>0.7</v>
      </c>
      <c r="F530" s="7">
        <v>1074870</v>
      </c>
      <c r="G530" s="7">
        <v>0</v>
      </c>
      <c r="H530">
        <v>55</v>
      </c>
      <c r="I530" t="s">
        <v>23</v>
      </c>
    </row>
    <row r="531" spans="1:9" x14ac:dyDescent="0.35">
      <c r="A531" t="s">
        <v>115</v>
      </c>
      <c r="B531" t="s">
        <v>4500</v>
      </c>
      <c r="C531" s="7">
        <v>0.78</v>
      </c>
      <c r="D531" s="7">
        <v>1000000</v>
      </c>
      <c r="E531" s="7">
        <v>1.1100000000000001</v>
      </c>
      <c r="F531" s="7">
        <v>1360000</v>
      </c>
      <c r="G531" s="7">
        <v>-360000</v>
      </c>
      <c r="H531">
        <v>56</v>
      </c>
      <c r="I531" t="s">
        <v>25</v>
      </c>
    </row>
    <row r="532" spans="1:9" x14ac:dyDescent="0.35">
      <c r="A532" t="s">
        <v>4502</v>
      </c>
      <c r="B532" t="s">
        <v>4500</v>
      </c>
      <c r="C532" s="7">
        <v>0.78</v>
      </c>
      <c r="D532" s="7">
        <v>303512</v>
      </c>
      <c r="E532" s="7">
        <v>0.81</v>
      </c>
      <c r="F532" s="7">
        <v>303512</v>
      </c>
      <c r="G532" s="7">
        <v>0</v>
      </c>
      <c r="H532">
        <v>57</v>
      </c>
      <c r="I532" t="s">
        <v>23</v>
      </c>
    </row>
    <row r="533" spans="1:9" x14ac:dyDescent="0.35">
      <c r="A533" t="s">
        <v>90</v>
      </c>
      <c r="B533" t="s">
        <v>4500</v>
      </c>
      <c r="C533" s="7">
        <v>0.78</v>
      </c>
      <c r="D533" s="7">
        <v>2010000</v>
      </c>
      <c r="E533" s="7">
        <v>0.6</v>
      </c>
      <c r="F533" s="7">
        <v>1607196</v>
      </c>
      <c r="G533" s="7">
        <v>402804</v>
      </c>
      <c r="H533">
        <v>58</v>
      </c>
      <c r="I533" t="s">
        <v>22</v>
      </c>
    </row>
    <row r="534" spans="1:9" x14ac:dyDescent="0.35">
      <c r="A534" t="s">
        <v>330</v>
      </c>
      <c r="B534" t="s">
        <v>4500</v>
      </c>
      <c r="C534" s="7">
        <v>0.75</v>
      </c>
      <c r="D534" s="7">
        <v>1942668</v>
      </c>
      <c r="E534" s="7">
        <v>0.69</v>
      </c>
      <c r="F534" s="7">
        <v>1942668</v>
      </c>
      <c r="G534" s="7">
        <v>0</v>
      </c>
      <c r="H534">
        <v>59</v>
      </c>
      <c r="I534" t="s">
        <v>23</v>
      </c>
    </row>
    <row r="535" spans="1:9" x14ac:dyDescent="0.35">
      <c r="A535" t="s">
        <v>614</v>
      </c>
      <c r="B535" t="s">
        <v>4500</v>
      </c>
      <c r="C535" s="7">
        <v>0.73</v>
      </c>
      <c r="D535" s="7">
        <v>750000</v>
      </c>
      <c r="E535" s="7">
        <v>0.72</v>
      </c>
      <c r="F535" s="7">
        <v>750000</v>
      </c>
      <c r="G535" s="7">
        <v>0</v>
      </c>
      <c r="H535">
        <v>60</v>
      </c>
      <c r="I535" t="s">
        <v>23</v>
      </c>
    </row>
    <row r="536" spans="1:9" x14ac:dyDescent="0.35">
      <c r="A536" t="s">
        <v>353</v>
      </c>
      <c r="B536" t="s">
        <v>4500</v>
      </c>
      <c r="C536" s="7">
        <v>0.73</v>
      </c>
      <c r="D536" s="7">
        <v>275000</v>
      </c>
      <c r="E536" s="7">
        <v>0</v>
      </c>
      <c r="F536" s="7">
        <v>0</v>
      </c>
      <c r="G536" s="7">
        <v>275000</v>
      </c>
      <c r="H536">
        <v>61</v>
      </c>
      <c r="I536" t="s">
        <v>32</v>
      </c>
    </row>
    <row r="537" spans="1:9" x14ac:dyDescent="0.35">
      <c r="A537" t="s">
        <v>511</v>
      </c>
      <c r="B537" t="s">
        <v>4500</v>
      </c>
      <c r="C537" s="7">
        <v>0.72</v>
      </c>
      <c r="D537" s="7">
        <v>1210830</v>
      </c>
      <c r="E537" s="7">
        <v>0.7</v>
      </c>
      <c r="F537" s="7">
        <v>1210830</v>
      </c>
      <c r="G537" s="7">
        <v>0</v>
      </c>
      <c r="H537">
        <v>62</v>
      </c>
      <c r="I537" t="s">
        <v>23</v>
      </c>
    </row>
    <row r="538" spans="1:9" x14ac:dyDescent="0.35">
      <c r="A538" t="s">
        <v>484</v>
      </c>
      <c r="B538" t="s">
        <v>4500</v>
      </c>
      <c r="C538" s="7">
        <v>0.72</v>
      </c>
      <c r="D538" s="7">
        <v>2600000</v>
      </c>
      <c r="E538" s="7">
        <v>0.8</v>
      </c>
      <c r="F538" s="7">
        <v>2600000</v>
      </c>
      <c r="G538" s="7">
        <v>0</v>
      </c>
      <c r="H538">
        <v>63</v>
      </c>
      <c r="I538" t="s">
        <v>23</v>
      </c>
    </row>
    <row r="539" spans="1:9" x14ac:dyDescent="0.35">
      <c r="A539" t="s">
        <v>5910</v>
      </c>
      <c r="B539" t="s">
        <v>4500</v>
      </c>
      <c r="C539" s="7">
        <v>0.7</v>
      </c>
      <c r="D539" s="7">
        <v>567479</v>
      </c>
      <c r="E539" s="7">
        <v>0.67</v>
      </c>
      <c r="F539" s="7">
        <v>567479</v>
      </c>
      <c r="G539" s="7">
        <v>0</v>
      </c>
      <c r="H539">
        <v>64</v>
      </c>
      <c r="I539" t="s">
        <v>23</v>
      </c>
    </row>
    <row r="540" spans="1:9" x14ac:dyDescent="0.35">
      <c r="A540" t="s">
        <v>517</v>
      </c>
      <c r="B540" t="s">
        <v>4500</v>
      </c>
      <c r="C540" s="7">
        <v>0.69</v>
      </c>
      <c r="D540" s="7">
        <v>593778</v>
      </c>
      <c r="E540" s="7">
        <v>0.79</v>
      </c>
      <c r="F540" s="7">
        <v>593778</v>
      </c>
      <c r="G540" s="7">
        <v>0</v>
      </c>
      <c r="H540">
        <v>65</v>
      </c>
      <c r="I540" t="s">
        <v>23</v>
      </c>
    </row>
    <row r="541" spans="1:9" x14ac:dyDescent="0.35">
      <c r="A541" t="s">
        <v>538</v>
      </c>
      <c r="B541" t="s">
        <v>4500</v>
      </c>
      <c r="C541" s="7">
        <v>0.66</v>
      </c>
      <c r="D541" s="7">
        <v>245000</v>
      </c>
      <c r="E541" s="7">
        <v>0.71</v>
      </c>
      <c r="F541" s="7">
        <v>245000</v>
      </c>
      <c r="G541" s="7">
        <v>0</v>
      </c>
      <c r="H541">
        <v>66</v>
      </c>
      <c r="I541" t="s">
        <v>23</v>
      </c>
    </row>
    <row r="542" spans="1:9" x14ac:dyDescent="0.35">
      <c r="A542" t="s">
        <v>63</v>
      </c>
      <c r="B542" t="s">
        <v>4500</v>
      </c>
      <c r="C542" s="7">
        <v>0.61</v>
      </c>
      <c r="D542" s="7">
        <v>590000</v>
      </c>
      <c r="E542" s="7">
        <v>0.57999999999999996</v>
      </c>
      <c r="F542" s="7">
        <v>590000</v>
      </c>
      <c r="G542" s="7">
        <v>0</v>
      </c>
      <c r="H542">
        <v>67</v>
      </c>
      <c r="I542" t="s">
        <v>23</v>
      </c>
    </row>
    <row r="543" spans="1:9" x14ac:dyDescent="0.35">
      <c r="A543" t="s">
        <v>641</v>
      </c>
      <c r="B543" t="s">
        <v>4500</v>
      </c>
      <c r="C543" s="7">
        <v>0.61</v>
      </c>
      <c r="D543" s="7">
        <v>2301840</v>
      </c>
      <c r="E543" s="7">
        <v>0.6</v>
      </c>
      <c r="F543" s="7">
        <v>2301840</v>
      </c>
      <c r="G543" s="7">
        <v>0</v>
      </c>
      <c r="H543">
        <v>68</v>
      </c>
      <c r="I543" t="s">
        <v>23</v>
      </c>
    </row>
    <row r="544" spans="1:9" x14ac:dyDescent="0.35">
      <c r="A544" t="s">
        <v>542</v>
      </c>
      <c r="B544" t="s">
        <v>4500</v>
      </c>
      <c r="C544" s="7">
        <v>0.56999999999999995</v>
      </c>
      <c r="D544" s="7">
        <v>302470</v>
      </c>
      <c r="E544" s="7">
        <v>0.63</v>
      </c>
      <c r="F544" s="7">
        <v>302470</v>
      </c>
      <c r="G544" s="7">
        <v>0</v>
      </c>
      <c r="H544">
        <v>69</v>
      </c>
      <c r="I544" t="s">
        <v>23</v>
      </c>
    </row>
    <row r="545" spans="1:9" x14ac:dyDescent="0.35">
      <c r="A545" t="s">
        <v>635</v>
      </c>
      <c r="B545" t="s">
        <v>4500</v>
      </c>
      <c r="C545" s="7">
        <v>0.51</v>
      </c>
      <c r="D545" s="7">
        <v>614119</v>
      </c>
      <c r="E545" s="7">
        <v>0.45</v>
      </c>
      <c r="F545" s="7">
        <v>614119</v>
      </c>
      <c r="G545" s="7">
        <v>0</v>
      </c>
      <c r="H545">
        <v>70</v>
      </c>
      <c r="I545" t="s">
        <v>23</v>
      </c>
    </row>
    <row r="546" spans="1:9" x14ac:dyDescent="0.35">
      <c r="A546" t="s">
        <v>993</v>
      </c>
      <c r="B546" t="s">
        <v>4500</v>
      </c>
      <c r="C546" s="7">
        <v>0.51</v>
      </c>
      <c r="D546" s="7">
        <v>3810364</v>
      </c>
      <c r="E546" s="7">
        <v>0.56000000000000005</v>
      </c>
      <c r="F546" s="7">
        <v>3810364</v>
      </c>
      <c r="G546" s="7">
        <v>0</v>
      </c>
      <c r="H546">
        <v>71</v>
      </c>
      <c r="I546" t="s">
        <v>23</v>
      </c>
    </row>
    <row r="547" spans="1:9" x14ac:dyDescent="0.35">
      <c r="A547" t="s">
        <v>457</v>
      </c>
      <c r="B547" t="s">
        <v>4500</v>
      </c>
      <c r="C547" s="7">
        <v>0.51</v>
      </c>
      <c r="D547" s="7">
        <v>7508691</v>
      </c>
      <c r="E547" s="7">
        <v>0.48</v>
      </c>
      <c r="F547" s="7">
        <v>7508691</v>
      </c>
      <c r="G547" s="7">
        <v>0</v>
      </c>
      <c r="H547">
        <v>72</v>
      </c>
      <c r="I547" t="s">
        <v>23</v>
      </c>
    </row>
    <row r="548" spans="1:9" x14ac:dyDescent="0.35">
      <c r="A548" t="s">
        <v>81</v>
      </c>
      <c r="B548" t="s">
        <v>4500</v>
      </c>
      <c r="C548" s="7">
        <v>0.49</v>
      </c>
      <c r="D548" s="7">
        <v>150000</v>
      </c>
      <c r="E548" s="7">
        <v>1.26</v>
      </c>
      <c r="F548" s="7">
        <v>400000</v>
      </c>
      <c r="G548" s="7">
        <v>-250000</v>
      </c>
      <c r="H548">
        <v>73</v>
      </c>
      <c r="I548" t="s">
        <v>25</v>
      </c>
    </row>
    <row r="549" spans="1:9" x14ac:dyDescent="0.35">
      <c r="A549" t="s">
        <v>655</v>
      </c>
      <c r="B549" t="s">
        <v>4500</v>
      </c>
      <c r="C549" s="7">
        <v>0.49</v>
      </c>
      <c r="D549" s="7">
        <v>342146</v>
      </c>
      <c r="E549" s="7">
        <v>0.5</v>
      </c>
      <c r="F549" s="7">
        <v>342146</v>
      </c>
      <c r="G549" s="7">
        <v>0</v>
      </c>
      <c r="H549">
        <v>74</v>
      </c>
      <c r="I549" t="s">
        <v>23</v>
      </c>
    </row>
    <row r="550" spans="1:9" x14ac:dyDescent="0.35">
      <c r="A550" t="s">
        <v>1223</v>
      </c>
      <c r="B550" t="s">
        <v>4500</v>
      </c>
      <c r="C550" s="7">
        <v>0.45</v>
      </c>
      <c r="D550" s="7">
        <v>1705019</v>
      </c>
      <c r="E550" s="7">
        <v>0.44</v>
      </c>
      <c r="F550" s="7">
        <v>1705019</v>
      </c>
      <c r="G550" s="7">
        <v>0</v>
      </c>
      <c r="H550">
        <v>75</v>
      </c>
      <c r="I550" t="s">
        <v>23</v>
      </c>
    </row>
    <row r="551" spans="1:9" x14ac:dyDescent="0.35">
      <c r="A551" t="s">
        <v>546</v>
      </c>
      <c r="B551" t="s">
        <v>4500</v>
      </c>
      <c r="C551" s="7">
        <v>0.43</v>
      </c>
      <c r="D551" s="7">
        <v>540000</v>
      </c>
      <c r="E551" s="7">
        <v>0.03</v>
      </c>
      <c r="F551" s="7">
        <v>34430</v>
      </c>
      <c r="G551" s="7">
        <v>505570</v>
      </c>
      <c r="H551">
        <v>76</v>
      </c>
      <c r="I551" t="s">
        <v>22</v>
      </c>
    </row>
    <row r="552" spans="1:9" x14ac:dyDescent="0.35">
      <c r="A552" t="s">
        <v>1276</v>
      </c>
      <c r="B552" t="s">
        <v>4500</v>
      </c>
      <c r="C552" s="7">
        <v>0.41</v>
      </c>
      <c r="D552" s="7">
        <v>614268</v>
      </c>
      <c r="E552" s="7">
        <v>0.37</v>
      </c>
      <c r="F552" s="7">
        <v>614268</v>
      </c>
      <c r="G552" s="7">
        <v>0</v>
      </c>
      <c r="H552">
        <v>77</v>
      </c>
      <c r="I552" t="s">
        <v>23</v>
      </c>
    </row>
    <row r="553" spans="1:9" x14ac:dyDescent="0.35">
      <c r="A553" t="s">
        <v>704</v>
      </c>
      <c r="B553" t="s">
        <v>4500</v>
      </c>
      <c r="C553" s="7">
        <v>0.36</v>
      </c>
      <c r="D553" s="7">
        <v>588586</v>
      </c>
      <c r="E553" s="7">
        <v>0.39</v>
      </c>
      <c r="F553" s="7">
        <v>588586</v>
      </c>
      <c r="G553" s="7">
        <v>0</v>
      </c>
      <c r="H553">
        <v>78</v>
      </c>
      <c r="I553" t="s">
        <v>23</v>
      </c>
    </row>
    <row r="554" spans="1:9" x14ac:dyDescent="0.35">
      <c r="A554" t="s">
        <v>566</v>
      </c>
      <c r="B554" t="s">
        <v>4500</v>
      </c>
      <c r="C554" s="7">
        <v>0.35</v>
      </c>
      <c r="D554" s="7">
        <v>1800000</v>
      </c>
      <c r="E554" s="7">
        <v>0.33</v>
      </c>
      <c r="F554" s="7">
        <v>1800000</v>
      </c>
      <c r="G554" s="7">
        <v>0</v>
      </c>
      <c r="H554">
        <v>79</v>
      </c>
      <c r="I554" t="s">
        <v>23</v>
      </c>
    </row>
    <row r="555" spans="1:9" x14ac:dyDescent="0.35">
      <c r="A555" t="s">
        <v>761</v>
      </c>
      <c r="B555" t="s">
        <v>4500</v>
      </c>
      <c r="C555" s="7">
        <v>0.33</v>
      </c>
      <c r="D555" s="7">
        <v>4966901</v>
      </c>
      <c r="E555" s="7">
        <v>0.3</v>
      </c>
      <c r="F555" s="7">
        <v>4575492</v>
      </c>
      <c r="G555" s="7">
        <v>391409</v>
      </c>
      <c r="H555">
        <v>80</v>
      </c>
      <c r="I555" t="s">
        <v>22</v>
      </c>
    </row>
    <row r="556" spans="1:9" x14ac:dyDescent="0.35">
      <c r="A556" t="s">
        <v>574</v>
      </c>
      <c r="B556" t="s">
        <v>4500</v>
      </c>
      <c r="C556" s="7">
        <v>0.32</v>
      </c>
      <c r="D556" s="7">
        <v>432192</v>
      </c>
      <c r="E556" s="7">
        <v>0.24</v>
      </c>
      <c r="F556" s="7">
        <v>319192</v>
      </c>
      <c r="G556" s="7">
        <v>113000</v>
      </c>
      <c r="H556">
        <v>81</v>
      </c>
      <c r="I556" t="s">
        <v>22</v>
      </c>
    </row>
    <row r="557" spans="1:9" x14ac:dyDescent="0.35">
      <c r="A557" t="s">
        <v>647</v>
      </c>
      <c r="B557" t="s">
        <v>4500</v>
      </c>
      <c r="C557" s="7">
        <v>0.28000000000000003</v>
      </c>
      <c r="D557" s="7">
        <v>288479</v>
      </c>
      <c r="E557" s="7">
        <v>0.26</v>
      </c>
      <c r="F557" s="7">
        <v>288479</v>
      </c>
      <c r="G557" s="7">
        <v>0</v>
      </c>
      <c r="H557">
        <v>82</v>
      </c>
      <c r="I557" t="s">
        <v>23</v>
      </c>
    </row>
    <row r="558" spans="1:9" x14ac:dyDescent="0.35">
      <c r="A558" t="s">
        <v>527</v>
      </c>
      <c r="B558" t="s">
        <v>4500</v>
      </c>
      <c r="C558" s="7">
        <v>0.27</v>
      </c>
      <c r="D558" s="7">
        <v>4500000</v>
      </c>
      <c r="E558" s="7">
        <v>0.24</v>
      </c>
      <c r="F558" s="7">
        <v>4500000</v>
      </c>
      <c r="G558" s="7">
        <v>0</v>
      </c>
      <c r="H558">
        <v>83</v>
      </c>
      <c r="I558" t="s">
        <v>23</v>
      </c>
    </row>
    <row r="559" spans="1:9" x14ac:dyDescent="0.35">
      <c r="A559" t="s">
        <v>504</v>
      </c>
      <c r="B559" t="s">
        <v>4500</v>
      </c>
      <c r="C559" s="7">
        <v>0.26</v>
      </c>
      <c r="D559" s="7">
        <v>175615</v>
      </c>
      <c r="E559" s="7">
        <v>0.19</v>
      </c>
      <c r="F559" s="7">
        <v>139333</v>
      </c>
      <c r="G559" s="7">
        <v>36282</v>
      </c>
      <c r="H559">
        <v>84</v>
      </c>
      <c r="I559" t="s">
        <v>22</v>
      </c>
    </row>
    <row r="560" spans="1:9" x14ac:dyDescent="0.35">
      <c r="A560" t="s">
        <v>107</v>
      </c>
      <c r="B560" t="s">
        <v>4500</v>
      </c>
      <c r="C560" s="7">
        <v>0.26</v>
      </c>
      <c r="D560" s="7">
        <v>2000000</v>
      </c>
      <c r="E560" s="7">
        <v>0.57999999999999996</v>
      </c>
      <c r="F560" s="7">
        <v>5200000</v>
      </c>
      <c r="G560" s="7">
        <v>-3200000</v>
      </c>
      <c r="H560">
        <v>85</v>
      </c>
      <c r="I560" t="s">
        <v>25</v>
      </c>
    </row>
    <row r="561" spans="1:9" x14ac:dyDescent="0.35">
      <c r="A561" t="s">
        <v>826</v>
      </c>
      <c r="B561" t="s">
        <v>4500</v>
      </c>
      <c r="C561" s="7">
        <v>0.26</v>
      </c>
      <c r="D561" s="7">
        <v>9308691</v>
      </c>
      <c r="E561" s="7">
        <v>0.25</v>
      </c>
      <c r="F561" s="7">
        <v>9308691</v>
      </c>
      <c r="G561" s="7">
        <v>0</v>
      </c>
      <c r="H561">
        <v>86</v>
      </c>
      <c r="I561" t="s">
        <v>23</v>
      </c>
    </row>
    <row r="562" spans="1:9" x14ac:dyDescent="0.35">
      <c r="A562" t="s">
        <v>588</v>
      </c>
      <c r="B562" t="s">
        <v>4500</v>
      </c>
      <c r="C562" s="7">
        <v>0.13</v>
      </c>
      <c r="D562" s="7">
        <v>17050</v>
      </c>
      <c r="E562" s="7">
        <v>0</v>
      </c>
      <c r="F562" s="7">
        <v>0</v>
      </c>
      <c r="G562" s="7">
        <v>17050</v>
      </c>
      <c r="H562">
        <v>87</v>
      </c>
      <c r="I562" t="s">
        <v>32</v>
      </c>
    </row>
    <row r="563" spans="1:9" x14ac:dyDescent="0.35">
      <c r="A563" t="s">
        <v>6070</v>
      </c>
      <c r="B563" t="s">
        <v>4500</v>
      </c>
      <c r="C563" s="7">
        <v>0</v>
      </c>
      <c r="D563" s="7">
        <v>20000</v>
      </c>
      <c r="E563" s="7">
        <v>0</v>
      </c>
      <c r="F563" s="7">
        <v>20000</v>
      </c>
      <c r="G563" s="7">
        <v>0</v>
      </c>
      <c r="H563">
        <v>88</v>
      </c>
      <c r="I563" t="s">
        <v>23</v>
      </c>
    </row>
    <row r="564" spans="1:9" x14ac:dyDescent="0.35">
      <c r="A564" t="s">
        <v>584</v>
      </c>
      <c r="B564" t="s">
        <v>4500</v>
      </c>
      <c r="C564" s="7">
        <v>0</v>
      </c>
      <c r="D564" s="7">
        <v>0</v>
      </c>
      <c r="E564" s="7">
        <v>0</v>
      </c>
      <c r="F564" s="7">
        <v>0</v>
      </c>
      <c r="G564" s="7">
        <v>0</v>
      </c>
      <c r="H564">
        <v>89</v>
      </c>
      <c r="I564" t="s">
        <v>36</v>
      </c>
    </row>
    <row r="565" spans="1:9" x14ac:dyDescent="0.35">
      <c r="A565" t="s">
        <v>771</v>
      </c>
      <c r="B565" t="s">
        <v>4500</v>
      </c>
      <c r="C565" s="7">
        <v>0</v>
      </c>
      <c r="D565" s="7">
        <v>0</v>
      </c>
      <c r="E565" s="7">
        <v>0</v>
      </c>
      <c r="F565" s="7">
        <v>0</v>
      </c>
      <c r="G565" s="7">
        <v>0</v>
      </c>
      <c r="H565">
        <v>90</v>
      </c>
      <c r="I565" t="s">
        <v>36</v>
      </c>
    </row>
    <row r="566" spans="1:9" x14ac:dyDescent="0.35">
      <c r="A566" t="s">
        <v>789</v>
      </c>
      <c r="B566" t="s">
        <v>4500</v>
      </c>
      <c r="C566" s="7">
        <v>0</v>
      </c>
      <c r="D566" s="7">
        <v>0</v>
      </c>
      <c r="E566" s="7">
        <v>0.15</v>
      </c>
      <c r="F566" s="7">
        <v>167377</v>
      </c>
      <c r="G566" s="7">
        <v>-167377</v>
      </c>
      <c r="H566">
        <v>91</v>
      </c>
      <c r="I566" t="s">
        <v>25</v>
      </c>
    </row>
    <row r="567" spans="1:9" x14ac:dyDescent="0.35">
      <c r="A567" t="s">
        <v>73</v>
      </c>
      <c r="B567" t="s">
        <v>4500</v>
      </c>
      <c r="C567" s="7">
        <v>0</v>
      </c>
      <c r="D567" s="7">
        <v>0</v>
      </c>
      <c r="E567" s="7">
        <v>0</v>
      </c>
      <c r="F567" s="7">
        <v>0</v>
      </c>
      <c r="G567" s="7">
        <v>0</v>
      </c>
      <c r="H567">
        <v>92</v>
      </c>
      <c r="I567" t="s">
        <v>36</v>
      </c>
    </row>
    <row r="568" spans="1:9" x14ac:dyDescent="0.35">
      <c r="A568" t="s">
        <v>1480</v>
      </c>
      <c r="B568" t="s">
        <v>4500</v>
      </c>
      <c r="C568" s="7">
        <v>0</v>
      </c>
      <c r="D568" s="7">
        <v>0</v>
      </c>
      <c r="E568" s="7">
        <v>0</v>
      </c>
      <c r="F568" s="7">
        <v>0</v>
      </c>
      <c r="G568" s="7">
        <v>0</v>
      </c>
      <c r="H568">
        <v>93</v>
      </c>
      <c r="I568" t="s">
        <v>36</v>
      </c>
    </row>
    <row r="569" spans="1:9" x14ac:dyDescent="0.35">
      <c r="A569" t="s">
        <v>783</v>
      </c>
      <c r="B569" t="s">
        <v>4500</v>
      </c>
      <c r="C569" s="7">
        <v>0</v>
      </c>
      <c r="D569" s="7">
        <v>0</v>
      </c>
      <c r="E569" s="7">
        <v>0.19</v>
      </c>
      <c r="F569" s="7">
        <v>983597</v>
      </c>
      <c r="G569" s="7">
        <v>-983597</v>
      </c>
      <c r="H569">
        <v>94</v>
      </c>
      <c r="I569" t="s">
        <v>25</v>
      </c>
    </row>
    <row r="570" spans="1:9" x14ac:dyDescent="0.35">
      <c r="A570" t="s">
        <v>61</v>
      </c>
      <c r="B570" t="s">
        <v>4503</v>
      </c>
      <c r="C570" s="7">
        <v>9.43</v>
      </c>
      <c r="D570" s="7">
        <v>8900529</v>
      </c>
      <c r="E570" s="7">
        <v>4.87</v>
      </c>
      <c r="F570" s="7">
        <v>4224000</v>
      </c>
      <c r="G570" s="7">
        <v>4676529</v>
      </c>
      <c r="H570">
        <v>1</v>
      </c>
      <c r="I570" t="s">
        <v>22</v>
      </c>
    </row>
    <row r="571" spans="1:9" x14ac:dyDescent="0.35">
      <c r="A571" t="s">
        <v>190</v>
      </c>
      <c r="B571" t="s">
        <v>4503</v>
      </c>
      <c r="C571" s="7">
        <v>6.41</v>
      </c>
      <c r="D571" s="7">
        <v>10000000</v>
      </c>
      <c r="E571" s="7">
        <v>6.01</v>
      </c>
      <c r="F571" s="7">
        <v>9500000</v>
      </c>
      <c r="G571" s="7">
        <v>500000</v>
      </c>
      <c r="H571">
        <v>2</v>
      </c>
      <c r="I571" t="s">
        <v>22</v>
      </c>
    </row>
    <row r="572" spans="1:9" x14ac:dyDescent="0.35">
      <c r="A572" t="s">
        <v>60</v>
      </c>
      <c r="B572" t="s">
        <v>4503</v>
      </c>
      <c r="C572" s="7">
        <v>6.38</v>
      </c>
      <c r="D572" s="7">
        <v>3900000</v>
      </c>
      <c r="E572" s="7">
        <v>7.6</v>
      </c>
      <c r="F572" s="7">
        <v>4400000</v>
      </c>
      <c r="G572" s="7">
        <v>-500000</v>
      </c>
      <c r="H572">
        <v>3</v>
      </c>
      <c r="I572" t="s">
        <v>25</v>
      </c>
    </row>
    <row r="573" spans="1:9" x14ac:dyDescent="0.35">
      <c r="A573" t="s">
        <v>27</v>
      </c>
      <c r="B573" t="s">
        <v>4503</v>
      </c>
      <c r="C573" s="7">
        <v>5.57</v>
      </c>
      <c r="D573" s="7">
        <v>14000644</v>
      </c>
      <c r="E573" s="7">
        <v>4.46</v>
      </c>
      <c r="F573" s="7">
        <v>11500644</v>
      </c>
      <c r="G573" s="7">
        <v>2500000</v>
      </c>
      <c r="H573">
        <v>4</v>
      </c>
      <c r="I573" t="s">
        <v>22</v>
      </c>
    </row>
    <row r="574" spans="1:9" x14ac:dyDescent="0.35">
      <c r="A574" t="s">
        <v>98</v>
      </c>
      <c r="B574" t="s">
        <v>4503</v>
      </c>
      <c r="C574" s="7">
        <v>4.6500000000000004</v>
      </c>
      <c r="D574" s="7">
        <v>2700000</v>
      </c>
      <c r="E574" s="7">
        <v>4.53</v>
      </c>
      <c r="F574" s="7">
        <v>2700000</v>
      </c>
      <c r="G574" s="7">
        <v>0</v>
      </c>
      <c r="H574">
        <v>5</v>
      </c>
      <c r="I574" t="s">
        <v>23</v>
      </c>
    </row>
    <row r="575" spans="1:9" x14ac:dyDescent="0.35">
      <c r="A575" t="s">
        <v>100</v>
      </c>
      <c r="B575" t="s">
        <v>4503</v>
      </c>
      <c r="C575" s="7">
        <v>4.18</v>
      </c>
      <c r="D575" s="7">
        <v>14000000</v>
      </c>
      <c r="E575" s="7">
        <v>4.28</v>
      </c>
      <c r="F575" s="7">
        <v>14000000</v>
      </c>
      <c r="G575" s="7">
        <v>0</v>
      </c>
      <c r="H575">
        <v>6</v>
      </c>
      <c r="I575" t="s">
        <v>23</v>
      </c>
    </row>
    <row r="576" spans="1:9" x14ac:dyDescent="0.35">
      <c r="A576" t="s">
        <v>210</v>
      </c>
      <c r="B576" t="s">
        <v>4503</v>
      </c>
      <c r="C576" s="7">
        <v>3.67</v>
      </c>
      <c r="D576" s="7">
        <v>6000080</v>
      </c>
      <c r="E576" s="7">
        <v>4.01</v>
      </c>
      <c r="F576" s="7">
        <v>6000080</v>
      </c>
      <c r="G576" s="7">
        <v>0</v>
      </c>
      <c r="H576">
        <v>7</v>
      </c>
      <c r="I576" t="s">
        <v>23</v>
      </c>
    </row>
    <row r="577" spans="1:9" x14ac:dyDescent="0.35">
      <c r="A577" t="s">
        <v>115</v>
      </c>
      <c r="B577" t="s">
        <v>4503</v>
      </c>
      <c r="C577" s="7">
        <v>3.48</v>
      </c>
      <c r="D577" s="7">
        <v>4000084</v>
      </c>
      <c r="E577" s="7">
        <v>2.98</v>
      </c>
      <c r="F577" s="7">
        <v>3300084</v>
      </c>
      <c r="G577" s="7">
        <v>700000</v>
      </c>
      <c r="H577">
        <v>8</v>
      </c>
      <c r="I577" t="s">
        <v>22</v>
      </c>
    </row>
    <row r="578" spans="1:9" x14ac:dyDescent="0.35">
      <c r="A578" t="s">
        <v>206</v>
      </c>
      <c r="B578" t="s">
        <v>4503</v>
      </c>
      <c r="C578" s="7">
        <v>2.87</v>
      </c>
      <c r="D578" s="7">
        <v>4000927</v>
      </c>
      <c r="E578" s="7">
        <v>3.22</v>
      </c>
      <c r="F578" s="7">
        <v>4000927</v>
      </c>
      <c r="G578" s="7">
        <v>0</v>
      </c>
      <c r="H578">
        <v>9</v>
      </c>
      <c r="I578" t="s">
        <v>23</v>
      </c>
    </row>
    <row r="579" spans="1:9" x14ac:dyDescent="0.35">
      <c r="A579" t="s">
        <v>202</v>
      </c>
      <c r="B579" t="s">
        <v>4503</v>
      </c>
      <c r="C579" s="7">
        <v>2.58</v>
      </c>
      <c r="D579" s="7">
        <v>550496</v>
      </c>
      <c r="E579" s="7">
        <v>2.91</v>
      </c>
      <c r="F579" s="7">
        <v>600496</v>
      </c>
      <c r="G579" s="7">
        <v>-50000</v>
      </c>
      <c r="H579">
        <v>10</v>
      </c>
      <c r="I579" t="s">
        <v>25</v>
      </c>
    </row>
    <row r="580" spans="1:9" x14ac:dyDescent="0.35">
      <c r="A580" t="s">
        <v>359</v>
      </c>
      <c r="B580" t="s">
        <v>4503</v>
      </c>
      <c r="C580" s="7">
        <v>2.54</v>
      </c>
      <c r="D580" s="7">
        <v>10000066</v>
      </c>
      <c r="E580" s="7">
        <v>2.66</v>
      </c>
      <c r="F580" s="7">
        <v>10000066</v>
      </c>
      <c r="G580" s="7">
        <v>0</v>
      </c>
      <c r="H580">
        <v>11</v>
      </c>
      <c r="I580" t="s">
        <v>23</v>
      </c>
    </row>
    <row r="581" spans="1:9" x14ac:dyDescent="0.35">
      <c r="A581" t="s">
        <v>902</v>
      </c>
      <c r="B581" t="s">
        <v>4503</v>
      </c>
      <c r="C581" s="7">
        <v>2.5099999999999998</v>
      </c>
      <c r="D581" s="7">
        <v>8000000</v>
      </c>
      <c r="E581" s="7">
        <v>2.4300000000000002</v>
      </c>
      <c r="F581" s="7">
        <v>8380601</v>
      </c>
      <c r="G581" s="7">
        <v>-380601</v>
      </c>
      <c r="H581">
        <v>12</v>
      </c>
      <c r="I581" t="s">
        <v>25</v>
      </c>
    </row>
    <row r="582" spans="1:9" x14ac:dyDescent="0.35">
      <c r="A582" t="s">
        <v>235</v>
      </c>
      <c r="B582" t="s">
        <v>4503</v>
      </c>
      <c r="C582" s="7">
        <v>2.48</v>
      </c>
      <c r="D582" s="7">
        <v>6000000</v>
      </c>
      <c r="E582" s="7">
        <v>2.62</v>
      </c>
      <c r="F582" s="7">
        <v>6500000</v>
      </c>
      <c r="G582" s="7">
        <v>-500000</v>
      </c>
      <c r="H582">
        <v>13</v>
      </c>
      <c r="I582" t="s">
        <v>25</v>
      </c>
    </row>
    <row r="583" spans="1:9" x14ac:dyDescent="0.35">
      <c r="A583" t="s">
        <v>416</v>
      </c>
      <c r="B583" t="s">
        <v>4503</v>
      </c>
      <c r="C583" s="7">
        <v>2.44</v>
      </c>
      <c r="D583" s="7">
        <v>1500000</v>
      </c>
      <c r="E583" s="7">
        <v>2.68</v>
      </c>
      <c r="F583" s="7">
        <v>1724655</v>
      </c>
      <c r="G583" s="7">
        <v>-224655</v>
      </c>
      <c r="H583">
        <v>14</v>
      </c>
      <c r="I583" t="s">
        <v>25</v>
      </c>
    </row>
    <row r="584" spans="1:9" x14ac:dyDescent="0.35">
      <c r="A584" t="s">
        <v>309</v>
      </c>
      <c r="B584" t="s">
        <v>4503</v>
      </c>
      <c r="C584" s="7">
        <v>2.25</v>
      </c>
      <c r="D584" s="7">
        <v>4099302</v>
      </c>
      <c r="E584" s="7">
        <v>2.35</v>
      </c>
      <c r="F584" s="7">
        <v>4099302</v>
      </c>
      <c r="G584" s="7">
        <v>0</v>
      </c>
      <c r="H584">
        <v>15</v>
      </c>
      <c r="I584" t="s">
        <v>23</v>
      </c>
    </row>
    <row r="585" spans="1:9" x14ac:dyDescent="0.35">
      <c r="A585" t="s">
        <v>112</v>
      </c>
      <c r="B585" t="s">
        <v>4503</v>
      </c>
      <c r="C585" s="7">
        <v>2.1</v>
      </c>
      <c r="D585" s="7">
        <v>15000000</v>
      </c>
      <c r="E585" s="7">
        <v>1.92</v>
      </c>
      <c r="F585" s="7">
        <v>15000000</v>
      </c>
      <c r="G585" s="7">
        <v>0</v>
      </c>
      <c r="H585">
        <v>16</v>
      </c>
      <c r="I585" t="s">
        <v>23</v>
      </c>
    </row>
    <row r="586" spans="1:9" x14ac:dyDescent="0.35">
      <c r="A586" t="s">
        <v>291</v>
      </c>
      <c r="B586" t="s">
        <v>4503</v>
      </c>
      <c r="C586" s="7">
        <v>1.94</v>
      </c>
      <c r="D586" s="7">
        <v>8000000</v>
      </c>
      <c r="E586" s="7">
        <v>1.73</v>
      </c>
      <c r="F586" s="7">
        <v>7000000</v>
      </c>
      <c r="G586" s="7">
        <v>1000000</v>
      </c>
      <c r="H586">
        <v>17</v>
      </c>
      <c r="I586" t="s">
        <v>22</v>
      </c>
    </row>
    <row r="587" spans="1:9" x14ac:dyDescent="0.35">
      <c r="A587" t="s">
        <v>375</v>
      </c>
      <c r="B587" t="s">
        <v>4503</v>
      </c>
      <c r="C587" s="7">
        <v>1.84</v>
      </c>
      <c r="D587" s="7">
        <v>34002200</v>
      </c>
      <c r="E587" s="7">
        <v>1.73</v>
      </c>
      <c r="F587" s="7">
        <v>34002200</v>
      </c>
      <c r="G587" s="7">
        <v>0</v>
      </c>
      <c r="H587">
        <v>18</v>
      </c>
      <c r="I587" t="s">
        <v>23</v>
      </c>
    </row>
    <row r="588" spans="1:9" x14ac:dyDescent="0.35">
      <c r="A588" t="s">
        <v>249</v>
      </c>
      <c r="B588" t="s">
        <v>4503</v>
      </c>
      <c r="C588" s="7">
        <v>1.79</v>
      </c>
      <c r="D588" s="7">
        <v>700000</v>
      </c>
      <c r="E588" s="7">
        <v>1.79</v>
      </c>
      <c r="F588" s="7">
        <v>700000</v>
      </c>
      <c r="G588" s="7">
        <v>0</v>
      </c>
      <c r="H588">
        <v>19</v>
      </c>
      <c r="I588" t="s">
        <v>23</v>
      </c>
    </row>
    <row r="589" spans="1:9" x14ac:dyDescent="0.35">
      <c r="A589" t="s">
        <v>243</v>
      </c>
      <c r="B589" t="s">
        <v>4503</v>
      </c>
      <c r="C589" s="7">
        <v>1.58</v>
      </c>
      <c r="D589" s="7">
        <v>20003160</v>
      </c>
      <c r="E589" s="7">
        <v>1.52</v>
      </c>
      <c r="F589" s="7">
        <v>20003160</v>
      </c>
      <c r="G589" s="7">
        <v>0</v>
      </c>
      <c r="H589">
        <v>20</v>
      </c>
      <c r="I589" t="s">
        <v>23</v>
      </c>
    </row>
    <row r="590" spans="1:9" x14ac:dyDescent="0.35">
      <c r="A590" t="s">
        <v>325</v>
      </c>
      <c r="B590" t="s">
        <v>4503</v>
      </c>
      <c r="C590" s="7">
        <v>1.37</v>
      </c>
      <c r="D590" s="7">
        <v>9000000</v>
      </c>
      <c r="E590" s="7">
        <v>0.98</v>
      </c>
      <c r="F590" s="7">
        <v>6500000</v>
      </c>
      <c r="G590" s="7">
        <v>2500000</v>
      </c>
      <c r="H590">
        <v>21</v>
      </c>
      <c r="I590" t="s">
        <v>22</v>
      </c>
    </row>
    <row r="591" spans="1:9" x14ac:dyDescent="0.35">
      <c r="A591" t="s">
        <v>773</v>
      </c>
      <c r="B591" t="s">
        <v>4503</v>
      </c>
      <c r="C591" s="7">
        <v>1.36</v>
      </c>
      <c r="D591" s="7">
        <v>9998103</v>
      </c>
      <c r="E591" s="7">
        <v>1.44</v>
      </c>
      <c r="F591" s="7">
        <v>9998103</v>
      </c>
      <c r="G591" s="7">
        <v>0</v>
      </c>
      <c r="H591">
        <v>22</v>
      </c>
      <c r="I591" t="s">
        <v>23</v>
      </c>
    </row>
    <row r="592" spans="1:9" x14ac:dyDescent="0.35">
      <c r="A592" t="s">
        <v>578</v>
      </c>
      <c r="B592" t="s">
        <v>4503</v>
      </c>
      <c r="C592" s="7">
        <v>1.35</v>
      </c>
      <c r="D592" s="7">
        <v>8700000</v>
      </c>
      <c r="E592" s="7">
        <v>1.1100000000000001</v>
      </c>
      <c r="F592" s="7">
        <v>9257000</v>
      </c>
      <c r="G592" s="7">
        <v>-557000</v>
      </c>
      <c r="H592">
        <v>23</v>
      </c>
      <c r="I592" t="s">
        <v>25</v>
      </c>
    </row>
    <row r="593" spans="1:9" x14ac:dyDescent="0.35">
      <c r="A593" t="s">
        <v>192</v>
      </c>
      <c r="B593" t="s">
        <v>4503</v>
      </c>
      <c r="C593" s="7">
        <v>1.1499999999999999</v>
      </c>
      <c r="D593" s="7">
        <v>698742</v>
      </c>
      <c r="E593" s="7">
        <v>1.27</v>
      </c>
      <c r="F593" s="7">
        <v>698742</v>
      </c>
      <c r="G593" s="7">
        <v>0</v>
      </c>
      <c r="H593">
        <v>24</v>
      </c>
      <c r="I593" t="s">
        <v>23</v>
      </c>
    </row>
    <row r="594" spans="1:9" x14ac:dyDescent="0.35">
      <c r="A594" t="s">
        <v>232</v>
      </c>
      <c r="B594" t="s">
        <v>4503</v>
      </c>
      <c r="C594" s="7">
        <v>1.1399999999999999</v>
      </c>
      <c r="D594" s="7">
        <v>1200000</v>
      </c>
      <c r="E594" s="7">
        <v>1.18</v>
      </c>
      <c r="F594" s="7">
        <v>1200000</v>
      </c>
      <c r="G594" s="7">
        <v>0</v>
      </c>
      <c r="H594">
        <v>25</v>
      </c>
      <c r="I594" t="s">
        <v>23</v>
      </c>
    </row>
    <row r="595" spans="1:9" x14ac:dyDescent="0.35">
      <c r="A595" t="s">
        <v>95</v>
      </c>
      <c r="B595" t="s">
        <v>4503</v>
      </c>
      <c r="C595" s="7">
        <v>1.1399999999999999</v>
      </c>
      <c r="D595" s="7">
        <v>1555373</v>
      </c>
      <c r="E595" s="7">
        <v>1.1100000000000001</v>
      </c>
      <c r="F595" s="7">
        <v>1555373</v>
      </c>
      <c r="G595" s="7">
        <v>0</v>
      </c>
      <c r="H595">
        <v>26</v>
      </c>
      <c r="I595" t="s">
        <v>23</v>
      </c>
    </row>
    <row r="596" spans="1:9" x14ac:dyDescent="0.35">
      <c r="A596" t="s">
        <v>459</v>
      </c>
      <c r="B596" t="s">
        <v>4503</v>
      </c>
      <c r="C596" s="7">
        <v>1.1100000000000001</v>
      </c>
      <c r="D596" s="7">
        <v>40411</v>
      </c>
      <c r="E596" s="7">
        <v>1.1399999999999999</v>
      </c>
      <c r="F596" s="7">
        <v>40411</v>
      </c>
      <c r="G596" s="7">
        <v>0</v>
      </c>
      <c r="H596">
        <v>27</v>
      </c>
      <c r="I596" t="s">
        <v>23</v>
      </c>
    </row>
    <row r="597" spans="1:9" x14ac:dyDescent="0.35">
      <c r="A597" t="s">
        <v>305</v>
      </c>
      <c r="B597" t="s">
        <v>4503</v>
      </c>
      <c r="C597" s="7">
        <v>1.1000000000000001</v>
      </c>
      <c r="D597" s="7">
        <v>375000</v>
      </c>
      <c r="E597" s="7">
        <v>1.1200000000000001</v>
      </c>
      <c r="F597" s="7">
        <v>375000</v>
      </c>
      <c r="G597" s="7">
        <v>0</v>
      </c>
      <c r="H597">
        <v>28</v>
      </c>
      <c r="I597" t="s">
        <v>23</v>
      </c>
    </row>
    <row r="598" spans="1:9" x14ac:dyDescent="0.35">
      <c r="A598" t="s">
        <v>368</v>
      </c>
      <c r="B598" t="s">
        <v>4503</v>
      </c>
      <c r="C598" s="7">
        <v>1.07</v>
      </c>
      <c r="D598" s="7">
        <v>17000000</v>
      </c>
      <c r="E598" s="7">
        <v>0.99</v>
      </c>
      <c r="F598" s="7">
        <v>17000000</v>
      </c>
      <c r="G598" s="7">
        <v>0</v>
      </c>
      <c r="H598">
        <v>29</v>
      </c>
      <c r="I598" t="s">
        <v>23</v>
      </c>
    </row>
    <row r="599" spans="1:9" x14ac:dyDescent="0.35">
      <c r="A599" t="s">
        <v>389</v>
      </c>
      <c r="B599" t="s">
        <v>4503</v>
      </c>
      <c r="C599" s="7">
        <v>0.99</v>
      </c>
      <c r="D599" s="7">
        <v>767594</v>
      </c>
      <c r="E599" s="7">
        <v>0</v>
      </c>
      <c r="F599" s="7">
        <v>0</v>
      </c>
      <c r="G599" s="7">
        <v>767594</v>
      </c>
      <c r="H599">
        <v>30</v>
      </c>
      <c r="I599" t="s">
        <v>32</v>
      </c>
    </row>
    <row r="600" spans="1:9" x14ac:dyDescent="0.35">
      <c r="A600" t="s">
        <v>4504</v>
      </c>
      <c r="B600" t="s">
        <v>4503</v>
      </c>
      <c r="C600" s="7">
        <v>0.95</v>
      </c>
      <c r="D600" s="7">
        <v>955650</v>
      </c>
      <c r="E600" s="7">
        <v>0</v>
      </c>
      <c r="F600" s="7">
        <v>0</v>
      </c>
      <c r="G600" s="7">
        <v>955650</v>
      </c>
      <c r="H600">
        <v>31</v>
      </c>
      <c r="I600" t="s">
        <v>32</v>
      </c>
    </row>
    <row r="601" spans="1:9" x14ac:dyDescent="0.35">
      <c r="A601" t="s">
        <v>118</v>
      </c>
      <c r="B601" t="s">
        <v>4503</v>
      </c>
      <c r="C601" s="7">
        <v>0.91</v>
      </c>
      <c r="D601" s="7">
        <v>7000000</v>
      </c>
      <c r="E601" s="7">
        <v>0.9</v>
      </c>
      <c r="F601" s="7">
        <v>7000000</v>
      </c>
      <c r="G601" s="7">
        <v>0</v>
      </c>
      <c r="H601">
        <v>32</v>
      </c>
      <c r="I601" t="s">
        <v>23</v>
      </c>
    </row>
    <row r="602" spans="1:9" x14ac:dyDescent="0.35">
      <c r="A602" t="s">
        <v>253</v>
      </c>
      <c r="B602" t="s">
        <v>4503</v>
      </c>
      <c r="C602" s="7">
        <v>0.91</v>
      </c>
      <c r="D602" s="7">
        <v>1100000</v>
      </c>
      <c r="E602" s="7">
        <v>0.97</v>
      </c>
      <c r="F602" s="7">
        <v>1100000</v>
      </c>
      <c r="G602" s="7">
        <v>0</v>
      </c>
      <c r="H602">
        <v>33</v>
      </c>
      <c r="I602" t="s">
        <v>23</v>
      </c>
    </row>
    <row r="603" spans="1:9" x14ac:dyDescent="0.35">
      <c r="A603" t="s">
        <v>339</v>
      </c>
      <c r="B603" t="s">
        <v>4503</v>
      </c>
      <c r="C603" s="7">
        <v>0.9</v>
      </c>
      <c r="D603" s="7">
        <v>703959</v>
      </c>
      <c r="E603" s="7">
        <v>0.91</v>
      </c>
      <c r="F603" s="7">
        <v>703959</v>
      </c>
      <c r="G603" s="7">
        <v>0</v>
      </c>
      <c r="H603">
        <v>34</v>
      </c>
      <c r="I603" t="s">
        <v>23</v>
      </c>
    </row>
    <row r="604" spans="1:9" x14ac:dyDescent="0.35">
      <c r="A604" t="s">
        <v>6071</v>
      </c>
      <c r="B604" t="s">
        <v>4503</v>
      </c>
      <c r="C604" s="7">
        <v>0.83</v>
      </c>
      <c r="D604" s="7">
        <v>1500000</v>
      </c>
      <c r="E604" s="7">
        <v>0.87</v>
      </c>
      <c r="F604" s="7">
        <v>1500000</v>
      </c>
      <c r="G604" s="7">
        <v>0</v>
      </c>
      <c r="H604">
        <v>35</v>
      </c>
      <c r="I604" t="s">
        <v>23</v>
      </c>
    </row>
    <row r="605" spans="1:9" x14ac:dyDescent="0.35">
      <c r="A605" t="s">
        <v>439</v>
      </c>
      <c r="B605" t="s">
        <v>4503</v>
      </c>
      <c r="C605" s="7">
        <v>0.79</v>
      </c>
      <c r="D605" s="7">
        <v>246642</v>
      </c>
      <c r="E605" s="7">
        <v>0.72</v>
      </c>
      <c r="F605" s="7">
        <v>246642</v>
      </c>
      <c r="G605" s="7">
        <v>0</v>
      </c>
      <c r="H605">
        <v>36</v>
      </c>
      <c r="I605" t="s">
        <v>23</v>
      </c>
    </row>
    <row r="606" spans="1:9" x14ac:dyDescent="0.35">
      <c r="A606" t="s">
        <v>564</v>
      </c>
      <c r="B606" t="s">
        <v>4503</v>
      </c>
      <c r="C606" s="7">
        <v>0.75</v>
      </c>
      <c r="D606" s="7">
        <v>899085</v>
      </c>
      <c r="E606" s="7">
        <v>0.65</v>
      </c>
      <c r="F606" s="7">
        <v>899085</v>
      </c>
      <c r="G606" s="7">
        <v>0</v>
      </c>
      <c r="H606">
        <v>37</v>
      </c>
      <c r="I606" t="s">
        <v>23</v>
      </c>
    </row>
    <row r="607" spans="1:9" x14ac:dyDescent="0.35">
      <c r="A607" t="s">
        <v>241</v>
      </c>
      <c r="B607" t="s">
        <v>4503</v>
      </c>
      <c r="C607" s="7">
        <v>0.74</v>
      </c>
      <c r="D607" s="7">
        <v>5000000</v>
      </c>
      <c r="E607" s="7">
        <v>0.78</v>
      </c>
      <c r="F607" s="7">
        <v>5000000</v>
      </c>
      <c r="G607" s="7">
        <v>0</v>
      </c>
      <c r="H607">
        <v>38</v>
      </c>
      <c r="I607" t="s">
        <v>23</v>
      </c>
    </row>
    <row r="608" spans="1:9" x14ac:dyDescent="0.35">
      <c r="A608" t="s">
        <v>1320</v>
      </c>
      <c r="B608" t="s">
        <v>4503</v>
      </c>
      <c r="C608" s="7">
        <v>0.73</v>
      </c>
      <c r="D608" s="7">
        <v>4504266</v>
      </c>
      <c r="E608" s="7">
        <v>0.67</v>
      </c>
      <c r="F608" s="7">
        <v>4504266</v>
      </c>
      <c r="G608" s="7">
        <v>0</v>
      </c>
      <c r="H608">
        <v>39</v>
      </c>
      <c r="I608" t="s">
        <v>23</v>
      </c>
    </row>
    <row r="609" spans="1:9" x14ac:dyDescent="0.35">
      <c r="A609" t="s">
        <v>321</v>
      </c>
      <c r="B609" t="s">
        <v>4503</v>
      </c>
      <c r="C609" s="7">
        <v>0.72</v>
      </c>
      <c r="D609" s="7">
        <v>2000000</v>
      </c>
      <c r="E609" s="7">
        <v>0.36</v>
      </c>
      <c r="F609" s="7">
        <v>1000000</v>
      </c>
      <c r="G609" s="7">
        <v>1000000</v>
      </c>
      <c r="H609">
        <v>40</v>
      </c>
      <c r="I609" t="s">
        <v>22</v>
      </c>
    </row>
    <row r="610" spans="1:9" x14ac:dyDescent="0.35">
      <c r="A610" t="s">
        <v>83</v>
      </c>
      <c r="B610" t="s">
        <v>4503</v>
      </c>
      <c r="C610" s="7">
        <v>0.69</v>
      </c>
      <c r="D610" s="7">
        <v>4100000</v>
      </c>
      <c r="E610" s="7">
        <v>0</v>
      </c>
      <c r="F610" s="7">
        <v>0</v>
      </c>
      <c r="G610" s="7">
        <v>4100000</v>
      </c>
      <c r="H610">
        <v>41</v>
      </c>
      <c r="I610" t="s">
        <v>32</v>
      </c>
    </row>
    <row r="611" spans="1:9" x14ac:dyDescent="0.35">
      <c r="A611" t="s">
        <v>269</v>
      </c>
      <c r="B611" t="s">
        <v>4503</v>
      </c>
      <c r="C611" s="7">
        <v>0.66</v>
      </c>
      <c r="D611" s="7">
        <v>1000000</v>
      </c>
      <c r="E611" s="7">
        <v>0.73</v>
      </c>
      <c r="F611" s="7">
        <v>1000000</v>
      </c>
      <c r="G611" s="7">
        <v>0</v>
      </c>
      <c r="H611">
        <v>42</v>
      </c>
      <c r="I611" t="s">
        <v>23</v>
      </c>
    </row>
    <row r="612" spans="1:9" x14ac:dyDescent="0.35">
      <c r="A612" t="s">
        <v>261</v>
      </c>
      <c r="B612" t="s">
        <v>4503</v>
      </c>
      <c r="C612" s="7">
        <v>0.61</v>
      </c>
      <c r="D612" s="7">
        <v>850000</v>
      </c>
      <c r="E612" s="7">
        <v>0.65</v>
      </c>
      <c r="F612" s="7">
        <v>850000</v>
      </c>
      <c r="G612" s="7">
        <v>0</v>
      </c>
      <c r="H612">
        <v>43</v>
      </c>
      <c r="I612" t="s">
        <v>23</v>
      </c>
    </row>
    <row r="613" spans="1:9" x14ac:dyDescent="0.35">
      <c r="A613" t="s">
        <v>284</v>
      </c>
      <c r="B613" t="s">
        <v>4503</v>
      </c>
      <c r="C613" s="7">
        <v>0.56999999999999995</v>
      </c>
      <c r="D613" s="7">
        <v>625000</v>
      </c>
      <c r="E613" s="7">
        <v>0.57999999999999996</v>
      </c>
      <c r="F613" s="7">
        <v>625000</v>
      </c>
      <c r="G613" s="7">
        <v>0</v>
      </c>
      <c r="H613">
        <v>44</v>
      </c>
      <c r="I613" t="s">
        <v>23</v>
      </c>
    </row>
    <row r="614" spans="1:9" x14ac:dyDescent="0.35">
      <c r="A614" t="s">
        <v>4385</v>
      </c>
      <c r="B614" t="s">
        <v>4503</v>
      </c>
      <c r="C614" s="7">
        <v>0.56000000000000005</v>
      </c>
      <c r="D614" s="7">
        <v>500000</v>
      </c>
      <c r="E614" s="7">
        <v>0.81</v>
      </c>
      <c r="F614" s="7">
        <v>696890</v>
      </c>
      <c r="G614" s="7">
        <v>-196890</v>
      </c>
      <c r="H614">
        <v>45</v>
      </c>
      <c r="I614" t="s">
        <v>25</v>
      </c>
    </row>
    <row r="615" spans="1:9" x14ac:dyDescent="0.35">
      <c r="A615" t="s">
        <v>509</v>
      </c>
      <c r="B615" t="s">
        <v>4503</v>
      </c>
      <c r="C615" s="7">
        <v>0.56000000000000005</v>
      </c>
      <c r="D615" s="7">
        <v>30337</v>
      </c>
      <c r="E615" s="7">
        <v>0.56999999999999995</v>
      </c>
      <c r="F615" s="7">
        <v>31147</v>
      </c>
      <c r="G615" s="7">
        <v>-810</v>
      </c>
      <c r="H615">
        <v>46</v>
      </c>
      <c r="I615" t="s">
        <v>25</v>
      </c>
    </row>
    <row r="616" spans="1:9" x14ac:dyDescent="0.35">
      <c r="A616" t="s">
        <v>307</v>
      </c>
      <c r="B616" t="s">
        <v>4503</v>
      </c>
      <c r="C616" s="7">
        <v>0.54</v>
      </c>
      <c r="D616" s="7">
        <v>6400000</v>
      </c>
      <c r="E616" s="7">
        <v>0.54</v>
      </c>
      <c r="F616" s="7">
        <v>6400000</v>
      </c>
      <c r="G616" s="7">
        <v>0</v>
      </c>
      <c r="H616">
        <v>47</v>
      </c>
      <c r="I616" t="s">
        <v>23</v>
      </c>
    </row>
    <row r="617" spans="1:9" x14ac:dyDescent="0.35">
      <c r="A617" t="s">
        <v>548</v>
      </c>
      <c r="B617" t="s">
        <v>4503</v>
      </c>
      <c r="C617" s="7">
        <v>0.53</v>
      </c>
      <c r="D617" s="7">
        <v>1017349</v>
      </c>
      <c r="E617" s="7">
        <v>0.56000000000000005</v>
      </c>
      <c r="F617" s="7">
        <v>1017349</v>
      </c>
      <c r="G617" s="7">
        <v>0</v>
      </c>
      <c r="H617">
        <v>48</v>
      </c>
      <c r="I617" t="s">
        <v>23</v>
      </c>
    </row>
    <row r="618" spans="1:9" x14ac:dyDescent="0.35">
      <c r="A618" t="s">
        <v>598</v>
      </c>
      <c r="B618" t="s">
        <v>4503</v>
      </c>
      <c r="C618" s="7">
        <v>0.53</v>
      </c>
      <c r="D618" s="7">
        <v>2820824</v>
      </c>
      <c r="E618" s="7">
        <v>0.55000000000000004</v>
      </c>
      <c r="F618" s="7">
        <v>2820824</v>
      </c>
      <c r="G618" s="7">
        <v>0</v>
      </c>
      <c r="H618">
        <v>49</v>
      </c>
      <c r="I618" t="s">
        <v>23</v>
      </c>
    </row>
    <row r="619" spans="1:9" x14ac:dyDescent="0.35">
      <c r="A619" t="s">
        <v>409</v>
      </c>
      <c r="B619" t="s">
        <v>4503</v>
      </c>
      <c r="C619" s="7">
        <v>0.5</v>
      </c>
      <c r="D619" s="7">
        <v>510716</v>
      </c>
      <c r="E619" s="7">
        <v>0.1</v>
      </c>
      <c r="F619" s="7">
        <v>100000</v>
      </c>
      <c r="G619" s="7">
        <v>410716</v>
      </c>
      <c r="H619">
        <v>50</v>
      </c>
      <c r="I619" t="s">
        <v>22</v>
      </c>
    </row>
    <row r="620" spans="1:9" x14ac:dyDescent="0.35">
      <c r="A620" t="s">
        <v>81</v>
      </c>
      <c r="B620" t="s">
        <v>4503</v>
      </c>
      <c r="C620" s="7">
        <v>0.49</v>
      </c>
      <c r="D620" s="7">
        <v>135000</v>
      </c>
      <c r="E620" s="7">
        <v>0.47</v>
      </c>
      <c r="F620" s="7">
        <v>135000</v>
      </c>
      <c r="G620" s="7">
        <v>0</v>
      </c>
      <c r="H620">
        <v>51</v>
      </c>
      <c r="I620" t="s">
        <v>23</v>
      </c>
    </row>
    <row r="621" spans="1:9" x14ac:dyDescent="0.35">
      <c r="A621" t="s">
        <v>337</v>
      </c>
      <c r="B621" t="s">
        <v>4503</v>
      </c>
      <c r="C621" s="7">
        <v>0.49</v>
      </c>
      <c r="D621" s="7">
        <v>550000</v>
      </c>
      <c r="E621" s="7">
        <v>0.5</v>
      </c>
      <c r="F621" s="7">
        <v>550000</v>
      </c>
      <c r="G621" s="7">
        <v>0</v>
      </c>
      <c r="H621">
        <v>52</v>
      </c>
      <c r="I621" t="s">
        <v>23</v>
      </c>
    </row>
    <row r="622" spans="1:9" x14ac:dyDescent="0.35">
      <c r="A622" t="s">
        <v>289</v>
      </c>
      <c r="B622" t="s">
        <v>4503</v>
      </c>
      <c r="C622" s="7">
        <v>0.47</v>
      </c>
      <c r="D622" s="7">
        <v>200097</v>
      </c>
      <c r="E622" s="7">
        <v>0.49</v>
      </c>
      <c r="F622" s="7">
        <v>200097</v>
      </c>
      <c r="G622" s="7">
        <v>0</v>
      </c>
      <c r="H622">
        <v>53</v>
      </c>
      <c r="I622" t="s">
        <v>23</v>
      </c>
    </row>
    <row r="623" spans="1:9" x14ac:dyDescent="0.35">
      <c r="A623" t="s">
        <v>394</v>
      </c>
      <c r="B623" t="s">
        <v>4503</v>
      </c>
      <c r="C623" s="7">
        <v>0.33</v>
      </c>
      <c r="D623" s="7">
        <v>10087890</v>
      </c>
      <c r="E623" s="7">
        <v>0.31</v>
      </c>
      <c r="F623" s="7">
        <v>10087890</v>
      </c>
      <c r="G623" s="7">
        <v>0</v>
      </c>
      <c r="H623">
        <v>54</v>
      </c>
      <c r="I623" t="s">
        <v>23</v>
      </c>
    </row>
    <row r="624" spans="1:9" x14ac:dyDescent="0.35">
      <c r="A624" t="s">
        <v>582</v>
      </c>
      <c r="B624" t="s">
        <v>4503</v>
      </c>
      <c r="C624" s="7">
        <v>0.32</v>
      </c>
      <c r="D624" s="7">
        <v>2236711</v>
      </c>
      <c r="E624" s="7">
        <v>0</v>
      </c>
      <c r="F624" s="7">
        <v>0</v>
      </c>
      <c r="G624" s="7">
        <v>2236711</v>
      </c>
      <c r="H624">
        <v>55</v>
      </c>
      <c r="I624" t="s">
        <v>32</v>
      </c>
    </row>
    <row r="625" spans="1:9" x14ac:dyDescent="0.35">
      <c r="A625" t="s">
        <v>255</v>
      </c>
      <c r="B625" t="s">
        <v>4503</v>
      </c>
      <c r="C625" s="7">
        <v>0.3</v>
      </c>
      <c r="D625" s="7">
        <v>5000000</v>
      </c>
      <c r="E625" s="7">
        <v>0.31</v>
      </c>
      <c r="F625" s="7">
        <v>5000000</v>
      </c>
      <c r="G625" s="7">
        <v>0</v>
      </c>
      <c r="H625">
        <v>56</v>
      </c>
      <c r="I625" t="s">
        <v>23</v>
      </c>
    </row>
    <row r="626" spans="1:9" x14ac:dyDescent="0.35">
      <c r="A626" t="s">
        <v>355</v>
      </c>
      <c r="B626" t="s">
        <v>4503</v>
      </c>
      <c r="C626" s="7">
        <v>0.26</v>
      </c>
      <c r="D626" s="7">
        <v>215540</v>
      </c>
      <c r="E626" s="7">
        <v>0.25</v>
      </c>
      <c r="F626" s="7">
        <v>215540</v>
      </c>
      <c r="G626" s="7">
        <v>0</v>
      </c>
      <c r="H626">
        <v>57</v>
      </c>
      <c r="I626" t="s">
        <v>23</v>
      </c>
    </row>
    <row r="627" spans="1:9" x14ac:dyDescent="0.35">
      <c r="A627" t="s">
        <v>349</v>
      </c>
      <c r="B627" t="s">
        <v>4503</v>
      </c>
      <c r="C627" s="7">
        <v>0.23</v>
      </c>
      <c r="D627" s="7">
        <v>201223</v>
      </c>
      <c r="E627" s="7">
        <v>0.24</v>
      </c>
      <c r="F627" s="7">
        <v>201223</v>
      </c>
      <c r="G627" s="7">
        <v>0</v>
      </c>
      <c r="H627">
        <v>58</v>
      </c>
      <c r="I627" t="s">
        <v>23</v>
      </c>
    </row>
    <row r="628" spans="1:9" x14ac:dyDescent="0.35">
      <c r="A628" t="s">
        <v>330</v>
      </c>
      <c r="B628" t="s">
        <v>4503</v>
      </c>
      <c r="C628" s="7">
        <v>0.21</v>
      </c>
      <c r="D628" s="7">
        <v>490729</v>
      </c>
      <c r="E628" s="7">
        <v>0</v>
      </c>
      <c r="F628" s="7">
        <v>0</v>
      </c>
      <c r="G628" s="7">
        <v>490729</v>
      </c>
      <c r="H628">
        <v>59</v>
      </c>
      <c r="I628" t="s">
        <v>32</v>
      </c>
    </row>
    <row r="629" spans="1:9" x14ac:dyDescent="0.35">
      <c r="A629" t="s">
        <v>195</v>
      </c>
      <c r="B629" t="s">
        <v>4503</v>
      </c>
      <c r="C629" s="7">
        <v>0</v>
      </c>
      <c r="D629" s="7">
        <v>0</v>
      </c>
      <c r="E629" s="7">
        <v>4.78</v>
      </c>
      <c r="F629" s="7">
        <v>2500315</v>
      </c>
      <c r="G629" s="7">
        <v>-2500315</v>
      </c>
      <c r="H629">
        <v>60</v>
      </c>
      <c r="I629" t="s">
        <v>25</v>
      </c>
    </row>
    <row r="630" spans="1:9" x14ac:dyDescent="0.35">
      <c r="A630" t="s">
        <v>447</v>
      </c>
      <c r="B630" t="s">
        <v>4503</v>
      </c>
      <c r="C630" s="7">
        <v>0</v>
      </c>
      <c r="D630" s="7">
        <v>0</v>
      </c>
      <c r="E630" s="7">
        <v>0</v>
      </c>
      <c r="F630" s="7">
        <v>0</v>
      </c>
      <c r="G630" s="7">
        <v>0</v>
      </c>
      <c r="H630">
        <v>61</v>
      </c>
      <c r="I630" t="s">
        <v>36</v>
      </c>
    </row>
    <row r="631" spans="1:9" x14ac:dyDescent="0.35">
      <c r="A631" t="s">
        <v>87</v>
      </c>
      <c r="B631" t="s">
        <v>4503</v>
      </c>
      <c r="C631" s="7">
        <v>0</v>
      </c>
      <c r="D631" s="7">
        <v>0</v>
      </c>
      <c r="E631" s="7">
        <v>0</v>
      </c>
      <c r="F631" s="7">
        <v>0</v>
      </c>
      <c r="G631" s="7">
        <v>0</v>
      </c>
      <c r="H631">
        <v>62</v>
      </c>
      <c r="I631" t="s">
        <v>36</v>
      </c>
    </row>
    <row r="632" spans="1:9" x14ac:dyDescent="0.35">
      <c r="A632" t="s">
        <v>637</v>
      </c>
      <c r="B632" t="s">
        <v>4503</v>
      </c>
      <c r="C632" s="7">
        <v>0</v>
      </c>
      <c r="D632" s="7">
        <v>0</v>
      </c>
      <c r="E632" s="7">
        <v>0</v>
      </c>
      <c r="F632" s="7">
        <v>0</v>
      </c>
      <c r="G632" s="7">
        <v>0</v>
      </c>
      <c r="H632">
        <v>63</v>
      </c>
      <c r="I632" t="s">
        <v>36</v>
      </c>
    </row>
    <row r="633" spans="1:9" x14ac:dyDescent="0.35">
      <c r="A633" t="s">
        <v>265</v>
      </c>
      <c r="B633" t="s">
        <v>4503</v>
      </c>
      <c r="C633" s="7">
        <v>0</v>
      </c>
      <c r="D633" s="7">
        <v>0</v>
      </c>
      <c r="E633" s="7">
        <v>0</v>
      </c>
      <c r="F633" s="7">
        <v>0</v>
      </c>
      <c r="G633" s="7">
        <v>0</v>
      </c>
      <c r="H633">
        <v>64</v>
      </c>
      <c r="I633" t="s">
        <v>36</v>
      </c>
    </row>
    <row r="634" spans="1:9" x14ac:dyDescent="0.35">
      <c r="A634" t="s">
        <v>332</v>
      </c>
      <c r="B634" t="s">
        <v>4503</v>
      </c>
      <c r="C634" s="7">
        <v>0</v>
      </c>
      <c r="D634" s="7">
        <v>0</v>
      </c>
      <c r="E634" s="7">
        <v>0.62</v>
      </c>
      <c r="F634" s="7">
        <v>1000188</v>
      </c>
      <c r="G634" s="7">
        <v>-1000188</v>
      </c>
      <c r="H634">
        <v>65</v>
      </c>
      <c r="I634" t="s">
        <v>25</v>
      </c>
    </row>
    <row r="635" spans="1:9" x14ac:dyDescent="0.35">
      <c r="A635" t="s">
        <v>103</v>
      </c>
      <c r="B635" t="s">
        <v>4503</v>
      </c>
      <c r="C635" s="7">
        <v>0</v>
      </c>
      <c r="D635" s="7">
        <v>0</v>
      </c>
      <c r="E635" s="7">
        <v>0</v>
      </c>
      <c r="F635" s="7">
        <v>0</v>
      </c>
      <c r="G635" s="7">
        <v>0</v>
      </c>
      <c r="H635">
        <v>66</v>
      </c>
      <c r="I635" t="s">
        <v>36</v>
      </c>
    </row>
    <row r="636" spans="1:9" x14ac:dyDescent="0.35">
      <c r="A636" t="s">
        <v>620</v>
      </c>
      <c r="B636" t="s">
        <v>4503</v>
      </c>
      <c r="C636" s="7">
        <v>0</v>
      </c>
      <c r="D636" s="7">
        <v>0</v>
      </c>
      <c r="E636" s="7">
        <v>0</v>
      </c>
      <c r="F636" s="7">
        <v>0</v>
      </c>
      <c r="G636" s="7">
        <v>0</v>
      </c>
      <c r="H636">
        <v>67</v>
      </c>
      <c r="I636" t="s">
        <v>36</v>
      </c>
    </row>
    <row r="637" spans="1:9" x14ac:dyDescent="0.35">
      <c r="A637" t="s">
        <v>263</v>
      </c>
      <c r="B637" t="s">
        <v>4503</v>
      </c>
      <c r="C637" s="7">
        <v>0</v>
      </c>
      <c r="D637" s="7">
        <v>0</v>
      </c>
      <c r="E637" s="7">
        <v>0.34</v>
      </c>
      <c r="F637" s="7">
        <v>759800</v>
      </c>
      <c r="G637" s="7">
        <v>-759800</v>
      </c>
      <c r="H637">
        <v>68</v>
      </c>
      <c r="I637" t="s">
        <v>25</v>
      </c>
    </row>
    <row r="638" spans="1:9" x14ac:dyDescent="0.35">
      <c r="A638" t="s">
        <v>297</v>
      </c>
      <c r="B638" t="s">
        <v>4503</v>
      </c>
      <c r="C638" s="7">
        <v>0</v>
      </c>
      <c r="D638" s="7">
        <v>0</v>
      </c>
      <c r="E638" s="7">
        <v>1.1200000000000001</v>
      </c>
      <c r="F638" s="7">
        <v>632333</v>
      </c>
      <c r="G638" s="7">
        <v>-632333</v>
      </c>
      <c r="H638">
        <v>69</v>
      </c>
      <c r="I638" t="s">
        <v>25</v>
      </c>
    </row>
    <row r="639" spans="1:9" x14ac:dyDescent="0.35">
      <c r="A639" t="s">
        <v>465</v>
      </c>
      <c r="B639" t="s">
        <v>4503</v>
      </c>
      <c r="C639" s="7">
        <v>0</v>
      </c>
      <c r="D639" s="7">
        <v>0</v>
      </c>
      <c r="E639" s="7">
        <v>0.51</v>
      </c>
      <c r="F639" s="7">
        <v>3139951</v>
      </c>
      <c r="G639" s="7">
        <v>-3139951</v>
      </c>
      <c r="H639">
        <v>70</v>
      </c>
      <c r="I639" t="s">
        <v>25</v>
      </c>
    </row>
    <row r="640" spans="1:9" x14ac:dyDescent="0.35">
      <c r="A640" t="s">
        <v>347</v>
      </c>
      <c r="B640" t="s">
        <v>4505</v>
      </c>
      <c r="C640" s="7">
        <v>2.92</v>
      </c>
      <c r="D640" s="7">
        <v>3267559</v>
      </c>
      <c r="E640" s="7">
        <v>3.25</v>
      </c>
      <c r="F640" s="7">
        <v>3267559</v>
      </c>
      <c r="G640" s="7">
        <v>0</v>
      </c>
      <c r="H640">
        <v>1</v>
      </c>
      <c r="I640" t="s">
        <v>23</v>
      </c>
    </row>
    <row r="641" spans="1:9" x14ac:dyDescent="0.35">
      <c r="A641" t="s">
        <v>61</v>
      </c>
      <c r="B641" t="s">
        <v>4505</v>
      </c>
      <c r="C641" s="7">
        <v>2.02</v>
      </c>
      <c r="D641" s="7">
        <v>4225000</v>
      </c>
      <c r="E641" s="7">
        <v>2.25</v>
      </c>
      <c r="F641" s="7">
        <v>4225000</v>
      </c>
      <c r="G641" s="7">
        <v>0</v>
      </c>
      <c r="H641">
        <v>2</v>
      </c>
      <c r="I641" t="s">
        <v>23</v>
      </c>
    </row>
    <row r="642" spans="1:9" x14ac:dyDescent="0.35">
      <c r="A642" t="s">
        <v>4383</v>
      </c>
      <c r="B642" t="s">
        <v>4505</v>
      </c>
      <c r="C642" s="7">
        <v>1.66</v>
      </c>
      <c r="D642" s="7">
        <v>3922401</v>
      </c>
      <c r="E642" s="7">
        <v>1.47</v>
      </c>
      <c r="F642" s="7">
        <v>3772401</v>
      </c>
      <c r="G642" s="7">
        <v>150000</v>
      </c>
      <c r="H642">
        <v>3</v>
      </c>
      <c r="I642" t="s">
        <v>22</v>
      </c>
    </row>
    <row r="643" spans="1:9" x14ac:dyDescent="0.35">
      <c r="A643" t="s">
        <v>515</v>
      </c>
      <c r="B643" t="s">
        <v>4505</v>
      </c>
      <c r="C643" s="7">
        <v>1.49</v>
      </c>
      <c r="D643" s="7">
        <v>4756932</v>
      </c>
      <c r="E643" s="7">
        <v>1.62</v>
      </c>
      <c r="F643" s="7">
        <v>4756932</v>
      </c>
      <c r="G643" s="7">
        <v>0</v>
      </c>
      <c r="H643">
        <v>4</v>
      </c>
      <c r="I643" t="s">
        <v>23</v>
      </c>
    </row>
    <row r="644" spans="1:9" x14ac:dyDescent="0.35">
      <c r="A644" t="s">
        <v>178</v>
      </c>
      <c r="B644" t="s">
        <v>4505</v>
      </c>
      <c r="C644" s="7">
        <v>1.37</v>
      </c>
      <c r="D644" s="7">
        <v>5763697</v>
      </c>
      <c r="E644" s="7">
        <v>1.31</v>
      </c>
      <c r="F644" s="7">
        <v>5763697</v>
      </c>
      <c r="G644" s="7">
        <v>0</v>
      </c>
      <c r="H644">
        <v>5</v>
      </c>
      <c r="I644" t="s">
        <v>23</v>
      </c>
    </row>
    <row r="645" spans="1:9" x14ac:dyDescent="0.35">
      <c r="A645" t="s">
        <v>806</v>
      </c>
      <c r="B645" t="s">
        <v>4505</v>
      </c>
      <c r="C645" s="7">
        <v>1.36</v>
      </c>
      <c r="D645" s="7">
        <v>1242965</v>
      </c>
      <c r="E645" s="7">
        <v>1.35</v>
      </c>
      <c r="F645" s="7">
        <v>1242965</v>
      </c>
      <c r="G645" s="7">
        <v>0</v>
      </c>
      <c r="H645">
        <v>6</v>
      </c>
      <c r="I645" t="s">
        <v>23</v>
      </c>
    </row>
    <row r="646" spans="1:9" x14ac:dyDescent="0.35">
      <c r="A646" t="s">
        <v>98</v>
      </c>
      <c r="B646" t="s">
        <v>4505</v>
      </c>
      <c r="C646" s="7">
        <v>1.23</v>
      </c>
      <c r="D646" s="7">
        <v>1583030</v>
      </c>
      <c r="E646" s="7">
        <v>1.23</v>
      </c>
      <c r="F646" s="7">
        <v>1583030</v>
      </c>
      <c r="G646" s="7">
        <v>0</v>
      </c>
      <c r="H646">
        <v>7</v>
      </c>
      <c r="I646" t="s">
        <v>23</v>
      </c>
    </row>
    <row r="647" spans="1:9" x14ac:dyDescent="0.35">
      <c r="A647" t="s">
        <v>789</v>
      </c>
      <c r="B647" t="s">
        <v>4505</v>
      </c>
      <c r="C647" s="7">
        <v>1.22</v>
      </c>
      <c r="D647" s="7">
        <v>2871106</v>
      </c>
      <c r="E647" s="7">
        <v>1.33</v>
      </c>
      <c r="F647" s="7">
        <v>2871106</v>
      </c>
      <c r="G647" s="7">
        <v>0</v>
      </c>
      <c r="H647">
        <v>8</v>
      </c>
      <c r="I647" t="s">
        <v>23</v>
      </c>
    </row>
    <row r="648" spans="1:9" x14ac:dyDescent="0.35">
      <c r="A648" t="s">
        <v>1360</v>
      </c>
      <c r="B648" t="s">
        <v>4505</v>
      </c>
      <c r="C648" s="7">
        <v>1.17</v>
      </c>
      <c r="D648" s="7">
        <v>873167</v>
      </c>
      <c r="E648" s="7">
        <v>1.1100000000000001</v>
      </c>
      <c r="F648" s="7">
        <v>873167</v>
      </c>
      <c r="G648" s="7">
        <v>0</v>
      </c>
      <c r="H648">
        <v>9</v>
      </c>
      <c r="I648" t="s">
        <v>23</v>
      </c>
    </row>
    <row r="649" spans="1:9" x14ac:dyDescent="0.35">
      <c r="A649" t="s">
        <v>570</v>
      </c>
      <c r="B649" t="s">
        <v>4505</v>
      </c>
      <c r="C649" s="7">
        <v>1.1599999999999999</v>
      </c>
      <c r="D649" s="7">
        <v>1134218</v>
      </c>
      <c r="E649" s="7">
        <v>1.22</v>
      </c>
      <c r="F649" s="7">
        <v>1134218</v>
      </c>
      <c r="G649" s="7">
        <v>0</v>
      </c>
      <c r="H649">
        <v>10</v>
      </c>
      <c r="I649" t="s">
        <v>23</v>
      </c>
    </row>
    <row r="650" spans="1:9" x14ac:dyDescent="0.35">
      <c r="A650" t="s">
        <v>596</v>
      </c>
      <c r="B650" t="s">
        <v>4505</v>
      </c>
      <c r="C650" s="7">
        <v>1.1499999999999999</v>
      </c>
      <c r="D650" s="7">
        <v>3265582</v>
      </c>
      <c r="E650" s="7">
        <v>1.22</v>
      </c>
      <c r="F650" s="7">
        <v>3265582</v>
      </c>
      <c r="G650" s="7">
        <v>0</v>
      </c>
      <c r="H650">
        <v>11</v>
      </c>
      <c r="I650" t="s">
        <v>23</v>
      </c>
    </row>
    <row r="651" spans="1:9" x14ac:dyDescent="0.35">
      <c r="A651" t="s">
        <v>277</v>
      </c>
      <c r="B651" t="s">
        <v>4505</v>
      </c>
      <c r="C651" s="7">
        <v>1.1499999999999999</v>
      </c>
      <c r="D651" s="7">
        <v>1000000</v>
      </c>
      <c r="E651" s="7">
        <v>1.19</v>
      </c>
      <c r="F651" s="7">
        <v>1000000</v>
      </c>
      <c r="G651" s="7">
        <v>0</v>
      </c>
      <c r="H651">
        <v>12</v>
      </c>
      <c r="I651" t="s">
        <v>23</v>
      </c>
    </row>
    <row r="652" spans="1:9" x14ac:dyDescent="0.35">
      <c r="A652" t="s">
        <v>854</v>
      </c>
      <c r="B652" t="s">
        <v>4505</v>
      </c>
      <c r="C652" s="7">
        <v>1.1399999999999999</v>
      </c>
      <c r="D652" s="7">
        <v>31745614</v>
      </c>
      <c r="E652" s="7">
        <v>1.24</v>
      </c>
      <c r="F652" s="7">
        <v>31745614</v>
      </c>
      <c r="G652" s="7">
        <v>0</v>
      </c>
      <c r="H652">
        <v>13</v>
      </c>
      <c r="I652" t="s">
        <v>23</v>
      </c>
    </row>
    <row r="653" spans="1:9" x14ac:dyDescent="0.35">
      <c r="A653" t="s">
        <v>6072</v>
      </c>
      <c r="B653" t="s">
        <v>4505</v>
      </c>
      <c r="C653" s="7">
        <v>1.1299999999999999</v>
      </c>
      <c r="D653" s="7">
        <v>614625</v>
      </c>
      <c r="E653" s="7">
        <v>1.24</v>
      </c>
      <c r="F653" s="7">
        <v>614625</v>
      </c>
      <c r="G653" s="7">
        <v>0</v>
      </c>
      <c r="H653">
        <v>14</v>
      </c>
      <c r="I653" t="s">
        <v>23</v>
      </c>
    </row>
    <row r="654" spans="1:9" x14ac:dyDescent="0.35">
      <c r="A654" t="s">
        <v>720</v>
      </c>
      <c r="B654" t="s">
        <v>4505</v>
      </c>
      <c r="C654" s="7">
        <v>1.1200000000000001</v>
      </c>
      <c r="D654" s="7">
        <v>3062071</v>
      </c>
      <c r="E654" s="7">
        <v>1.22</v>
      </c>
      <c r="F654" s="7">
        <v>3062071</v>
      </c>
      <c r="G654" s="7">
        <v>0</v>
      </c>
      <c r="H654">
        <v>15</v>
      </c>
      <c r="I654" t="s">
        <v>23</v>
      </c>
    </row>
    <row r="655" spans="1:9" x14ac:dyDescent="0.35">
      <c r="A655" t="s">
        <v>527</v>
      </c>
      <c r="B655" t="s">
        <v>4505</v>
      </c>
      <c r="C655" s="7">
        <v>1.1000000000000001</v>
      </c>
      <c r="D655" s="7">
        <v>36323195</v>
      </c>
      <c r="E655" s="7">
        <v>1</v>
      </c>
      <c r="F655" s="7">
        <v>36323195</v>
      </c>
      <c r="G655" s="7">
        <v>0</v>
      </c>
      <c r="H655">
        <v>16</v>
      </c>
      <c r="I655" t="s">
        <v>23</v>
      </c>
    </row>
    <row r="656" spans="1:9" x14ac:dyDescent="0.35">
      <c r="A656" t="s">
        <v>1068</v>
      </c>
      <c r="B656" t="s">
        <v>4505</v>
      </c>
      <c r="C656" s="7">
        <v>1.1000000000000001</v>
      </c>
      <c r="D656" s="7">
        <v>7161360</v>
      </c>
      <c r="E656" s="7">
        <v>0.93</v>
      </c>
      <c r="F656" s="7">
        <v>7161360</v>
      </c>
      <c r="G656" s="7">
        <v>0</v>
      </c>
      <c r="H656">
        <v>17</v>
      </c>
      <c r="I656" t="s">
        <v>23</v>
      </c>
    </row>
    <row r="657" spans="1:9" x14ac:dyDescent="0.35">
      <c r="A657" t="s">
        <v>165</v>
      </c>
      <c r="B657" t="s">
        <v>4505</v>
      </c>
      <c r="C657" s="7">
        <v>1.0900000000000001</v>
      </c>
      <c r="D657" s="7">
        <v>9291212</v>
      </c>
      <c r="E657" s="7">
        <v>1.1200000000000001</v>
      </c>
      <c r="F657" s="7">
        <v>9291212</v>
      </c>
      <c r="G657" s="7">
        <v>0</v>
      </c>
      <c r="H657">
        <v>18</v>
      </c>
      <c r="I657" t="s">
        <v>23</v>
      </c>
    </row>
    <row r="658" spans="1:9" x14ac:dyDescent="0.35">
      <c r="A658" t="s">
        <v>27</v>
      </c>
      <c r="B658" t="s">
        <v>4505</v>
      </c>
      <c r="C658" s="7">
        <v>1.06</v>
      </c>
      <c r="D658" s="7">
        <v>5866500</v>
      </c>
      <c r="E658" s="7">
        <v>0.8</v>
      </c>
      <c r="F658" s="7">
        <v>4466500</v>
      </c>
      <c r="G658" s="7">
        <v>1400000</v>
      </c>
      <c r="H658">
        <v>19</v>
      </c>
      <c r="I658" t="s">
        <v>22</v>
      </c>
    </row>
    <row r="659" spans="1:9" x14ac:dyDescent="0.35">
      <c r="A659" t="s">
        <v>745</v>
      </c>
      <c r="B659" t="s">
        <v>4505</v>
      </c>
      <c r="C659" s="7">
        <v>1.05</v>
      </c>
      <c r="D659" s="7">
        <v>2477151</v>
      </c>
      <c r="E659" s="7">
        <v>1.1599999999999999</v>
      </c>
      <c r="F659" s="7">
        <v>2477151</v>
      </c>
      <c r="G659" s="7">
        <v>0</v>
      </c>
      <c r="H659">
        <v>20</v>
      </c>
      <c r="I659" t="s">
        <v>23</v>
      </c>
    </row>
    <row r="660" spans="1:9" x14ac:dyDescent="0.35">
      <c r="A660" t="s">
        <v>88</v>
      </c>
      <c r="B660" t="s">
        <v>4505</v>
      </c>
      <c r="C660" s="7">
        <v>1.03</v>
      </c>
      <c r="D660" s="7">
        <v>6966784</v>
      </c>
      <c r="E660" s="7">
        <v>1.1200000000000001</v>
      </c>
      <c r="F660" s="7">
        <v>6966784</v>
      </c>
      <c r="G660" s="7">
        <v>0</v>
      </c>
      <c r="H660">
        <v>21</v>
      </c>
      <c r="I660" t="s">
        <v>23</v>
      </c>
    </row>
    <row r="661" spans="1:9" x14ac:dyDescent="0.35">
      <c r="A661" t="s">
        <v>1177</v>
      </c>
      <c r="B661" t="s">
        <v>4505</v>
      </c>
      <c r="C661" s="7">
        <v>1.02</v>
      </c>
      <c r="D661" s="7">
        <v>5328775</v>
      </c>
      <c r="E661" s="7">
        <v>0.92</v>
      </c>
      <c r="F661" s="7">
        <v>5328775</v>
      </c>
      <c r="G661" s="7">
        <v>0</v>
      </c>
      <c r="H661">
        <v>22</v>
      </c>
      <c r="I661" t="s">
        <v>23</v>
      </c>
    </row>
    <row r="662" spans="1:9" x14ac:dyDescent="0.35">
      <c r="A662" t="s">
        <v>647</v>
      </c>
      <c r="B662" t="s">
        <v>4505</v>
      </c>
      <c r="C662" s="7">
        <v>1.01</v>
      </c>
      <c r="D662" s="7">
        <v>2057744</v>
      </c>
      <c r="E662" s="7">
        <v>0.95</v>
      </c>
      <c r="F662" s="7">
        <v>2057744</v>
      </c>
      <c r="G662" s="7">
        <v>0</v>
      </c>
      <c r="H662">
        <v>23</v>
      </c>
      <c r="I662" t="s">
        <v>23</v>
      </c>
    </row>
    <row r="663" spans="1:9" x14ac:dyDescent="0.35">
      <c r="A663" t="s">
        <v>118</v>
      </c>
      <c r="B663" t="s">
        <v>4505</v>
      </c>
      <c r="C663" s="7">
        <v>1</v>
      </c>
      <c r="D663" s="7">
        <v>17000000</v>
      </c>
      <c r="E663" s="7">
        <v>1.01</v>
      </c>
      <c r="F663" s="7">
        <v>17000000</v>
      </c>
      <c r="G663" s="7">
        <v>0</v>
      </c>
      <c r="H663">
        <v>24</v>
      </c>
      <c r="I663" t="s">
        <v>23</v>
      </c>
    </row>
    <row r="664" spans="1:9" x14ac:dyDescent="0.35">
      <c r="A664" t="s">
        <v>297</v>
      </c>
      <c r="B664" t="s">
        <v>4505</v>
      </c>
      <c r="C664" s="7">
        <v>1</v>
      </c>
      <c r="D664" s="7">
        <v>1327472</v>
      </c>
      <c r="E664" s="7">
        <v>1.19</v>
      </c>
      <c r="F664" s="7">
        <v>1445297</v>
      </c>
      <c r="G664" s="7">
        <v>-117825</v>
      </c>
      <c r="H664">
        <v>25</v>
      </c>
      <c r="I664" t="s">
        <v>25</v>
      </c>
    </row>
    <row r="665" spans="1:9" x14ac:dyDescent="0.35">
      <c r="A665" t="s">
        <v>6073</v>
      </c>
      <c r="B665" t="s">
        <v>4505</v>
      </c>
      <c r="C665" s="7">
        <v>0.99</v>
      </c>
      <c r="D665" s="7">
        <v>11111066</v>
      </c>
      <c r="E665" s="7">
        <v>1.07</v>
      </c>
      <c r="F665" s="7">
        <v>11111066</v>
      </c>
      <c r="G665" s="7">
        <v>0</v>
      </c>
      <c r="H665">
        <v>26</v>
      </c>
      <c r="I665" t="s">
        <v>23</v>
      </c>
    </row>
    <row r="666" spans="1:9" x14ac:dyDescent="0.35">
      <c r="A666" t="s">
        <v>1291</v>
      </c>
      <c r="B666" t="s">
        <v>4505</v>
      </c>
      <c r="C666" s="7">
        <v>0.96</v>
      </c>
      <c r="D666" s="7">
        <v>4341762</v>
      </c>
      <c r="E666" s="7">
        <v>0.83</v>
      </c>
      <c r="F666" s="7">
        <v>4341762</v>
      </c>
      <c r="G666" s="7">
        <v>0</v>
      </c>
      <c r="H666">
        <v>27</v>
      </c>
      <c r="I666" t="s">
        <v>23</v>
      </c>
    </row>
    <row r="667" spans="1:9" x14ac:dyDescent="0.35">
      <c r="A667" t="s">
        <v>933</v>
      </c>
      <c r="B667" t="s">
        <v>4505</v>
      </c>
      <c r="C667" s="7">
        <v>0.95</v>
      </c>
      <c r="D667" s="7">
        <v>2670132</v>
      </c>
      <c r="E667" s="7">
        <v>1.04</v>
      </c>
      <c r="F667" s="7">
        <v>2670132</v>
      </c>
      <c r="G667" s="7">
        <v>0</v>
      </c>
      <c r="H667">
        <v>28</v>
      </c>
      <c r="I667" t="s">
        <v>23</v>
      </c>
    </row>
    <row r="668" spans="1:9" x14ac:dyDescent="0.35">
      <c r="A668" t="s">
        <v>925</v>
      </c>
      <c r="B668" t="s">
        <v>4505</v>
      </c>
      <c r="C668" s="7">
        <v>0.95</v>
      </c>
      <c r="D668" s="7">
        <v>10505030</v>
      </c>
      <c r="E668" s="7">
        <v>0.71</v>
      </c>
      <c r="F668" s="7">
        <v>10565418</v>
      </c>
      <c r="G668" s="7">
        <v>-60388</v>
      </c>
      <c r="H668">
        <v>29</v>
      </c>
      <c r="I668" t="s">
        <v>25</v>
      </c>
    </row>
    <row r="669" spans="1:9" x14ac:dyDescent="0.35">
      <c r="A669" t="s">
        <v>635</v>
      </c>
      <c r="B669" t="s">
        <v>4505</v>
      </c>
      <c r="C669" s="7">
        <v>0.94</v>
      </c>
      <c r="D669" s="7">
        <v>2228907</v>
      </c>
      <c r="E669" s="7">
        <v>0.84</v>
      </c>
      <c r="F669" s="7">
        <v>2228907</v>
      </c>
      <c r="G669" s="7">
        <v>0</v>
      </c>
      <c r="H669">
        <v>30</v>
      </c>
      <c r="I669" t="s">
        <v>23</v>
      </c>
    </row>
    <row r="670" spans="1:9" x14ac:dyDescent="0.35">
      <c r="A670" t="s">
        <v>885</v>
      </c>
      <c r="B670" t="s">
        <v>4505</v>
      </c>
      <c r="C670" s="7">
        <v>0.93</v>
      </c>
      <c r="D670" s="7">
        <v>596807</v>
      </c>
      <c r="E670" s="7">
        <v>0.92</v>
      </c>
      <c r="F670" s="7">
        <v>558026</v>
      </c>
      <c r="G670" s="7">
        <v>38781</v>
      </c>
      <c r="H670">
        <v>31</v>
      </c>
      <c r="I670" t="s">
        <v>22</v>
      </c>
    </row>
    <row r="671" spans="1:9" x14ac:dyDescent="0.35">
      <c r="A671" t="s">
        <v>716</v>
      </c>
      <c r="B671" t="s">
        <v>4505</v>
      </c>
      <c r="C671" s="7">
        <v>0.93</v>
      </c>
      <c r="D671" s="7">
        <v>3014222</v>
      </c>
      <c r="E671" s="7">
        <v>0.81</v>
      </c>
      <c r="F671" s="7">
        <v>3014222</v>
      </c>
      <c r="G671" s="7">
        <v>0</v>
      </c>
      <c r="H671">
        <v>32</v>
      </c>
      <c r="I671" t="s">
        <v>23</v>
      </c>
    </row>
    <row r="672" spans="1:9" x14ac:dyDescent="0.35">
      <c r="A672" t="s">
        <v>558</v>
      </c>
      <c r="B672" t="s">
        <v>4505</v>
      </c>
      <c r="C672" s="7">
        <v>0.93</v>
      </c>
      <c r="D672" s="7">
        <v>749511</v>
      </c>
      <c r="E672" s="7">
        <v>1.1100000000000001</v>
      </c>
      <c r="F672" s="7">
        <v>787244</v>
      </c>
      <c r="G672" s="7">
        <v>-37733</v>
      </c>
      <c r="H672">
        <v>33</v>
      </c>
      <c r="I672" t="s">
        <v>25</v>
      </c>
    </row>
    <row r="673" spans="1:9" x14ac:dyDescent="0.35">
      <c r="A673" t="s">
        <v>702</v>
      </c>
      <c r="B673" t="s">
        <v>4505</v>
      </c>
      <c r="C673" s="7">
        <v>0.92</v>
      </c>
      <c r="D673" s="7">
        <v>703759</v>
      </c>
      <c r="E673" s="7">
        <v>1.08</v>
      </c>
      <c r="F673" s="7">
        <v>703759</v>
      </c>
      <c r="G673" s="7">
        <v>0</v>
      </c>
      <c r="H673">
        <v>34</v>
      </c>
      <c r="I673" t="s">
        <v>23</v>
      </c>
    </row>
    <row r="674" spans="1:9" x14ac:dyDescent="0.35">
      <c r="A674" t="s">
        <v>544</v>
      </c>
      <c r="B674" t="s">
        <v>4505</v>
      </c>
      <c r="C674" s="7">
        <v>0.89</v>
      </c>
      <c r="D674" s="7">
        <v>7802836</v>
      </c>
      <c r="E674" s="7">
        <v>0.94</v>
      </c>
      <c r="F674" s="7">
        <v>8802836</v>
      </c>
      <c r="G674" s="7">
        <v>-1000000</v>
      </c>
      <c r="H674">
        <v>35</v>
      </c>
      <c r="I674" t="s">
        <v>25</v>
      </c>
    </row>
    <row r="675" spans="1:9" x14ac:dyDescent="0.35">
      <c r="A675" t="s">
        <v>5913</v>
      </c>
      <c r="B675" t="s">
        <v>4505</v>
      </c>
      <c r="C675" s="7">
        <v>0.89</v>
      </c>
      <c r="D675" s="7">
        <v>1851010</v>
      </c>
      <c r="E675" s="7">
        <v>0.87</v>
      </c>
      <c r="F675" s="7">
        <v>1851010</v>
      </c>
      <c r="G675" s="7">
        <v>0</v>
      </c>
      <c r="H675">
        <v>36</v>
      </c>
      <c r="I675" t="s">
        <v>23</v>
      </c>
    </row>
    <row r="676" spans="1:9" x14ac:dyDescent="0.35">
      <c r="A676" t="s">
        <v>1414</v>
      </c>
      <c r="B676" t="s">
        <v>4505</v>
      </c>
      <c r="C676" s="7">
        <v>0.85</v>
      </c>
      <c r="D676" s="7">
        <v>11275320</v>
      </c>
      <c r="E676" s="7">
        <v>0.87</v>
      </c>
      <c r="F676" s="7">
        <v>11275320</v>
      </c>
      <c r="G676" s="7">
        <v>0</v>
      </c>
      <c r="H676">
        <v>37</v>
      </c>
      <c r="I676" t="s">
        <v>23</v>
      </c>
    </row>
    <row r="677" spans="1:9" x14ac:dyDescent="0.35">
      <c r="A677" t="s">
        <v>154</v>
      </c>
      <c r="B677" t="s">
        <v>4505</v>
      </c>
      <c r="C677" s="7">
        <v>0.83</v>
      </c>
      <c r="D677" s="7">
        <v>7731899</v>
      </c>
      <c r="E677" s="7">
        <v>0.89</v>
      </c>
      <c r="F677" s="7">
        <v>7731899</v>
      </c>
      <c r="G677" s="7">
        <v>0</v>
      </c>
      <c r="H677">
        <v>38</v>
      </c>
      <c r="I677" t="s">
        <v>23</v>
      </c>
    </row>
    <row r="678" spans="1:9" x14ac:dyDescent="0.35">
      <c r="A678" t="s">
        <v>960</v>
      </c>
      <c r="B678" t="s">
        <v>4505</v>
      </c>
      <c r="C678" s="7">
        <v>0.82</v>
      </c>
      <c r="D678" s="7">
        <v>1637136</v>
      </c>
      <c r="E678" s="7">
        <v>0.83</v>
      </c>
      <c r="F678" s="7">
        <v>1637136</v>
      </c>
      <c r="G678" s="7">
        <v>0</v>
      </c>
      <c r="H678">
        <v>39</v>
      </c>
      <c r="I678" t="s">
        <v>23</v>
      </c>
    </row>
    <row r="679" spans="1:9" x14ac:dyDescent="0.35">
      <c r="A679" t="s">
        <v>704</v>
      </c>
      <c r="B679" t="s">
        <v>4505</v>
      </c>
      <c r="C679" s="7">
        <v>0.81</v>
      </c>
      <c r="D679" s="7">
        <v>2587622</v>
      </c>
      <c r="E679" s="7">
        <v>0.89</v>
      </c>
      <c r="F679" s="7">
        <v>2587622</v>
      </c>
      <c r="G679" s="7">
        <v>0</v>
      </c>
      <c r="H679">
        <v>40</v>
      </c>
      <c r="I679" t="s">
        <v>23</v>
      </c>
    </row>
    <row r="680" spans="1:9" x14ac:dyDescent="0.35">
      <c r="A680" t="s">
        <v>586</v>
      </c>
      <c r="B680" t="s">
        <v>4505</v>
      </c>
      <c r="C680" s="7">
        <v>0.8</v>
      </c>
      <c r="D680" s="7">
        <v>4293622</v>
      </c>
      <c r="E680" s="7">
        <v>0.89</v>
      </c>
      <c r="F680" s="7">
        <v>4293622</v>
      </c>
      <c r="G680" s="7">
        <v>0</v>
      </c>
      <c r="H680">
        <v>41</v>
      </c>
      <c r="I680" t="s">
        <v>23</v>
      </c>
    </row>
    <row r="681" spans="1:9" x14ac:dyDescent="0.35">
      <c r="A681" t="s">
        <v>175</v>
      </c>
      <c r="B681" t="s">
        <v>4505</v>
      </c>
      <c r="C681" s="7">
        <v>0.79</v>
      </c>
      <c r="D681" s="7">
        <v>5479394</v>
      </c>
      <c r="E681" s="7">
        <v>0.61</v>
      </c>
      <c r="F681" s="7">
        <v>5074047</v>
      </c>
      <c r="G681" s="7">
        <v>405347</v>
      </c>
      <c r="H681">
        <v>42</v>
      </c>
      <c r="I681" t="s">
        <v>22</v>
      </c>
    </row>
    <row r="682" spans="1:9" x14ac:dyDescent="0.35">
      <c r="A682" t="s">
        <v>6074</v>
      </c>
      <c r="B682" t="s">
        <v>4505</v>
      </c>
      <c r="C682" s="7">
        <v>0.78</v>
      </c>
      <c r="D682" s="7">
        <v>4152361</v>
      </c>
      <c r="E682" s="7">
        <v>0.85</v>
      </c>
      <c r="F682" s="7">
        <v>4152361</v>
      </c>
      <c r="G682" s="7">
        <v>0</v>
      </c>
      <c r="H682">
        <v>43</v>
      </c>
      <c r="I682" t="s">
        <v>23</v>
      </c>
    </row>
    <row r="683" spans="1:9" x14ac:dyDescent="0.35">
      <c r="A683" t="s">
        <v>1059</v>
      </c>
      <c r="B683" t="s">
        <v>4505</v>
      </c>
      <c r="C683" s="7">
        <v>0.78</v>
      </c>
      <c r="D683" s="7">
        <v>2835590</v>
      </c>
      <c r="E683" s="7">
        <v>0.76</v>
      </c>
      <c r="F683" s="7">
        <v>2835590</v>
      </c>
      <c r="G683" s="7">
        <v>0</v>
      </c>
      <c r="H683">
        <v>44</v>
      </c>
      <c r="I683" t="s">
        <v>23</v>
      </c>
    </row>
    <row r="684" spans="1:9" x14ac:dyDescent="0.35">
      <c r="A684" t="s">
        <v>869</v>
      </c>
      <c r="B684" t="s">
        <v>4505</v>
      </c>
      <c r="C684" s="7">
        <v>0.77</v>
      </c>
      <c r="D684" s="7">
        <v>1400000</v>
      </c>
      <c r="E684" s="7">
        <v>0.85</v>
      </c>
      <c r="F684" s="7">
        <v>1600000</v>
      </c>
      <c r="G684" s="7">
        <v>-200000</v>
      </c>
      <c r="H684">
        <v>45</v>
      </c>
      <c r="I684" t="s">
        <v>25</v>
      </c>
    </row>
    <row r="685" spans="1:9" x14ac:dyDescent="0.35">
      <c r="A685" t="s">
        <v>6071</v>
      </c>
      <c r="B685" t="s">
        <v>4505</v>
      </c>
      <c r="C685" s="7">
        <v>0.77</v>
      </c>
      <c r="D685" s="7">
        <v>3089054</v>
      </c>
      <c r="E685" s="7">
        <v>0.83</v>
      </c>
      <c r="F685" s="7">
        <v>3089054</v>
      </c>
      <c r="G685" s="7">
        <v>0</v>
      </c>
      <c r="H685">
        <v>46</v>
      </c>
      <c r="I685" t="s">
        <v>23</v>
      </c>
    </row>
    <row r="686" spans="1:9" x14ac:dyDescent="0.35">
      <c r="A686" t="s">
        <v>439</v>
      </c>
      <c r="B686" t="s">
        <v>4505</v>
      </c>
      <c r="C686" s="7">
        <v>0.76</v>
      </c>
      <c r="D686" s="7">
        <v>524769</v>
      </c>
      <c r="E686" s="7">
        <v>0.71</v>
      </c>
      <c r="F686" s="7">
        <v>524769</v>
      </c>
      <c r="G686" s="7">
        <v>0</v>
      </c>
      <c r="H686">
        <v>47</v>
      </c>
      <c r="I686" t="s">
        <v>23</v>
      </c>
    </row>
    <row r="687" spans="1:9" x14ac:dyDescent="0.35">
      <c r="A687" t="s">
        <v>849</v>
      </c>
      <c r="B687" t="s">
        <v>4505</v>
      </c>
      <c r="C687" s="7">
        <v>0.76</v>
      </c>
      <c r="D687" s="7">
        <v>5651471</v>
      </c>
      <c r="E687" s="7">
        <v>0.66</v>
      </c>
      <c r="F687" s="7">
        <v>5651471</v>
      </c>
      <c r="G687" s="7">
        <v>0</v>
      </c>
      <c r="H687">
        <v>48</v>
      </c>
      <c r="I687" t="s">
        <v>23</v>
      </c>
    </row>
    <row r="688" spans="1:9" x14ac:dyDescent="0.35">
      <c r="A688" t="s">
        <v>1223</v>
      </c>
      <c r="B688" t="s">
        <v>4505</v>
      </c>
      <c r="C688" s="7">
        <v>0.76</v>
      </c>
      <c r="D688" s="7">
        <v>5646469</v>
      </c>
      <c r="E688" s="7">
        <v>0.74</v>
      </c>
      <c r="F688" s="7">
        <v>5646469</v>
      </c>
      <c r="G688" s="7">
        <v>0</v>
      </c>
      <c r="H688">
        <v>49</v>
      </c>
      <c r="I688" t="s">
        <v>23</v>
      </c>
    </row>
    <row r="689" spans="1:9" x14ac:dyDescent="0.35">
      <c r="A689" t="s">
        <v>60</v>
      </c>
      <c r="B689" t="s">
        <v>4505</v>
      </c>
      <c r="C689" s="7">
        <v>0.74</v>
      </c>
      <c r="D689" s="7">
        <v>1000000</v>
      </c>
      <c r="E689" s="7">
        <v>0.8</v>
      </c>
      <c r="F689" s="7">
        <v>1000000</v>
      </c>
      <c r="G689" s="7">
        <v>0</v>
      </c>
      <c r="H689">
        <v>50</v>
      </c>
      <c r="I689" t="s">
        <v>23</v>
      </c>
    </row>
    <row r="690" spans="1:9" x14ac:dyDescent="0.35">
      <c r="A690" t="s">
        <v>889</v>
      </c>
      <c r="B690" t="s">
        <v>4505</v>
      </c>
      <c r="C690" s="7">
        <v>0.73</v>
      </c>
      <c r="D690" s="7">
        <v>1832502</v>
      </c>
      <c r="E690" s="7">
        <v>0.79</v>
      </c>
      <c r="F690" s="7">
        <v>1832502</v>
      </c>
      <c r="G690" s="7">
        <v>0</v>
      </c>
      <c r="H690">
        <v>51</v>
      </c>
      <c r="I690" t="s">
        <v>23</v>
      </c>
    </row>
    <row r="691" spans="1:9" x14ac:dyDescent="0.35">
      <c r="A691" t="s">
        <v>809</v>
      </c>
      <c r="B691" t="s">
        <v>4505</v>
      </c>
      <c r="C691" s="7">
        <v>0.72</v>
      </c>
      <c r="D691" s="7">
        <v>2014859</v>
      </c>
      <c r="E691" s="7">
        <v>0.7</v>
      </c>
      <c r="F691" s="7">
        <v>2014859</v>
      </c>
      <c r="G691" s="7">
        <v>0</v>
      </c>
      <c r="H691">
        <v>52</v>
      </c>
      <c r="I691" t="s">
        <v>23</v>
      </c>
    </row>
    <row r="692" spans="1:9" x14ac:dyDescent="0.35">
      <c r="A692" t="s">
        <v>1482</v>
      </c>
      <c r="B692" t="s">
        <v>4505</v>
      </c>
      <c r="C692" s="7">
        <v>0.69</v>
      </c>
      <c r="D692" s="7">
        <v>12975000</v>
      </c>
      <c r="E692" s="7">
        <v>0.51</v>
      </c>
      <c r="F692" s="7">
        <v>12975000</v>
      </c>
      <c r="G692" s="7">
        <v>0</v>
      </c>
      <c r="H692">
        <v>53</v>
      </c>
      <c r="I692" t="s">
        <v>23</v>
      </c>
    </row>
    <row r="693" spans="1:9" x14ac:dyDescent="0.35">
      <c r="A693" t="s">
        <v>993</v>
      </c>
      <c r="B693" t="s">
        <v>4505</v>
      </c>
      <c r="C693" s="7">
        <v>0.69</v>
      </c>
      <c r="D693" s="7">
        <v>10306033</v>
      </c>
      <c r="E693" s="7">
        <v>0.77</v>
      </c>
      <c r="F693" s="7">
        <v>10306033</v>
      </c>
      <c r="G693" s="7">
        <v>0</v>
      </c>
      <c r="H693">
        <v>54</v>
      </c>
      <c r="I693" t="s">
        <v>23</v>
      </c>
    </row>
    <row r="694" spans="1:9" x14ac:dyDescent="0.35">
      <c r="A694" t="s">
        <v>200</v>
      </c>
      <c r="B694" t="s">
        <v>4505</v>
      </c>
      <c r="C694" s="7">
        <v>0.69</v>
      </c>
      <c r="D694" s="7">
        <v>1283835</v>
      </c>
      <c r="E694" s="7">
        <v>0</v>
      </c>
      <c r="F694" s="7">
        <v>0</v>
      </c>
      <c r="G694" s="7">
        <v>1283835</v>
      </c>
      <c r="H694">
        <v>55</v>
      </c>
      <c r="I694" t="s">
        <v>32</v>
      </c>
    </row>
    <row r="695" spans="1:9" x14ac:dyDescent="0.35">
      <c r="A695" t="s">
        <v>4502</v>
      </c>
      <c r="B695" t="s">
        <v>4505</v>
      </c>
      <c r="C695" s="7">
        <v>0.69</v>
      </c>
      <c r="D695" s="7">
        <v>531460</v>
      </c>
      <c r="E695" s="7">
        <v>0.65</v>
      </c>
      <c r="F695" s="7">
        <v>471460</v>
      </c>
      <c r="G695" s="7">
        <v>60000</v>
      </c>
      <c r="H695">
        <v>56</v>
      </c>
      <c r="I695" t="s">
        <v>22</v>
      </c>
    </row>
    <row r="696" spans="1:9" x14ac:dyDescent="0.35">
      <c r="A696" t="s">
        <v>143</v>
      </c>
      <c r="B696" t="s">
        <v>4505</v>
      </c>
      <c r="C696" s="7">
        <v>0.68</v>
      </c>
      <c r="D696" s="7">
        <v>2167490</v>
      </c>
      <c r="E696" s="7">
        <v>0.57999999999999996</v>
      </c>
      <c r="F696" s="7">
        <v>2167490</v>
      </c>
      <c r="G696" s="7">
        <v>0</v>
      </c>
      <c r="H696">
        <v>57</v>
      </c>
      <c r="I696" t="s">
        <v>23</v>
      </c>
    </row>
    <row r="697" spans="1:9" x14ac:dyDescent="0.35">
      <c r="A697" t="s">
        <v>966</v>
      </c>
      <c r="B697" t="s">
        <v>4505</v>
      </c>
      <c r="C697" s="7">
        <v>0.67</v>
      </c>
      <c r="D697" s="7">
        <v>5381627</v>
      </c>
      <c r="E697" s="7">
        <v>0.46</v>
      </c>
      <c r="F697" s="7">
        <v>3897956</v>
      </c>
      <c r="G697" s="7">
        <v>1483671</v>
      </c>
      <c r="H697">
        <v>58</v>
      </c>
      <c r="I697" t="s">
        <v>22</v>
      </c>
    </row>
    <row r="698" spans="1:9" x14ac:dyDescent="0.35">
      <c r="A698" t="s">
        <v>620</v>
      </c>
      <c r="B698" t="s">
        <v>4505</v>
      </c>
      <c r="C698" s="7">
        <v>0.66</v>
      </c>
      <c r="D698" s="7">
        <v>549728</v>
      </c>
      <c r="E698" s="7">
        <v>0.76</v>
      </c>
      <c r="F698" s="7">
        <v>549728</v>
      </c>
      <c r="G698" s="7">
        <v>0</v>
      </c>
      <c r="H698">
        <v>59</v>
      </c>
      <c r="I698" t="s">
        <v>23</v>
      </c>
    </row>
    <row r="699" spans="1:9" x14ac:dyDescent="0.35">
      <c r="A699" t="s">
        <v>6075</v>
      </c>
      <c r="B699" t="s">
        <v>4505</v>
      </c>
      <c r="C699" s="7">
        <v>0.66</v>
      </c>
      <c r="D699" s="7">
        <v>3782542</v>
      </c>
      <c r="E699" s="7">
        <v>0.65</v>
      </c>
      <c r="F699" s="7">
        <v>3782542</v>
      </c>
      <c r="G699" s="7">
        <v>0</v>
      </c>
      <c r="H699">
        <v>60</v>
      </c>
      <c r="I699" t="s">
        <v>23</v>
      </c>
    </row>
    <row r="700" spans="1:9" x14ac:dyDescent="0.35">
      <c r="A700" t="s">
        <v>1398</v>
      </c>
      <c r="B700" t="s">
        <v>4505</v>
      </c>
      <c r="C700" s="7">
        <v>0.64</v>
      </c>
      <c r="D700" s="7">
        <v>14429132</v>
      </c>
      <c r="E700" s="7">
        <v>0.64</v>
      </c>
      <c r="F700" s="7">
        <v>14429132</v>
      </c>
      <c r="G700" s="7">
        <v>0</v>
      </c>
      <c r="H700">
        <v>61</v>
      </c>
      <c r="I700" t="s">
        <v>23</v>
      </c>
    </row>
    <row r="701" spans="1:9" x14ac:dyDescent="0.35">
      <c r="A701" t="s">
        <v>1488</v>
      </c>
      <c r="B701" t="s">
        <v>4505</v>
      </c>
      <c r="C701" s="7">
        <v>0.64</v>
      </c>
      <c r="D701" s="7">
        <v>4103779</v>
      </c>
      <c r="E701" s="7">
        <v>0.62</v>
      </c>
      <c r="F701" s="7">
        <v>4103779</v>
      </c>
      <c r="G701" s="7">
        <v>0</v>
      </c>
      <c r="H701">
        <v>62</v>
      </c>
      <c r="I701" t="s">
        <v>23</v>
      </c>
    </row>
    <row r="702" spans="1:9" x14ac:dyDescent="0.35">
      <c r="A702" t="s">
        <v>564</v>
      </c>
      <c r="B702" t="s">
        <v>4505</v>
      </c>
      <c r="C702" s="7">
        <v>0.64</v>
      </c>
      <c r="D702" s="7">
        <v>1696933</v>
      </c>
      <c r="E702" s="7">
        <v>0.25</v>
      </c>
      <c r="F702" s="7">
        <v>750000</v>
      </c>
      <c r="G702" s="7">
        <v>946933</v>
      </c>
      <c r="H702">
        <v>63</v>
      </c>
      <c r="I702" t="s">
        <v>22</v>
      </c>
    </row>
    <row r="703" spans="1:9" x14ac:dyDescent="0.35">
      <c r="A703" t="s">
        <v>6076</v>
      </c>
      <c r="B703" t="s">
        <v>4505</v>
      </c>
      <c r="C703" s="7">
        <v>0.63</v>
      </c>
      <c r="D703" s="7">
        <v>2960125</v>
      </c>
      <c r="E703" s="7">
        <v>0.64</v>
      </c>
      <c r="F703" s="7">
        <v>2960125</v>
      </c>
      <c r="G703" s="7">
        <v>0</v>
      </c>
      <c r="H703">
        <v>64</v>
      </c>
      <c r="I703" t="s">
        <v>23</v>
      </c>
    </row>
    <row r="704" spans="1:9" x14ac:dyDescent="0.35">
      <c r="A704" t="s">
        <v>568</v>
      </c>
      <c r="B704" t="s">
        <v>4505</v>
      </c>
      <c r="C704" s="7">
        <v>0.61</v>
      </c>
      <c r="D704" s="7">
        <v>913272</v>
      </c>
      <c r="E704" s="7">
        <v>0.65</v>
      </c>
      <c r="F704" s="7">
        <v>913272</v>
      </c>
      <c r="G704" s="7">
        <v>0</v>
      </c>
      <c r="H704">
        <v>65</v>
      </c>
      <c r="I704" t="s">
        <v>23</v>
      </c>
    </row>
    <row r="705" spans="1:9" x14ac:dyDescent="0.35">
      <c r="A705" t="s">
        <v>1512</v>
      </c>
      <c r="B705" t="s">
        <v>4505</v>
      </c>
      <c r="C705" s="7">
        <v>0.61</v>
      </c>
      <c r="D705" s="7">
        <v>1025591</v>
      </c>
      <c r="E705" s="7">
        <v>0.59</v>
      </c>
      <c r="F705" s="7">
        <v>1025591</v>
      </c>
      <c r="G705" s="7">
        <v>0</v>
      </c>
      <c r="H705">
        <v>66</v>
      </c>
      <c r="I705" t="s">
        <v>23</v>
      </c>
    </row>
    <row r="706" spans="1:9" x14ac:dyDescent="0.35">
      <c r="A706" t="s">
        <v>637</v>
      </c>
      <c r="B706" t="s">
        <v>4505</v>
      </c>
      <c r="C706" s="7">
        <v>0.6</v>
      </c>
      <c r="D706" s="7">
        <v>515079</v>
      </c>
      <c r="E706" s="7">
        <v>0.37</v>
      </c>
      <c r="F706" s="7">
        <v>316412</v>
      </c>
      <c r="G706" s="7">
        <v>198667</v>
      </c>
      <c r="H706">
        <v>67</v>
      </c>
      <c r="I706" t="s">
        <v>22</v>
      </c>
    </row>
    <row r="707" spans="1:9" x14ac:dyDescent="0.35">
      <c r="A707" t="s">
        <v>839</v>
      </c>
      <c r="B707" t="s">
        <v>4505</v>
      </c>
      <c r="C707" s="7">
        <v>0.59</v>
      </c>
      <c r="D707" s="7">
        <v>3203146</v>
      </c>
      <c r="E707" s="7">
        <v>0.42</v>
      </c>
      <c r="F707" s="7">
        <v>2523952</v>
      </c>
      <c r="G707" s="7">
        <v>679194</v>
      </c>
      <c r="H707">
        <v>68</v>
      </c>
      <c r="I707" t="s">
        <v>22</v>
      </c>
    </row>
    <row r="708" spans="1:9" x14ac:dyDescent="0.35">
      <c r="A708" t="s">
        <v>517</v>
      </c>
      <c r="B708" t="s">
        <v>4505</v>
      </c>
      <c r="C708" s="7">
        <v>0.57999999999999996</v>
      </c>
      <c r="D708" s="7">
        <v>1000000</v>
      </c>
      <c r="E708" s="7">
        <v>0.81</v>
      </c>
      <c r="F708" s="7">
        <v>1186502</v>
      </c>
      <c r="G708" s="7">
        <v>-186502</v>
      </c>
      <c r="H708">
        <v>69</v>
      </c>
      <c r="I708" t="s">
        <v>25</v>
      </c>
    </row>
    <row r="709" spans="1:9" x14ac:dyDescent="0.35">
      <c r="A709" t="s">
        <v>1173</v>
      </c>
      <c r="B709" t="s">
        <v>4505</v>
      </c>
      <c r="C709" s="7">
        <v>0.55000000000000004</v>
      </c>
      <c r="D709" s="7">
        <v>29299855</v>
      </c>
      <c r="E709" s="7">
        <v>0.57999999999999996</v>
      </c>
      <c r="F709" s="7">
        <v>29299855</v>
      </c>
      <c r="G709" s="7">
        <v>0</v>
      </c>
      <c r="H709">
        <v>70</v>
      </c>
      <c r="I709" t="s">
        <v>23</v>
      </c>
    </row>
    <row r="710" spans="1:9" x14ac:dyDescent="0.35">
      <c r="A710" t="s">
        <v>1322</v>
      </c>
      <c r="B710" t="s">
        <v>4505</v>
      </c>
      <c r="C710" s="7">
        <v>0.55000000000000004</v>
      </c>
      <c r="D710" s="7">
        <v>4211864</v>
      </c>
      <c r="E710" s="7">
        <v>0.61</v>
      </c>
      <c r="F710" s="7">
        <v>4211864</v>
      </c>
      <c r="G710" s="7">
        <v>0</v>
      </c>
      <c r="H710">
        <v>71</v>
      </c>
      <c r="I710" t="s">
        <v>23</v>
      </c>
    </row>
    <row r="711" spans="1:9" x14ac:dyDescent="0.35">
      <c r="A711" t="s">
        <v>761</v>
      </c>
      <c r="B711" t="s">
        <v>4505</v>
      </c>
      <c r="C711" s="7">
        <v>0.54</v>
      </c>
      <c r="D711" s="7">
        <v>15884563</v>
      </c>
      <c r="E711" s="7">
        <v>0.54</v>
      </c>
      <c r="F711" s="7">
        <v>15884563</v>
      </c>
      <c r="G711" s="7">
        <v>0</v>
      </c>
      <c r="H711">
        <v>72</v>
      </c>
      <c r="I711" t="s">
        <v>23</v>
      </c>
    </row>
    <row r="712" spans="1:9" x14ac:dyDescent="0.35">
      <c r="A712" t="s">
        <v>91</v>
      </c>
      <c r="B712" t="s">
        <v>4505</v>
      </c>
      <c r="C712" s="7">
        <v>0.54</v>
      </c>
      <c r="D712" s="7">
        <v>844730</v>
      </c>
      <c r="E712" s="7">
        <v>0.59</v>
      </c>
      <c r="F712" s="7">
        <v>844730</v>
      </c>
      <c r="G712" s="7">
        <v>0</v>
      </c>
      <c r="H712">
        <v>73</v>
      </c>
      <c r="I712" t="s">
        <v>23</v>
      </c>
    </row>
    <row r="713" spans="1:9" x14ac:dyDescent="0.35">
      <c r="A713" t="s">
        <v>871</v>
      </c>
      <c r="B713" t="s">
        <v>4505</v>
      </c>
      <c r="C713" s="7">
        <v>0.52</v>
      </c>
      <c r="D713" s="7">
        <v>459965</v>
      </c>
      <c r="E713" s="7">
        <v>0.51</v>
      </c>
      <c r="F713" s="7">
        <v>436257</v>
      </c>
      <c r="G713" s="7">
        <v>23708</v>
      </c>
      <c r="H713">
        <v>74</v>
      </c>
      <c r="I713" t="s">
        <v>22</v>
      </c>
    </row>
    <row r="714" spans="1:9" x14ac:dyDescent="0.35">
      <c r="A714" t="s">
        <v>5910</v>
      </c>
      <c r="B714" t="s">
        <v>4505</v>
      </c>
      <c r="C714" s="7">
        <v>0.5</v>
      </c>
      <c r="D714" s="7">
        <v>804264</v>
      </c>
      <c r="E714" s="7">
        <v>0.48</v>
      </c>
      <c r="F714" s="7">
        <v>804264</v>
      </c>
      <c r="G714" s="7">
        <v>0</v>
      </c>
      <c r="H714">
        <v>75</v>
      </c>
      <c r="I714" t="s">
        <v>23</v>
      </c>
    </row>
    <row r="715" spans="1:9" x14ac:dyDescent="0.35">
      <c r="A715" t="s">
        <v>6077</v>
      </c>
      <c r="B715" t="s">
        <v>4505</v>
      </c>
      <c r="C715" s="7">
        <v>0.5</v>
      </c>
      <c r="D715" s="7">
        <v>3926956</v>
      </c>
      <c r="E715" s="7">
        <v>0.52</v>
      </c>
      <c r="F715" s="7">
        <v>3926956</v>
      </c>
      <c r="G715" s="7">
        <v>0</v>
      </c>
      <c r="H715">
        <v>76</v>
      </c>
      <c r="I715" t="s">
        <v>23</v>
      </c>
    </row>
    <row r="716" spans="1:9" x14ac:dyDescent="0.35">
      <c r="A716" t="s">
        <v>174</v>
      </c>
      <c r="B716" t="s">
        <v>4505</v>
      </c>
      <c r="C716" s="7">
        <v>0.5</v>
      </c>
      <c r="D716" s="7">
        <v>2201214</v>
      </c>
      <c r="E716" s="7">
        <v>0.53</v>
      </c>
      <c r="F716" s="7">
        <v>2201214</v>
      </c>
      <c r="G716" s="7">
        <v>0</v>
      </c>
      <c r="H716">
        <v>77</v>
      </c>
      <c r="I716" t="s">
        <v>23</v>
      </c>
    </row>
    <row r="717" spans="1:9" x14ac:dyDescent="0.35">
      <c r="A717" t="s">
        <v>107</v>
      </c>
      <c r="B717" t="s">
        <v>4505</v>
      </c>
      <c r="C717" s="7">
        <v>0.48</v>
      </c>
      <c r="D717" s="7">
        <v>7290321</v>
      </c>
      <c r="E717" s="7">
        <v>0.42</v>
      </c>
      <c r="F717" s="7">
        <v>7290321</v>
      </c>
      <c r="G717" s="7">
        <v>0</v>
      </c>
      <c r="H717">
        <v>78</v>
      </c>
      <c r="I717" t="s">
        <v>23</v>
      </c>
    </row>
    <row r="718" spans="1:9" x14ac:dyDescent="0.35">
      <c r="A718" t="s">
        <v>170</v>
      </c>
      <c r="B718" t="s">
        <v>4505</v>
      </c>
      <c r="C718" s="7">
        <v>0.47</v>
      </c>
      <c r="D718" s="7">
        <v>3348310</v>
      </c>
      <c r="E718" s="7">
        <v>0.52</v>
      </c>
      <c r="F718" s="7">
        <v>3348310</v>
      </c>
      <c r="G718" s="7">
        <v>0</v>
      </c>
      <c r="H718">
        <v>79</v>
      </c>
      <c r="I718" t="s">
        <v>23</v>
      </c>
    </row>
    <row r="719" spans="1:9" x14ac:dyDescent="0.35">
      <c r="A719" t="s">
        <v>359</v>
      </c>
      <c r="B719" t="s">
        <v>4505</v>
      </c>
      <c r="C719" s="7">
        <v>0.47</v>
      </c>
      <c r="D719" s="7">
        <v>4074222</v>
      </c>
      <c r="E719" s="7">
        <v>0.7</v>
      </c>
      <c r="F719" s="7">
        <v>5664222</v>
      </c>
      <c r="G719" s="7">
        <v>-1590000</v>
      </c>
      <c r="H719">
        <v>80</v>
      </c>
      <c r="I719" t="s">
        <v>25</v>
      </c>
    </row>
    <row r="720" spans="1:9" x14ac:dyDescent="0.35">
      <c r="A720" t="s">
        <v>865</v>
      </c>
      <c r="B720" t="s">
        <v>4505</v>
      </c>
      <c r="C720" s="7">
        <v>0.47</v>
      </c>
      <c r="D720" s="7">
        <v>2007672</v>
      </c>
      <c r="E720" s="7">
        <v>0.49</v>
      </c>
      <c r="F720" s="7">
        <v>2007672</v>
      </c>
      <c r="G720" s="7">
        <v>0</v>
      </c>
      <c r="H720">
        <v>81</v>
      </c>
      <c r="I720" t="s">
        <v>23</v>
      </c>
    </row>
    <row r="721" spans="1:9" x14ac:dyDescent="0.35">
      <c r="A721" t="s">
        <v>998</v>
      </c>
      <c r="B721" t="s">
        <v>4505</v>
      </c>
      <c r="C721" s="7">
        <v>0.47</v>
      </c>
      <c r="D721" s="7">
        <v>3571429</v>
      </c>
      <c r="E721" s="7">
        <v>0.44</v>
      </c>
      <c r="F721" s="7">
        <v>3571429</v>
      </c>
      <c r="G721" s="7">
        <v>0</v>
      </c>
      <c r="H721">
        <v>82</v>
      </c>
      <c r="I721" t="s">
        <v>23</v>
      </c>
    </row>
    <row r="722" spans="1:9" x14ac:dyDescent="0.35">
      <c r="A722" t="s">
        <v>1026</v>
      </c>
      <c r="B722" t="s">
        <v>4505</v>
      </c>
      <c r="C722" s="7">
        <v>0.46</v>
      </c>
      <c r="D722" s="7">
        <v>326882</v>
      </c>
      <c r="E722" s="7">
        <v>0.41</v>
      </c>
      <c r="F722" s="7">
        <v>326882</v>
      </c>
      <c r="G722" s="7">
        <v>0</v>
      </c>
      <c r="H722">
        <v>83</v>
      </c>
      <c r="I722" t="s">
        <v>23</v>
      </c>
    </row>
    <row r="723" spans="1:9" x14ac:dyDescent="0.35">
      <c r="A723" t="s">
        <v>1342</v>
      </c>
      <c r="B723" t="s">
        <v>4505</v>
      </c>
      <c r="C723" s="7">
        <v>0.46</v>
      </c>
      <c r="D723" s="7">
        <v>2100416</v>
      </c>
      <c r="E723" s="7">
        <v>0.45</v>
      </c>
      <c r="F723" s="7">
        <v>2100416</v>
      </c>
      <c r="G723" s="7">
        <v>0</v>
      </c>
      <c r="H723">
        <v>84</v>
      </c>
      <c r="I723" t="s">
        <v>23</v>
      </c>
    </row>
    <row r="724" spans="1:9" x14ac:dyDescent="0.35">
      <c r="A724" t="s">
        <v>582</v>
      </c>
      <c r="B724" t="s">
        <v>4505</v>
      </c>
      <c r="C724" s="7">
        <v>0.45</v>
      </c>
      <c r="D724" s="7">
        <v>6998113</v>
      </c>
      <c r="E724" s="7">
        <v>0</v>
      </c>
      <c r="F724" s="7">
        <v>0</v>
      </c>
      <c r="G724" s="7">
        <v>6998113</v>
      </c>
      <c r="H724">
        <v>85</v>
      </c>
      <c r="I724" t="s">
        <v>32</v>
      </c>
    </row>
    <row r="725" spans="1:9" x14ac:dyDescent="0.35">
      <c r="A725" t="s">
        <v>1160</v>
      </c>
      <c r="B725" t="s">
        <v>4505</v>
      </c>
      <c r="C725" s="7">
        <v>0.44</v>
      </c>
      <c r="D725" s="7">
        <v>4444775</v>
      </c>
      <c r="E725" s="7">
        <v>0.43</v>
      </c>
      <c r="F725" s="7">
        <v>4444775</v>
      </c>
      <c r="G725" s="7">
        <v>0</v>
      </c>
      <c r="H725">
        <v>86</v>
      </c>
      <c r="I725" t="s">
        <v>23</v>
      </c>
    </row>
    <row r="726" spans="1:9" x14ac:dyDescent="0.35">
      <c r="A726" t="s">
        <v>1219</v>
      </c>
      <c r="B726" t="s">
        <v>4505</v>
      </c>
      <c r="C726" s="7">
        <v>0.43</v>
      </c>
      <c r="D726" s="7">
        <v>6754925</v>
      </c>
      <c r="E726" s="7">
        <v>0.42</v>
      </c>
      <c r="F726" s="7">
        <v>6754925</v>
      </c>
      <c r="G726" s="7">
        <v>0</v>
      </c>
      <c r="H726">
        <v>87</v>
      </c>
      <c r="I726" t="s">
        <v>23</v>
      </c>
    </row>
    <row r="727" spans="1:9" x14ac:dyDescent="0.35">
      <c r="A727" t="s">
        <v>1247</v>
      </c>
      <c r="B727" t="s">
        <v>4505</v>
      </c>
      <c r="C727" s="7">
        <v>0.43</v>
      </c>
      <c r="D727" s="7">
        <v>691000</v>
      </c>
      <c r="E727" s="7">
        <v>0.48</v>
      </c>
      <c r="F727" s="7">
        <v>691000</v>
      </c>
      <c r="G727" s="7">
        <v>0</v>
      </c>
      <c r="H727">
        <v>88</v>
      </c>
      <c r="I727" t="s">
        <v>23</v>
      </c>
    </row>
    <row r="728" spans="1:9" x14ac:dyDescent="0.35">
      <c r="A728" t="s">
        <v>1480</v>
      </c>
      <c r="B728" t="s">
        <v>4505</v>
      </c>
      <c r="C728" s="7">
        <v>0.42</v>
      </c>
      <c r="D728" s="7">
        <v>6681267</v>
      </c>
      <c r="E728" s="7">
        <v>0.41</v>
      </c>
      <c r="F728" s="7">
        <v>6681267</v>
      </c>
      <c r="G728" s="7">
        <v>0</v>
      </c>
      <c r="H728">
        <v>89</v>
      </c>
      <c r="I728" t="s">
        <v>23</v>
      </c>
    </row>
    <row r="729" spans="1:9" x14ac:dyDescent="0.35">
      <c r="A729" t="s">
        <v>841</v>
      </c>
      <c r="B729" t="s">
        <v>4505</v>
      </c>
      <c r="C729" s="7">
        <v>0.41</v>
      </c>
      <c r="D729" s="7">
        <v>2232891</v>
      </c>
      <c r="E729" s="7">
        <v>0.53</v>
      </c>
      <c r="F729" s="7">
        <v>3000000</v>
      </c>
      <c r="G729" s="7">
        <v>-767109</v>
      </c>
      <c r="H729">
        <v>90</v>
      </c>
      <c r="I729" t="s">
        <v>25</v>
      </c>
    </row>
    <row r="730" spans="1:9" x14ac:dyDescent="0.35">
      <c r="A730" t="s">
        <v>301</v>
      </c>
      <c r="B730" t="s">
        <v>4505</v>
      </c>
      <c r="C730" s="7">
        <v>0.4</v>
      </c>
      <c r="D730" s="7">
        <v>3000000</v>
      </c>
      <c r="E730" s="7">
        <v>0.4</v>
      </c>
      <c r="F730" s="7">
        <v>3000000</v>
      </c>
      <c r="G730" s="7">
        <v>0</v>
      </c>
      <c r="H730">
        <v>91</v>
      </c>
      <c r="I730" t="s">
        <v>23</v>
      </c>
    </row>
    <row r="731" spans="1:9" x14ac:dyDescent="0.35">
      <c r="A731" t="s">
        <v>700</v>
      </c>
      <c r="B731" t="s">
        <v>4505</v>
      </c>
      <c r="C731" s="7">
        <v>0.4</v>
      </c>
      <c r="D731" s="7">
        <v>196342</v>
      </c>
      <c r="E731" s="7">
        <v>0.38</v>
      </c>
      <c r="F731" s="7">
        <v>177342</v>
      </c>
      <c r="G731" s="7">
        <v>19000</v>
      </c>
      <c r="H731">
        <v>92</v>
      </c>
      <c r="I731" t="s">
        <v>22</v>
      </c>
    </row>
    <row r="732" spans="1:9" x14ac:dyDescent="0.35">
      <c r="A732" t="s">
        <v>1654</v>
      </c>
      <c r="B732" t="s">
        <v>4505</v>
      </c>
      <c r="C732" s="7">
        <v>0.4</v>
      </c>
      <c r="D732" s="7">
        <v>3088051</v>
      </c>
      <c r="E732" s="7">
        <v>0.42</v>
      </c>
      <c r="F732" s="7">
        <v>3088051</v>
      </c>
      <c r="G732" s="7">
        <v>0</v>
      </c>
      <c r="H732">
        <v>93</v>
      </c>
      <c r="I732" t="s">
        <v>23</v>
      </c>
    </row>
    <row r="733" spans="1:9" x14ac:dyDescent="0.35">
      <c r="A733" t="s">
        <v>891</v>
      </c>
      <c r="B733" t="s">
        <v>4505</v>
      </c>
      <c r="C733" s="7">
        <v>0.39</v>
      </c>
      <c r="D733" s="7">
        <v>655571</v>
      </c>
      <c r="E733" s="7">
        <v>0.38</v>
      </c>
      <c r="F733" s="7">
        <v>655571</v>
      </c>
      <c r="G733" s="7">
        <v>0</v>
      </c>
      <c r="H733">
        <v>94</v>
      </c>
      <c r="I733" t="s">
        <v>23</v>
      </c>
    </row>
    <row r="734" spans="1:9" x14ac:dyDescent="0.35">
      <c r="A734" t="s">
        <v>1545</v>
      </c>
      <c r="B734" t="s">
        <v>4505</v>
      </c>
      <c r="C734" s="7">
        <v>0.38</v>
      </c>
      <c r="D734" s="7">
        <v>421691</v>
      </c>
      <c r="E734" s="7">
        <v>0.38</v>
      </c>
      <c r="F734" s="7">
        <v>421691</v>
      </c>
      <c r="G734" s="7">
        <v>0</v>
      </c>
      <c r="H734">
        <v>95</v>
      </c>
      <c r="I734" t="s">
        <v>23</v>
      </c>
    </row>
    <row r="735" spans="1:9" x14ac:dyDescent="0.35">
      <c r="A735" t="s">
        <v>142</v>
      </c>
      <c r="B735" t="s">
        <v>4505</v>
      </c>
      <c r="C735" s="7">
        <v>0.36</v>
      </c>
      <c r="D735" s="7">
        <v>1627157</v>
      </c>
      <c r="E735" s="7">
        <v>0.38</v>
      </c>
      <c r="F735" s="7">
        <v>1627157</v>
      </c>
      <c r="G735" s="7">
        <v>0</v>
      </c>
      <c r="H735">
        <v>96</v>
      </c>
      <c r="I735" t="s">
        <v>23</v>
      </c>
    </row>
    <row r="736" spans="1:9" x14ac:dyDescent="0.35">
      <c r="A736" t="s">
        <v>263</v>
      </c>
      <c r="B736" t="s">
        <v>4505</v>
      </c>
      <c r="C736" s="7">
        <v>0.36</v>
      </c>
      <c r="D736" s="7">
        <v>1891723</v>
      </c>
      <c r="E736" s="7">
        <v>0.39</v>
      </c>
      <c r="F736" s="7">
        <v>1891723</v>
      </c>
      <c r="G736" s="7">
        <v>0</v>
      </c>
      <c r="H736">
        <v>97</v>
      </c>
      <c r="I736" t="s">
        <v>23</v>
      </c>
    </row>
    <row r="737" spans="1:9" x14ac:dyDescent="0.35">
      <c r="A737" t="s">
        <v>747</v>
      </c>
      <c r="B737" t="s">
        <v>4505</v>
      </c>
      <c r="C737" s="7">
        <v>0.35</v>
      </c>
      <c r="D737" s="7">
        <v>4389471</v>
      </c>
      <c r="E737" s="7">
        <v>0.37</v>
      </c>
      <c r="F737" s="7">
        <v>4389471</v>
      </c>
      <c r="G737" s="7">
        <v>0</v>
      </c>
      <c r="H737">
        <v>98</v>
      </c>
      <c r="I737" t="s">
        <v>23</v>
      </c>
    </row>
    <row r="738" spans="1:9" x14ac:dyDescent="0.35">
      <c r="A738" t="s">
        <v>1388</v>
      </c>
      <c r="B738" t="s">
        <v>4505</v>
      </c>
      <c r="C738" s="7">
        <v>0.35</v>
      </c>
      <c r="D738" s="7">
        <v>4041828</v>
      </c>
      <c r="E738" s="7">
        <v>0.38</v>
      </c>
      <c r="F738" s="7">
        <v>4041828</v>
      </c>
      <c r="G738" s="7">
        <v>0</v>
      </c>
      <c r="H738">
        <v>99</v>
      </c>
      <c r="I738" t="s">
        <v>23</v>
      </c>
    </row>
    <row r="739" spans="1:9" x14ac:dyDescent="0.35">
      <c r="A739" t="s">
        <v>1567</v>
      </c>
      <c r="B739" t="s">
        <v>4505</v>
      </c>
      <c r="C739" s="7">
        <v>0.35</v>
      </c>
      <c r="D739" s="7">
        <v>1637734</v>
      </c>
      <c r="E739" s="7">
        <v>0.36</v>
      </c>
      <c r="F739" s="7">
        <v>1637734</v>
      </c>
      <c r="G739" s="7">
        <v>0</v>
      </c>
      <c r="H739">
        <v>100</v>
      </c>
      <c r="I739" t="s">
        <v>23</v>
      </c>
    </row>
    <row r="740" spans="1:9" x14ac:dyDescent="0.35">
      <c r="A740" t="s">
        <v>1623</v>
      </c>
      <c r="B740" t="s">
        <v>4505</v>
      </c>
      <c r="C740" s="7">
        <v>0.34</v>
      </c>
      <c r="D740" s="7">
        <v>9393640</v>
      </c>
      <c r="E740" s="7">
        <v>0.28000000000000003</v>
      </c>
      <c r="F740" s="7">
        <v>9393640</v>
      </c>
      <c r="G740" s="7">
        <v>0</v>
      </c>
      <c r="H740">
        <v>101</v>
      </c>
      <c r="I740" t="s">
        <v>23</v>
      </c>
    </row>
    <row r="741" spans="1:9" x14ac:dyDescent="0.35">
      <c r="A741" t="s">
        <v>95</v>
      </c>
      <c r="B741" t="s">
        <v>4505</v>
      </c>
      <c r="C741" s="7">
        <v>0.34</v>
      </c>
      <c r="D741" s="7">
        <v>1029484</v>
      </c>
      <c r="E741" s="7">
        <v>0</v>
      </c>
      <c r="F741" s="7">
        <v>0</v>
      </c>
      <c r="G741" s="7">
        <v>1029484</v>
      </c>
      <c r="H741">
        <v>102</v>
      </c>
      <c r="I741" t="s">
        <v>32</v>
      </c>
    </row>
    <row r="742" spans="1:9" x14ac:dyDescent="0.35">
      <c r="A742" t="s">
        <v>655</v>
      </c>
      <c r="B742" t="s">
        <v>4505</v>
      </c>
      <c r="C742" s="7">
        <v>0.34</v>
      </c>
      <c r="D742" s="7">
        <v>468936</v>
      </c>
      <c r="E742" s="7">
        <v>0.35</v>
      </c>
      <c r="F742" s="7">
        <v>468936</v>
      </c>
      <c r="G742" s="7">
        <v>0</v>
      </c>
      <c r="H742">
        <v>103</v>
      </c>
      <c r="I742" t="s">
        <v>23</v>
      </c>
    </row>
    <row r="743" spans="1:9" x14ac:dyDescent="0.35">
      <c r="A743" t="s">
        <v>906</v>
      </c>
      <c r="B743" t="s">
        <v>4505</v>
      </c>
      <c r="C743" s="7">
        <v>0.33</v>
      </c>
      <c r="D743" s="7">
        <v>3282291</v>
      </c>
      <c r="E743" s="7">
        <v>0.34</v>
      </c>
      <c r="F743" s="7">
        <v>3282291</v>
      </c>
      <c r="G743" s="7">
        <v>0</v>
      </c>
      <c r="H743">
        <v>104</v>
      </c>
      <c r="I743" t="s">
        <v>23</v>
      </c>
    </row>
    <row r="744" spans="1:9" x14ac:dyDescent="0.35">
      <c r="A744" t="s">
        <v>459</v>
      </c>
      <c r="B744" t="s">
        <v>4505</v>
      </c>
      <c r="C744" s="7">
        <v>0.33</v>
      </c>
      <c r="D744" s="7">
        <v>26553</v>
      </c>
      <c r="E744" s="7">
        <v>0.35</v>
      </c>
      <c r="F744" s="7">
        <v>26553</v>
      </c>
      <c r="G744" s="7">
        <v>0</v>
      </c>
      <c r="H744">
        <v>105</v>
      </c>
      <c r="I744" t="s">
        <v>23</v>
      </c>
    </row>
    <row r="745" spans="1:9" x14ac:dyDescent="0.35">
      <c r="A745" t="s">
        <v>879</v>
      </c>
      <c r="B745" t="s">
        <v>4505</v>
      </c>
      <c r="C745" s="7">
        <v>0.32</v>
      </c>
      <c r="D745" s="7">
        <v>2240862</v>
      </c>
      <c r="E745" s="7">
        <v>0.32</v>
      </c>
      <c r="F745" s="7">
        <v>2240862</v>
      </c>
      <c r="G745" s="7">
        <v>0</v>
      </c>
      <c r="H745">
        <v>106</v>
      </c>
      <c r="I745" t="s">
        <v>23</v>
      </c>
    </row>
    <row r="746" spans="1:9" x14ac:dyDescent="0.35">
      <c r="A746" t="s">
        <v>1492</v>
      </c>
      <c r="B746" t="s">
        <v>4505</v>
      </c>
      <c r="C746" s="7">
        <v>0.32</v>
      </c>
      <c r="D746" s="7">
        <v>1510190</v>
      </c>
      <c r="E746" s="7">
        <v>0.34</v>
      </c>
      <c r="F746" s="7">
        <v>1510190</v>
      </c>
      <c r="G746" s="7">
        <v>0</v>
      </c>
      <c r="H746">
        <v>107</v>
      </c>
      <c r="I746" t="s">
        <v>23</v>
      </c>
    </row>
    <row r="747" spans="1:9" x14ac:dyDescent="0.35">
      <c r="A747" t="s">
        <v>873</v>
      </c>
      <c r="B747" t="s">
        <v>4505</v>
      </c>
      <c r="C747" s="7">
        <v>0.31</v>
      </c>
      <c r="D747" s="7">
        <v>1804467</v>
      </c>
      <c r="E747" s="7">
        <v>0.35</v>
      </c>
      <c r="F747" s="7">
        <v>1804467</v>
      </c>
      <c r="G747" s="7">
        <v>0</v>
      </c>
      <c r="H747">
        <v>108</v>
      </c>
      <c r="I747" t="s">
        <v>23</v>
      </c>
    </row>
    <row r="748" spans="1:9" x14ac:dyDescent="0.35">
      <c r="A748" t="s">
        <v>1453</v>
      </c>
      <c r="B748" t="s">
        <v>4505</v>
      </c>
      <c r="C748" s="7">
        <v>0.31</v>
      </c>
      <c r="D748" s="7">
        <v>1778165</v>
      </c>
      <c r="E748" s="7">
        <v>0.28999999999999998</v>
      </c>
      <c r="F748" s="7">
        <v>1778165</v>
      </c>
      <c r="G748" s="7">
        <v>0</v>
      </c>
      <c r="H748">
        <v>109</v>
      </c>
      <c r="I748" t="s">
        <v>23</v>
      </c>
    </row>
    <row r="749" spans="1:9" x14ac:dyDescent="0.35">
      <c r="A749" t="s">
        <v>1203</v>
      </c>
      <c r="B749" t="s">
        <v>4505</v>
      </c>
      <c r="C749" s="7">
        <v>0.31</v>
      </c>
      <c r="D749" s="7">
        <v>2211438</v>
      </c>
      <c r="E749" s="7">
        <v>0.31</v>
      </c>
      <c r="F749" s="7">
        <v>2211438</v>
      </c>
      <c r="G749" s="7">
        <v>0</v>
      </c>
      <c r="H749">
        <v>110</v>
      </c>
      <c r="I749" t="s">
        <v>23</v>
      </c>
    </row>
    <row r="750" spans="1:9" x14ac:dyDescent="0.35">
      <c r="A750" t="s">
        <v>900</v>
      </c>
      <c r="B750" t="s">
        <v>4505</v>
      </c>
      <c r="C750" s="7">
        <v>0.31</v>
      </c>
      <c r="D750" s="7">
        <v>11099364</v>
      </c>
      <c r="E750" s="7">
        <v>0.31</v>
      </c>
      <c r="F750" s="7">
        <v>11099364</v>
      </c>
      <c r="G750" s="7">
        <v>0</v>
      </c>
      <c r="H750">
        <v>111</v>
      </c>
      <c r="I750" t="s">
        <v>23</v>
      </c>
    </row>
    <row r="751" spans="1:9" x14ac:dyDescent="0.35">
      <c r="A751" t="s">
        <v>6078</v>
      </c>
      <c r="B751" t="s">
        <v>4505</v>
      </c>
      <c r="C751" s="7">
        <v>0.31</v>
      </c>
      <c r="D751" s="7">
        <v>859438</v>
      </c>
      <c r="E751" s="7">
        <v>0.31</v>
      </c>
      <c r="F751" s="7">
        <v>859438</v>
      </c>
      <c r="G751" s="7">
        <v>0</v>
      </c>
      <c r="H751">
        <v>112</v>
      </c>
      <c r="I751" t="s">
        <v>23</v>
      </c>
    </row>
    <row r="752" spans="1:9" x14ac:dyDescent="0.35">
      <c r="A752" t="s">
        <v>1282</v>
      </c>
      <c r="B752" t="s">
        <v>4505</v>
      </c>
      <c r="C752" s="7">
        <v>0.31</v>
      </c>
      <c r="D752" s="7">
        <v>288000</v>
      </c>
      <c r="E752" s="7">
        <v>0.22</v>
      </c>
      <c r="F752" s="7">
        <v>288000</v>
      </c>
      <c r="G752" s="7">
        <v>0</v>
      </c>
      <c r="H752">
        <v>113</v>
      </c>
      <c r="I752" t="s">
        <v>23</v>
      </c>
    </row>
    <row r="753" spans="1:9" x14ac:dyDescent="0.35">
      <c r="A753" t="s">
        <v>4504</v>
      </c>
      <c r="B753" t="s">
        <v>4505</v>
      </c>
      <c r="C753" s="7">
        <v>0.3</v>
      </c>
      <c r="D753" s="7">
        <v>674214</v>
      </c>
      <c r="E753" s="7">
        <v>0</v>
      </c>
      <c r="F753" s="7">
        <v>0</v>
      </c>
      <c r="G753" s="7">
        <v>674214</v>
      </c>
      <c r="H753">
        <v>114</v>
      </c>
      <c r="I753" t="s">
        <v>32</v>
      </c>
    </row>
    <row r="754" spans="1:9" x14ac:dyDescent="0.35">
      <c r="A754" t="s">
        <v>4384</v>
      </c>
      <c r="B754" t="s">
        <v>4505</v>
      </c>
      <c r="C754" s="7">
        <v>0.3</v>
      </c>
      <c r="D754" s="7">
        <v>2658753</v>
      </c>
      <c r="E754" s="7">
        <v>0</v>
      </c>
      <c r="F754" s="7">
        <v>0</v>
      </c>
      <c r="G754" s="7">
        <v>2658753</v>
      </c>
      <c r="H754">
        <v>115</v>
      </c>
      <c r="I754" t="s">
        <v>32</v>
      </c>
    </row>
    <row r="755" spans="1:9" x14ac:dyDescent="0.35">
      <c r="A755" t="s">
        <v>804</v>
      </c>
      <c r="B755" t="s">
        <v>4505</v>
      </c>
      <c r="C755" s="7">
        <v>0.3</v>
      </c>
      <c r="D755" s="7">
        <v>1333202</v>
      </c>
      <c r="E755" s="7">
        <v>0.31</v>
      </c>
      <c r="F755" s="7">
        <v>1333202</v>
      </c>
      <c r="G755" s="7">
        <v>0</v>
      </c>
      <c r="H755">
        <v>116</v>
      </c>
      <c r="I755" t="s">
        <v>23</v>
      </c>
    </row>
    <row r="756" spans="1:9" x14ac:dyDescent="0.35">
      <c r="A756" t="s">
        <v>1533</v>
      </c>
      <c r="B756" t="s">
        <v>4505</v>
      </c>
      <c r="C756" s="7">
        <v>0.3</v>
      </c>
      <c r="D756" s="7">
        <v>1152910</v>
      </c>
      <c r="E756" s="7">
        <v>0.33</v>
      </c>
      <c r="F756" s="7">
        <v>1152910</v>
      </c>
      <c r="G756" s="7">
        <v>0</v>
      </c>
      <c r="H756">
        <v>117</v>
      </c>
      <c r="I756" t="s">
        <v>23</v>
      </c>
    </row>
    <row r="757" spans="1:9" x14ac:dyDescent="0.35">
      <c r="A757" t="s">
        <v>749</v>
      </c>
      <c r="B757" t="s">
        <v>4505</v>
      </c>
      <c r="C757" s="7">
        <v>0.28999999999999998</v>
      </c>
      <c r="D757" s="7">
        <v>1760544</v>
      </c>
      <c r="E757" s="7">
        <v>0.27</v>
      </c>
      <c r="F757" s="7">
        <v>1760544</v>
      </c>
      <c r="G757" s="7">
        <v>0</v>
      </c>
      <c r="H757">
        <v>118</v>
      </c>
      <c r="I757" t="s">
        <v>23</v>
      </c>
    </row>
    <row r="758" spans="1:9" x14ac:dyDescent="0.35">
      <c r="A758" t="s">
        <v>1443</v>
      </c>
      <c r="B758" t="s">
        <v>4505</v>
      </c>
      <c r="C758" s="7">
        <v>0.28000000000000003</v>
      </c>
      <c r="D758" s="7">
        <v>890918</v>
      </c>
      <c r="E758" s="7">
        <v>0.32</v>
      </c>
      <c r="F758" s="7">
        <v>890918</v>
      </c>
      <c r="G758" s="7">
        <v>0</v>
      </c>
      <c r="H758">
        <v>119</v>
      </c>
      <c r="I758" t="s">
        <v>23</v>
      </c>
    </row>
    <row r="759" spans="1:9" x14ac:dyDescent="0.35">
      <c r="A759" t="s">
        <v>5908</v>
      </c>
      <c r="B759" t="s">
        <v>4505</v>
      </c>
      <c r="C759" s="7">
        <v>0.28000000000000003</v>
      </c>
      <c r="D759" s="7">
        <v>500000</v>
      </c>
      <c r="E759" s="7">
        <v>0.28000000000000003</v>
      </c>
      <c r="F759" s="7">
        <v>500000</v>
      </c>
      <c r="G759" s="7">
        <v>0</v>
      </c>
      <c r="H759">
        <v>120</v>
      </c>
      <c r="I759" t="s">
        <v>23</v>
      </c>
    </row>
    <row r="760" spans="1:9" x14ac:dyDescent="0.35">
      <c r="A760" t="s">
        <v>5909</v>
      </c>
      <c r="B760" t="s">
        <v>4505</v>
      </c>
      <c r="C760" s="7">
        <v>0.28000000000000003</v>
      </c>
      <c r="D760" s="7">
        <v>1495838</v>
      </c>
      <c r="E760" s="7">
        <v>0.3</v>
      </c>
      <c r="F760" s="7">
        <v>1495838</v>
      </c>
      <c r="G760" s="7">
        <v>0</v>
      </c>
      <c r="H760">
        <v>121</v>
      </c>
      <c r="I760" t="s">
        <v>23</v>
      </c>
    </row>
    <row r="761" spans="1:9" x14ac:dyDescent="0.35">
      <c r="A761" t="s">
        <v>1138</v>
      </c>
      <c r="B761" t="s">
        <v>4505</v>
      </c>
      <c r="C761" s="7">
        <v>0.27</v>
      </c>
      <c r="D761" s="7">
        <v>11111066</v>
      </c>
      <c r="E761" s="7">
        <v>0.28999999999999998</v>
      </c>
      <c r="F761" s="7">
        <v>11111066</v>
      </c>
      <c r="G761" s="7">
        <v>0</v>
      </c>
      <c r="H761">
        <v>122</v>
      </c>
      <c r="I761" t="s">
        <v>23</v>
      </c>
    </row>
    <row r="762" spans="1:9" x14ac:dyDescent="0.35">
      <c r="A762" t="s">
        <v>355</v>
      </c>
      <c r="B762" t="s">
        <v>4505</v>
      </c>
      <c r="C762" s="7">
        <v>0.27</v>
      </c>
      <c r="D762" s="7">
        <v>500319</v>
      </c>
      <c r="E762" s="7">
        <v>0.5</v>
      </c>
      <c r="F762" s="7">
        <v>922102</v>
      </c>
      <c r="G762" s="7">
        <v>-421783</v>
      </c>
      <c r="H762">
        <v>123</v>
      </c>
      <c r="I762" t="s">
        <v>25</v>
      </c>
    </row>
    <row r="763" spans="1:9" x14ac:dyDescent="0.35">
      <c r="A763" t="s">
        <v>1789</v>
      </c>
      <c r="B763" t="s">
        <v>4505</v>
      </c>
      <c r="C763" s="7">
        <v>0.27</v>
      </c>
      <c r="D763" s="7">
        <v>8697917</v>
      </c>
      <c r="E763" s="7">
        <v>0.21</v>
      </c>
      <c r="F763" s="7">
        <v>8697917</v>
      </c>
      <c r="G763" s="7">
        <v>0</v>
      </c>
      <c r="H763">
        <v>124</v>
      </c>
      <c r="I763" t="s">
        <v>23</v>
      </c>
    </row>
    <row r="764" spans="1:9" x14ac:dyDescent="0.35">
      <c r="A764" t="s">
        <v>375</v>
      </c>
      <c r="B764" t="s">
        <v>4505</v>
      </c>
      <c r="C764" s="7">
        <v>0.27</v>
      </c>
      <c r="D764" s="7">
        <v>11000000</v>
      </c>
      <c r="E764" s="7">
        <v>0.26</v>
      </c>
      <c r="F764" s="7">
        <v>11000000</v>
      </c>
      <c r="G764" s="7">
        <v>0</v>
      </c>
      <c r="H764">
        <v>125</v>
      </c>
      <c r="I764" t="s">
        <v>23</v>
      </c>
    </row>
    <row r="765" spans="1:9" x14ac:dyDescent="0.35">
      <c r="A765" t="s">
        <v>1863</v>
      </c>
      <c r="B765" t="s">
        <v>4505</v>
      </c>
      <c r="C765" s="7">
        <v>0.26</v>
      </c>
      <c r="D765" s="7">
        <v>2425852</v>
      </c>
      <c r="E765" s="7">
        <v>0.24</v>
      </c>
      <c r="F765" s="7">
        <v>2425852</v>
      </c>
      <c r="G765" s="7">
        <v>0</v>
      </c>
      <c r="H765">
        <v>126</v>
      </c>
      <c r="I765" t="s">
        <v>23</v>
      </c>
    </row>
    <row r="766" spans="1:9" x14ac:dyDescent="0.35">
      <c r="A766" t="s">
        <v>753</v>
      </c>
      <c r="B766" t="s">
        <v>4505</v>
      </c>
      <c r="C766" s="7">
        <v>0.26</v>
      </c>
      <c r="D766" s="7">
        <v>1509548</v>
      </c>
      <c r="E766" s="7">
        <v>0.27</v>
      </c>
      <c r="F766" s="7">
        <v>1509548</v>
      </c>
      <c r="G766" s="7">
        <v>0</v>
      </c>
      <c r="H766">
        <v>127</v>
      </c>
      <c r="I766" t="s">
        <v>23</v>
      </c>
    </row>
    <row r="767" spans="1:9" x14ac:dyDescent="0.35">
      <c r="A767" t="s">
        <v>1215</v>
      </c>
      <c r="B767" t="s">
        <v>4505</v>
      </c>
      <c r="C767" s="7">
        <v>0.26</v>
      </c>
      <c r="D767" s="7">
        <v>1882205</v>
      </c>
      <c r="E767" s="7">
        <v>0.25</v>
      </c>
      <c r="F767" s="7">
        <v>1882205</v>
      </c>
      <c r="G767" s="7">
        <v>0</v>
      </c>
      <c r="H767">
        <v>128</v>
      </c>
      <c r="I767" t="s">
        <v>23</v>
      </c>
    </row>
    <row r="768" spans="1:9" x14ac:dyDescent="0.35">
      <c r="A768" t="s">
        <v>920</v>
      </c>
      <c r="B768" t="s">
        <v>4505</v>
      </c>
      <c r="C768" s="7">
        <v>0.26</v>
      </c>
      <c r="D768" s="7">
        <v>1193042</v>
      </c>
      <c r="E768" s="7">
        <v>0.28999999999999998</v>
      </c>
      <c r="F768" s="7">
        <v>1193042</v>
      </c>
      <c r="G768" s="7">
        <v>0</v>
      </c>
      <c r="H768">
        <v>129</v>
      </c>
      <c r="I768" t="s">
        <v>23</v>
      </c>
    </row>
    <row r="769" spans="1:9" x14ac:dyDescent="0.35">
      <c r="A769" t="s">
        <v>751</v>
      </c>
      <c r="B769" t="s">
        <v>4505</v>
      </c>
      <c r="C769" s="7">
        <v>0.25</v>
      </c>
      <c r="D769" s="7">
        <v>5919207</v>
      </c>
      <c r="E769" s="7">
        <v>0.22</v>
      </c>
      <c r="F769" s="7">
        <v>5919207</v>
      </c>
      <c r="G769" s="7">
        <v>0</v>
      </c>
      <c r="H769">
        <v>130</v>
      </c>
      <c r="I769" t="s">
        <v>23</v>
      </c>
    </row>
    <row r="770" spans="1:9" x14ac:dyDescent="0.35">
      <c r="A770" t="s">
        <v>1559</v>
      </c>
      <c r="B770" t="s">
        <v>4505</v>
      </c>
      <c r="C770" s="7">
        <v>0.25</v>
      </c>
      <c r="D770" s="7">
        <v>2346009</v>
      </c>
      <c r="E770" s="7">
        <v>0.27</v>
      </c>
      <c r="F770" s="7">
        <v>2346009</v>
      </c>
      <c r="G770" s="7">
        <v>0</v>
      </c>
      <c r="H770">
        <v>131</v>
      </c>
      <c r="I770" t="s">
        <v>23</v>
      </c>
    </row>
    <row r="771" spans="1:9" x14ac:dyDescent="0.35">
      <c r="A771" t="s">
        <v>1328</v>
      </c>
      <c r="B771" t="s">
        <v>4505</v>
      </c>
      <c r="C771" s="7">
        <v>0.25</v>
      </c>
      <c r="D771" s="7">
        <v>2744559</v>
      </c>
      <c r="E771" s="7">
        <v>0.28000000000000003</v>
      </c>
      <c r="F771" s="7">
        <v>2744559</v>
      </c>
      <c r="G771" s="7">
        <v>0</v>
      </c>
      <c r="H771">
        <v>132</v>
      </c>
      <c r="I771" t="s">
        <v>23</v>
      </c>
    </row>
    <row r="772" spans="1:9" x14ac:dyDescent="0.35">
      <c r="A772" t="s">
        <v>1839</v>
      </c>
      <c r="B772" t="s">
        <v>4505</v>
      </c>
      <c r="C772" s="7">
        <v>0.24</v>
      </c>
      <c r="D772" s="7">
        <v>706958</v>
      </c>
      <c r="E772" s="7">
        <v>0.24</v>
      </c>
      <c r="F772" s="7">
        <v>706958</v>
      </c>
      <c r="G772" s="7">
        <v>0</v>
      </c>
      <c r="H772">
        <v>133</v>
      </c>
      <c r="I772" t="s">
        <v>23</v>
      </c>
    </row>
    <row r="773" spans="1:9" x14ac:dyDescent="0.35">
      <c r="A773" t="s">
        <v>731</v>
      </c>
      <c r="B773" t="s">
        <v>4505</v>
      </c>
      <c r="C773" s="7">
        <v>0.24</v>
      </c>
      <c r="D773" s="7">
        <v>772042</v>
      </c>
      <c r="E773" s="7">
        <v>0.24</v>
      </c>
      <c r="F773" s="7">
        <v>772042</v>
      </c>
      <c r="G773" s="7">
        <v>0</v>
      </c>
      <c r="H773">
        <v>134</v>
      </c>
      <c r="I773" t="s">
        <v>23</v>
      </c>
    </row>
    <row r="774" spans="1:9" x14ac:dyDescent="0.35">
      <c r="A774" t="s">
        <v>977</v>
      </c>
      <c r="B774" t="s">
        <v>4505</v>
      </c>
      <c r="C774" s="7">
        <v>0.24</v>
      </c>
      <c r="D774" s="7">
        <v>2787855</v>
      </c>
      <c r="E774" s="7">
        <v>0.25</v>
      </c>
      <c r="F774" s="7">
        <v>2787855</v>
      </c>
      <c r="G774" s="7">
        <v>0</v>
      </c>
      <c r="H774">
        <v>135</v>
      </c>
      <c r="I774" t="s">
        <v>23</v>
      </c>
    </row>
    <row r="775" spans="1:9" x14ac:dyDescent="0.35">
      <c r="A775" t="s">
        <v>729</v>
      </c>
      <c r="B775" t="s">
        <v>4505</v>
      </c>
      <c r="C775" s="7">
        <v>0.24</v>
      </c>
      <c r="D775" s="7">
        <v>1297468</v>
      </c>
      <c r="E775" s="7">
        <v>0.19</v>
      </c>
      <c r="F775" s="7">
        <v>1124667</v>
      </c>
      <c r="G775" s="7">
        <v>172801</v>
      </c>
      <c r="H775">
        <v>136</v>
      </c>
      <c r="I775" t="s">
        <v>22</v>
      </c>
    </row>
    <row r="776" spans="1:9" x14ac:dyDescent="0.35">
      <c r="A776" t="s">
        <v>904</v>
      </c>
      <c r="B776" t="s">
        <v>4505</v>
      </c>
      <c r="C776" s="7">
        <v>0.24</v>
      </c>
      <c r="D776" s="7">
        <v>764851</v>
      </c>
      <c r="E776" s="7">
        <v>0.23</v>
      </c>
      <c r="F776" s="7">
        <v>764851</v>
      </c>
      <c r="G776" s="7">
        <v>0</v>
      </c>
      <c r="H776">
        <v>137</v>
      </c>
      <c r="I776" t="s">
        <v>23</v>
      </c>
    </row>
    <row r="777" spans="1:9" x14ac:dyDescent="0.35">
      <c r="A777" t="s">
        <v>996</v>
      </c>
      <c r="B777" t="s">
        <v>4505</v>
      </c>
      <c r="C777" s="7">
        <v>0.24</v>
      </c>
      <c r="D777" s="7">
        <v>2025155</v>
      </c>
      <c r="E777" s="7">
        <v>0.27</v>
      </c>
      <c r="F777" s="7">
        <v>2025155</v>
      </c>
      <c r="G777" s="7">
        <v>0</v>
      </c>
      <c r="H777">
        <v>138</v>
      </c>
      <c r="I777" t="s">
        <v>23</v>
      </c>
    </row>
    <row r="778" spans="1:9" x14ac:dyDescent="0.35">
      <c r="A778" t="s">
        <v>798</v>
      </c>
      <c r="B778" t="s">
        <v>4505</v>
      </c>
      <c r="C778" s="7">
        <v>0.23</v>
      </c>
      <c r="D778" s="7">
        <v>597542</v>
      </c>
      <c r="E778" s="7">
        <v>0.24</v>
      </c>
      <c r="F778" s="7">
        <v>597542</v>
      </c>
      <c r="G778" s="7">
        <v>0</v>
      </c>
      <c r="H778">
        <v>139</v>
      </c>
      <c r="I778" t="s">
        <v>23</v>
      </c>
    </row>
    <row r="779" spans="1:9" x14ac:dyDescent="0.35">
      <c r="A779" t="s">
        <v>1455</v>
      </c>
      <c r="B779" t="s">
        <v>4505</v>
      </c>
      <c r="C779" s="7">
        <v>0.23</v>
      </c>
      <c r="D779" s="7">
        <v>5401807</v>
      </c>
      <c r="E779" s="7">
        <v>0.23</v>
      </c>
      <c r="F779" s="7">
        <v>5401807</v>
      </c>
      <c r="G779" s="7">
        <v>0</v>
      </c>
      <c r="H779">
        <v>140</v>
      </c>
      <c r="I779" t="s">
        <v>23</v>
      </c>
    </row>
    <row r="780" spans="1:9" x14ac:dyDescent="0.35">
      <c r="A780" t="s">
        <v>1243</v>
      </c>
      <c r="B780" t="s">
        <v>4505</v>
      </c>
      <c r="C780" s="7">
        <v>0.23</v>
      </c>
      <c r="D780" s="7">
        <v>657517</v>
      </c>
      <c r="E780" s="7">
        <v>0.27</v>
      </c>
      <c r="F780" s="7">
        <v>657517</v>
      </c>
      <c r="G780" s="7">
        <v>0</v>
      </c>
      <c r="H780">
        <v>141</v>
      </c>
      <c r="I780" t="s">
        <v>23</v>
      </c>
    </row>
    <row r="781" spans="1:9" x14ac:dyDescent="0.35">
      <c r="A781" t="s">
        <v>6079</v>
      </c>
      <c r="B781" t="s">
        <v>4505</v>
      </c>
      <c r="C781" s="7">
        <v>0.23</v>
      </c>
      <c r="D781" s="7">
        <v>1532554</v>
      </c>
      <c r="E781" s="7">
        <v>0.23</v>
      </c>
      <c r="F781" s="7">
        <v>1532554</v>
      </c>
      <c r="G781" s="7">
        <v>0</v>
      </c>
      <c r="H781">
        <v>142</v>
      </c>
      <c r="I781" t="s">
        <v>23</v>
      </c>
    </row>
    <row r="782" spans="1:9" x14ac:dyDescent="0.35">
      <c r="A782" t="s">
        <v>4382</v>
      </c>
      <c r="B782" t="s">
        <v>4505</v>
      </c>
      <c r="C782" s="7">
        <v>0.22</v>
      </c>
      <c r="D782" s="7">
        <v>1802709</v>
      </c>
      <c r="E782" s="7">
        <v>0</v>
      </c>
      <c r="F782" s="7">
        <v>0</v>
      </c>
      <c r="G782" s="7">
        <v>1802709</v>
      </c>
      <c r="H782">
        <v>143</v>
      </c>
      <c r="I782" t="s">
        <v>32</v>
      </c>
    </row>
    <row r="783" spans="1:9" x14ac:dyDescent="0.35">
      <c r="A783" t="s">
        <v>433</v>
      </c>
      <c r="B783" t="s">
        <v>4505</v>
      </c>
      <c r="C783" s="7">
        <v>0.21</v>
      </c>
      <c r="D783" s="7">
        <v>150014</v>
      </c>
      <c r="E783" s="7">
        <v>0.24</v>
      </c>
      <c r="F783" s="7">
        <v>150014</v>
      </c>
      <c r="G783" s="7">
        <v>0</v>
      </c>
      <c r="H783">
        <v>144</v>
      </c>
      <c r="I783" t="s">
        <v>23</v>
      </c>
    </row>
    <row r="784" spans="1:9" x14ac:dyDescent="0.35">
      <c r="A784" t="s">
        <v>1271</v>
      </c>
      <c r="B784" t="s">
        <v>4505</v>
      </c>
      <c r="C784" s="7">
        <v>0.21</v>
      </c>
      <c r="D784" s="7">
        <v>1040781</v>
      </c>
      <c r="E784" s="7">
        <v>0.24</v>
      </c>
      <c r="F784" s="7">
        <v>1040781</v>
      </c>
      <c r="G784" s="7">
        <v>0</v>
      </c>
      <c r="H784">
        <v>145</v>
      </c>
      <c r="I784" t="s">
        <v>23</v>
      </c>
    </row>
    <row r="785" spans="1:9" x14ac:dyDescent="0.35">
      <c r="A785" t="s">
        <v>108</v>
      </c>
      <c r="B785" t="s">
        <v>4505</v>
      </c>
      <c r="C785" s="7">
        <v>0.21</v>
      </c>
      <c r="D785" s="7">
        <v>1373373</v>
      </c>
      <c r="E785" s="7">
        <v>0.23</v>
      </c>
      <c r="F785" s="7">
        <v>1373373</v>
      </c>
      <c r="G785" s="7">
        <v>0</v>
      </c>
      <c r="H785">
        <v>146</v>
      </c>
      <c r="I785" t="s">
        <v>23</v>
      </c>
    </row>
    <row r="786" spans="1:9" x14ac:dyDescent="0.35">
      <c r="A786" t="s">
        <v>241</v>
      </c>
      <c r="B786" t="s">
        <v>4505</v>
      </c>
      <c r="C786" s="7">
        <v>0.2</v>
      </c>
      <c r="D786" s="7">
        <v>3000000</v>
      </c>
      <c r="E786" s="7">
        <v>0.22</v>
      </c>
      <c r="F786" s="7">
        <v>3000000</v>
      </c>
      <c r="G786" s="7">
        <v>0</v>
      </c>
      <c r="H786">
        <v>147</v>
      </c>
      <c r="I786" t="s">
        <v>23</v>
      </c>
    </row>
    <row r="787" spans="1:9" x14ac:dyDescent="0.35">
      <c r="A787" t="s">
        <v>817</v>
      </c>
      <c r="B787" t="s">
        <v>4505</v>
      </c>
      <c r="C787" s="7">
        <v>0.19</v>
      </c>
      <c r="D787" s="7">
        <v>1063054</v>
      </c>
      <c r="E787" s="7">
        <v>0.24</v>
      </c>
      <c r="F787" s="7">
        <v>1063054</v>
      </c>
      <c r="G787" s="7">
        <v>0</v>
      </c>
      <c r="H787">
        <v>148</v>
      </c>
      <c r="I787" t="s">
        <v>23</v>
      </c>
    </row>
    <row r="788" spans="1:9" x14ac:dyDescent="0.35">
      <c r="A788" t="s">
        <v>1195</v>
      </c>
      <c r="B788" t="s">
        <v>4505</v>
      </c>
      <c r="C788" s="7">
        <v>0.19</v>
      </c>
      <c r="D788" s="7">
        <v>2639365</v>
      </c>
      <c r="E788" s="7">
        <v>0.2</v>
      </c>
      <c r="F788" s="7">
        <v>2639365</v>
      </c>
      <c r="G788" s="7">
        <v>0</v>
      </c>
      <c r="H788">
        <v>149</v>
      </c>
      <c r="I788" t="s">
        <v>23</v>
      </c>
    </row>
    <row r="789" spans="1:9" x14ac:dyDescent="0.35">
      <c r="A789" t="s">
        <v>1011</v>
      </c>
      <c r="B789" t="s">
        <v>4505</v>
      </c>
      <c r="C789" s="7">
        <v>0.19</v>
      </c>
      <c r="D789" s="7">
        <v>363311</v>
      </c>
      <c r="E789" s="7">
        <v>0.17</v>
      </c>
      <c r="F789" s="7">
        <v>363311</v>
      </c>
      <c r="G789" s="7">
        <v>0</v>
      </c>
      <c r="H789">
        <v>150</v>
      </c>
      <c r="I789" t="s">
        <v>23</v>
      </c>
    </row>
    <row r="790" spans="1:9" x14ac:dyDescent="0.35">
      <c r="A790" t="s">
        <v>2240</v>
      </c>
      <c r="B790" t="s">
        <v>4505</v>
      </c>
      <c r="C790" s="7">
        <v>0.19</v>
      </c>
      <c r="D790" s="7">
        <v>7618268</v>
      </c>
      <c r="E790" s="7">
        <v>0.19</v>
      </c>
      <c r="F790" s="7">
        <v>7618268</v>
      </c>
      <c r="G790" s="7">
        <v>0</v>
      </c>
      <c r="H790">
        <v>151</v>
      </c>
      <c r="I790" t="s">
        <v>23</v>
      </c>
    </row>
    <row r="791" spans="1:9" x14ac:dyDescent="0.35">
      <c r="A791" t="s">
        <v>800</v>
      </c>
      <c r="B791" t="s">
        <v>4505</v>
      </c>
      <c r="C791" s="7">
        <v>0.18</v>
      </c>
      <c r="D791" s="7">
        <v>394865</v>
      </c>
      <c r="E791" s="7">
        <v>0.21</v>
      </c>
      <c r="F791" s="7">
        <v>394865</v>
      </c>
      <c r="G791" s="7">
        <v>0</v>
      </c>
      <c r="H791">
        <v>152</v>
      </c>
      <c r="I791" t="s">
        <v>23</v>
      </c>
    </row>
    <row r="792" spans="1:9" x14ac:dyDescent="0.35">
      <c r="A792" t="s">
        <v>1362</v>
      </c>
      <c r="B792" t="s">
        <v>4505</v>
      </c>
      <c r="C792" s="7">
        <v>0.17</v>
      </c>
      <c r="D792" s="7">
        <v>468589</v>
      </c>
      <c r="E792" s="7">
        <v>0.19</v>
      </c>
      <c r="F792" s="7">
        <v>468589</v>
      </c>
      <c r="G792" s="7">
        <v>0</v>
      </c>
      <c r="H792">
        <v>153</v>
      </c>
      <c r="I792" t="s">
        <v>23</v>
      </c>
    </row>
    <row r="793" spans="1:9" x14ac:dyDescent="0.35">
      <c r="A793" t="s">
        <v>898</v>
      </c>
      <c r="B793" t="s">
        <v>4505</v>
      </c>
      <c r="C793" s="7">
        <v>0.17</v>
      </c>
      <c r="D793" s="7">
        <v>934135</v>
      </c>
      <c r="E793" s="7">
        <v>0.2</v>
      </c>
      <c r="F793" s="7">
        <v>974201</v>
      </c>
      <c r="G793" s="7">
        <v>-40066</v>
      </c>
      <c r="H793">
        <v>154</v>
      </c>
      <c r="I793" t="s">
        <v>25</v>
      </c>
    </row>
    <row r="794" spans="1:9" x14ac:dyDescent="0.35">
      <c r="A794" t="s">
        <v>317</v>
      </c>
      <c r="B794" t="s">
        <v>4505</v>
      </c>
      <c r="C794" s="7">
        <v>0.17</v>
      </c>
      <c r="D794" s="7">
        <v>1000000</v>
      </c>
      <c r="E794" s="7">
        <v>0.18</v>
      </c>
      <c r="F794" s="7">
        <v>1000000</v>
      </c>
      <c r="G794" s="7">
        <v>0</v>
      </c>
      <c r="H794">
        <v>155</v>
      </c>
      <c r="I794" t="s">
        <v>23</v>
      </c>
    </row>
    <row r="795" spans="1:9" x14ac:dyDescent="0.35">
      <c r="A795" t="s">
        <v>653</v>
      </c>
      <c r="B795" t="s">
        <v>4505</v>
      </c>
      <c r="C795" s="7">
        <v>0.16</v>
      </c>
      <c r="D795" s="7">
        <v>223377</v>
      </c>
      <c r="E795" s="7">
        <v>0.16</v>
      </c>
      <c r="F795" s="7">
        <v>223377</v>
      </c>
      <c r="G795" s="7">
        <v>0</v>
      </c>
      <c r="H795">
        <v>156</v>
      </c>
      <c r="I795" t="s">
        <v>23</v>
      </c>
    </row>
    <row r="796" spans="1:9" x14ac:dyDescent="0.35">
      <c r="A796" t="s">
        <v>1231</v>
      </c>
      <c r="B796" t="s">
        <v>4505</v>
      </c>
      <c r="C796" s="7">
        <v>0.16</v>
      </c>
      <c r="D796" s="7">
        <v>345712</v>
      </c>
      <c r="E796" s="7">
        <v>0.2</v>
      </c>
      <c r="F796" s="7">
        <v>345712</v>
      </c>
      <c r="G796" s="7">
        <v>0</v>
      </c>
      <c r="H796">
        <v>157</v>
      </c>
      <c r="I796" t="s">
        <v>23</v>
      </c>
    </row>
    <row r="797" spans="1:9" x14ac:dyDescent="0.35">
      <c r="A797" t="s">
        <v>1014</v>
      </c>
      <c r="B797" t="s">
        <v>4505</v>
      </c>
      <c r="C797" s="7">
        <v>0.16</v>
      </c>
      <c r="D797" s="7">
        <v>819720</v>
      </c>
      <c r="E797" s="7">
        <v>0.22</v>
      </c>
      <c r="F797" s="7">
        <v>1119720</v>
      </c>
      <c r="G797" s="7">
        <v>-300000</v>
      </c>
      <c r="H797">
        <v>158</v>
      </c>
      <c r="I797" t="s">
        <v>25</v>
      </c>
    </row>
    <row r="798" spans="1:9" x14ac:dyDescent="0.35">
      <c r="A798" t="s">
        <v>1002</v>
      </c>
      <c r="B798" t="s">
        <v>4505</v>
      </c>
      <c r="C798" s="7">
        <v>0.15</v>
      </c>
      <c r="D798" s="7">
        <v>6545936</v>
      </c>
      <c r="E798" s="7">
        <v>0</v>
      </c>
      <c r="F798" s="7">
        <v>0</v>
      </c>
      <c r="G798" s="7">
        <v>6545936</v>
      </c>
      <c r="H798">
        <v>159</v>
      </c>
      <c r="I798" t="s">
        <v>32</v>
      </c>
    </row>
    <row r="799" spans="1:9" x14ac:dyDescent="0.35">
      <c r="A799" t="s">
        <v>1263</v>
      </c>
      <c r="B799" t="s">
        <v>4505</v>
      </c>
      <c r="C799" s="7">
        <v>0.15</v>
      </c>
      <c r="D799" s="7">
        <v>1498686</v>
      </c>
      <c r="E799" s="7">
        <v>0.14000000000000001</v>
      </c>
      <c r="F799" s="7">
        <v>1498686</v>
      </c>
      <c r="G799" s="7">
        <v>0</v>
      </c>
      <c r="H799">
        <v>160</v>
      </c>
      <c r="I799" t="s">
        <v>23</v>
      </c>
    </row>
    <row r="800" spans="1:9" x14ac:dyDescent="0.35">
      <c r="A800" t="s">
        <v>1259</v>
      </c>
      <c r="B800" t="s">
        <v>4505</v>
      </c>
      <c r="C800" s="7">
        <v>0.15</v>
      </c>
      <c r="D800" s="7">
        <v>319958</v>
      </c>
      <c r="E800" s="7">
        <v>0.21</v>
      </c>
      <c r="F800" s="7">
        <v>448317</v>
      </c>
      <c r="G800" s="7">
        <v>-128359</v>
      </c>
      <c r="H800">
        <v>161</v>
      </c>
      <c r="I800" t="s">
        <v>25</v>
      </c>
    </row>
    <row r="801" spans="1:9" x14ac:dyDescent="0.35">
      <c r="A801" t="s">
        <v>2139</v>
      </c>
      <c r="B801" t="s">
        <v>4505</v>
      </c>
      <c r="C801" s="7">
        <v>0.14000000000000001</v>
      </c>
      <c r="D801" s="7">
        <v>1223645</v>
      </c>
      <c r="E801" s="7">
        <v>0.14000000000000001</v>
      </c>
      <c r="F801" s="7">
        <v>1223645</v>
      </c>
      <c r="G801" s="7">
        <v>0</v>
      </c>
      <c r="H801">
        <v>162</v>
      </c>
      <c r="I801" t="s">
        <v>23</v>
      </c>
    </row>
    <row r="802" spans="1:9" x14ac:dyDescent="0.35">
      <c r="A802" t="s">
        <v>1504</v>
      </c>
      <c r="B802" t="s">
        <v>4505</v>
      </c>
      <c r="C802" s="7">
        <v>0.14000000000000001</v>
      </c>
      <c r="D802" s="7">
        <v>4965400</v>
      </c>
      <c r="E802" s="7">
        <v>0.12</v>
      </c>
      <c r="F802" s="7">
        <v>4965400</v>
      </c>
      <c r="G802" s="7">
        <v>0</v>
      </c>
      <c r="H802">
        <v>163</v>
      </c>
      <c r="I802" t="s">
        <v>23</v>
      </c>
    </row>
    <row r="803" spans="1:9" x14ac:dyDescent="0.35">
      <c r="A803" t="s">
        <v>1394</v>
      </c>
      <c r="B803" t="s">
        <v>4505</v>
      </c>
      <c r="C803" s="7">
        <v>0.13</v>
      </c>
      <c r="D803" s="7">
        <v>1253532</v>
      </c>
      <c r="E803" s="7">
        <v>0.15</v>
      </c>
      <c r="F803" s="7">
        <v>1253532</v>
      </c>
      <c r="G803" s="7">
        <v>0</v>
      </c>
      <c r="H803">
        <v>164</v>
      </c>
      <c r="I803" t="s">
        <v>23</v>
      </c>
    </row>
    <row r="804" spans="1:9" x14ac:dyDescent="0.35">
      <c r="A804" t="s">
        <v>1022</v>
      </c>
      <c r="B804" t="s">
        <v>4505</v>
      </c>
      <c r="C804" s="7">
        <v>0.13</v>
      </c>
      <c r="D804" s="7">
        <v>197316</v>
      </c>
      <c r="E804" s="7">
        <v>0.14000000000000001</v>
      </c>
      <c r="F804" s="7">
        <v>197316</v>
      </c>
      <c r="G804" s="7">
        <v>0</v>
      </c>
      <c r="H804">
        <v>165</v>
      </c>
      <c r="I804" t="s">
        <v>23</v>
      </c>
    </row>
    <row r="805" spans="1:9" x14ac:dyDescent="0.35">
      <c r="A805" t="s">
        <v>6080</v>
      </c>
      <c r="B805" t="s">
        <v>4505</v>
      </c>
      <c r="C805" s="7">
        <v>0.13</v>
      </c>
      <c r="D805" s="7">
        <v>902150</v>
      </c>
      <c r="E805" s="7">
        <v>0.06</v>
      </c>
      <c r="F805" s="7">
        <v>754768</v>
      </c>
      <c r="G805" s="7">
        <v>147382</v>
      </c>
      <c r="H805">
        <v>166</v>
      </c>
      <c r="I805" t="s">
        <v>22</v>
      </c>
    </row>
    <row r="806" spans="1:9" x14ac:dyDescent="0.35">
      <c r="A806" t="s">
        <v>451</v>
      </c>
      <c r="B806" t="s">
        <v>4505</v>
      </c>
      <c r="C806" s="7">
        <v>0.13</v>
      </c>
      <c r="D806" s="7">
        <v>1536747</v>
      </c>
      <c r="E806" s="7">
        <v>0.28000000000000003</v>
      </c>
      <c r="F806" s="7">
        <v>3275917</v>
      </c>
      <c r="G806" s="7">
        <v>-1739170</v>
      </c>
      <c r="H806">
        <v>167</v>
      </c>
      <c r="I806" t="s">
        <v>25</v>
      </c>
    </row>
    <row r="807" spans="1:9" x14ac:dyDescent="0.35">
      <c r="A807" t="s">
        <v>1547</v>
      </c>
      <c r="B807" t="s">
        <v>4505</v>
      </c>
      <c r="C807" s="7">
        <v>0.12</v>
      </c>
      <c r="D807" s="7">
        <v>985000</v>
      </c>
      <c r="E807" s="7">
        <v>0.14000000000000001</v>
      </c>
      <c r="F807" s="7">
        <v>985000</v>
      </c>
      <c r="G807" s="7">
        <v>0</v>
      </c>
      <c r="H807">
        <v>168</v>
      </c>
      <c r="I807" t="s">
        <v>23</v>
      </c>
    </row>
    <row r="808" spans="1:9" x14ac:dyDescent="0.35">
      <c r="A808" t="s">
        <v>1711</v>
      </c>
      <c r="B808" t="s">
        <v>4505</v>
      </c>
      <c r="C808" s="7">
        <v>0.12</v>
      </c>
      <c r="D808" s="7">
        <v>1553109</v>
      </c>
      <c r="E808" s="7">
        <v>0.13</v>
      </c>
      <c r="F808" s="7">
        <v>1725315</v>
      </c>
      <c r="G808" s="7">
        <v>-172206</v>
      </c>
      <c r="H808">
        <v>169</v>
      </c>
      <c r="I808" t="s">
        <v>25</v>
      </c>
    </row>
    <row r="809" spans="1:9" x14ac:dyDescent="0.35">
      <c r="A809" t="s">
        <v>357</v>
      </c>
      <c r="B809" t="s">
        <v>4505</v>
      </c>
      <c r="C809" s="7">
        <v>0.11</v>
      </c>
      <c r="D809" s="7">
        <v>120000</v>
      </c>
      <c r="E809" s="7">
        <v>0</v>
      </c>
      <c r="F809" s="7">
        <v>0</v>
      </c>
      <c r="G809" s="7">
        <v>120000</v>
      </c>
      <c r="H809">
        <v>170</v>
      </c>
      <c r="I809" t="s">
        <v>32</v>
      </c>
    </row>
    <row r="810" spans="1:9" x14ac:dyDescent="0.35">
      <c r="A810" t="s">
        <v>1241</v>
      </c>
      <c r="B810" t="s">
        <v>4505</v>
      </c>
      <c r="C810" s="7">
        <v>0.11</v>
      </c>
      <c r="D810" s="7">
        <v>792709</v>
      </c>
      <c r="E810" s="7">
        <v>0.09</v>
      </c>
      <c r="F810" s="7">
        <v>792709</v>
      </c>
      <c r="G810" s="7">
        <v>0</v>
      </c>
      <c r="H810">
        <v>171</v>
      </c>
      <c r="I810" t="s">
        <v>23</v>
      </c>
    </row>
    <row r="811" spans="1:9" x14ac:dyDescent="0.35">
      <c r="A811" t="s">
        <v>1587</v>
      </c>
      <c r="B811" t="s">
        <v>4505</v>
      </c>
      <c r="C811" s="7">
        <v>0.11</v>
      </c>
      <c r="D811" s="7">
        <v>547326</v>
      </c>
      <c r="E811" s="7">
        <v>0.09</v>
      </c>
      <c r="F811" s="7">
        <v>487900</v>
      </c>
      <c r="G811" s="7">
        <v>59426</v>
      </c>
      <c r="H811">
        <v>172</v>
      </c>
      <c r="I811" t="s">
        <v>22</v>
      </c>
    </row>
    <row r="812" spans="1:9" x14ac:dyDescent="0.35">
      <c r="A812" t="s">
        <v>1551</v>
      </c>
      <c r="B812" t="s">
        <v>4505</v>
      </c>
      <c r="C812" s="7">
        <v>0.1</v>
      </c>
      <c r="D812" s="7">
        <v>1561895</v>
      </c>
      <c r="E812" s="7">
        <v>0.1</v>
      </c>
      <c r="F812" s="7">
        <v>1561895</v>
      </c>
      <c r="G812" s="7">
        <v>0</v>
      </c>
      <c r="H812">
        <v>173</v>
      </c>
      <c r="I812" t="s">
        <v>23</v>
      </c>
    </row>
    <row r="813" spans="1:9" x14ac:dyDescent="0.35">
      <c r="A813" t="s">
        <v>666</v>
      </c>
      <c r="B813" t="s">
        <v>4505</v>
      </c>
      <c r="C813" s="7">
        <v>0.1</v>
      </c>
      <c r="D813" s="7">
        <v>49830</v>
      </c>
      <c r="E813" s="7">
        <v>0.11</v>
      </c>
      <c r="F813" s="7">
        <v>49830</v>
      </c>
      <c r="G813" s="7">
        <v>0</v>
      </c>
      <c r="H813">
        <v>174</v>
      </c>
      <c r="I813" t="s">
        <v>23</v>
      </c>
    </row>
    <row r="814" spans="1:9" x14ac:dyDescent="0.35">
      <c r="A814" t="s">
        <v>641</v>
      </c>
      <c r="B814" t="s">
        <v>4505</v>
      </c>
      <c r="C814" s="7">
        <v>0.09</v>
      </c>
      <c r="D814" s="7">
        <v>657436</v>
      </c>
      <c r="E814" s="7">
        <v>0</v>
      </c>
      <c r="F814" s="7">
        <v>0</v>
      </c>
      <c r="G814" s="7">
        <v>657436</v>
      </c>
      <c r="H814">
        <v>175</v>
      </c>
      <c r="I814" t="s">
        <v>32</v>
      </c>
    </row>
    <row r="815" spans="1:9" x14ac:dyDescent="0.35">
      <c r="A815" t="s">
        <v>1344</v>
      </c>
      <c r="B815" t="s">
        <v>4505</v>
      </c>
      <c r="C815" s="7">
        <v>0.09</v>
      </c>
      <c r="D815" s="7">
        <v>523317</v>
      </c>
      <c r="E815" s="7">
        <v>0.1</v>
      </c>
      <c r="F815" s="7">
        <v>523317</v>
      </c>
      <c r="G815" s="7">
        <v>0</v>
      </c>
      <c r="H815">
        <v>176</v>
      </c>
      <c r="I815" t="s">
        <v>23</v>
      </c>
    </row>
    <row r="816" spans="1:9" x14ac:dyDescent="0.35">
      <c r="A816" t="s">
        <v>1422</v>
      </c>
      <c r="B816" t="s">
        <v>4505</v>
      </c>
      <c r="C816" s="7">
        <v>0.09</v>
      </c>
      <c r="D816" s="7">
        <v>480069</v>
      </c>
      <c r="E816" s="7">
        <v>0.08</v>
      </c>
      <c r="F816" s="7">
        <v>480069</v>
      </c>
      <c r="G816" s="7">
        <v>0</v>
      </c>
      <c r="H816">
        <v>177</v>
      </c>
      <c r="I816" t="s">
        <v>23</v>
      </c>
    </row>
    <row r="817" spans="1:9" x14ac:dyDescent="0.35">
      <c r="A817" t="s">
        <v>83</v>
      </c>
      <c r="B817" t="s">
        <v>4505</v>
      </c>
      <c r="C817" s="7">
        <v>0.08</v>
      </c>
      <c r="D817" s="7">
        <v>1000000</v>
      </c>
      <c r="E817" s="7">
        <v>0</v>
      </c>
      <c r="F817" s="7">
        <v>0</v>
      </c>
      <c r="G817" s="7">
        <v>1000000</v>
      </c>
      <c r="H817">
        <v>178</v>
      </c>
      <c r="I817" t="s">
        <v>32</v>
      </c>
    </row>
    <row r="818" spans="1:9" x14ac:dyDescent="0.35">
      <c r="A818" t="s">
        <v>160</v>
      </c>
      <c r="B818" t="s">
        <v>4505</v>
      </c>
      <c r="C818" s="7">
        <v>0.08</v>
      </c>
      <c r="D818" s="7">
        <v>6311223</v>
      </c>
      <c r="E818" s="7">
        <v>0.08</v>
      </c>
      <c r="F818" s="7">
        <v>6311223</v>
      </c>
      <c r="G818" s="7">
        <v>0</v>
      </c>
      <c r="H818">
        <v>179</v>
      </c>
      <c r="I818" t="s">
        <v>23</v>
      </c>
    </row>
    <row r="819" spans="1:9" x14ac:dyDescent="0.35">
      <c r="A819" t="s">
        <v>210</v>
      </c>
      <c r="B819" t="s">
        <v>4505</v>
      </c>
      <c r="C819" s="7">
        <v>7.0000000000000007E-2</v>
      </c>
      <c r="D819" s="7">
        <v>270000</v>
      </c>
      <c r="E819" s="7">
        <v>1.08</v>
      </c>
      <c r="F819" s="7">
        <v>3500000</v>
      </c>
      <c r="G819" s="7">
        <v>-3230000</v>
      </c>
      <c r="H819">
        <v>180</v>
      </c>
      <c r="I819" t="s">
        <v>25</v>
      </c>
    </row>
    <row r="820" spans="1:9" x14ac:dyDescent="0.35">
      <c r="A820" t="s">
        <v>2106</v>
      </c>
      <c r="B820" t="s">
        <v>4505</v>
      </c>
      <c r="C820" s="7">
        <v>7.0000000000000007E-2</v>
      </c>
      <c r="D820" s="7">
        <v>1141195</v>
      </c>
      <c r="E820" s="7">
        <v>7.0000000000000007E-2</v>
      </c>
      <c r="F820" s="7">
        <v>1141195</v>
      </c>
      <c r="G820" s="7">
        <v>0</v>
      </c>
      <c r="H820">
        <v>181</v>
      </c>
      <c r="I820" t="s">
        <v>23</v>
      </c>
    </row>
    <row r="821" spans="1:9" x14ac:dyDescent="0.35">
      <c r="A821" t="s">
        <v>4506</v>
      </c>
      <c r="B821" t="s">
        <v>4505</v>
      </c>
      <c r="C821" s="7">
        <v>7.0000000000000007E-2</v>
      </c>
      <c r="D821" s="7">
        <v>542333</v>
      </c>
      <c r="E821" s="7">
        <v>0</v>
      </c>
      <c r="F821" s="7">
        <v>0</v>
      </c>
      <c r="G821" s="7">
        <v>542333</v>
      </c>
      <c r="H821">
        <v>182</v>
      </c>
      <c r="I821" t="s">
        <v>32</v>
      </c>
    </row>
    <row r="822" spans="1:9" x14ac:dyDescent="0.35">
      <c r="A822" t="s">
        <v>4386</v>
      </c>
      <c r="B822" t="s">
        <v>4505</v>
      </c>
      <c r="C822" s="7">
        <v>7.0000000000000007E-2</v>
      </c>
      <c r="D822" s="7">
        <v>272416</v>
      </c>
      <c r="E822" s="7">
        <v>0</v>
      </c>
      <c r="F822" s="7">
        <v>0</v>
      </c>
      <c r="G822" s="7">
        <v>272416</v>
      </c>
      <c r="H822">
        <v>183</v>
      </c>
      <c r="I822" t="s">
        <v>32</v>
      </c>
    </row>
    <row r="823" spans="1:9" x14ac:dyDescent="0.35">
      <c r="A823" t="s">
        <v>1565</v>
      </c>
      <c r="B823" t="s">
        <v>4505</v>
      </c>
      <c r="C823" s="7">
        <v>7.0000000000000007E-2</v>
      </c>
      <c r="D823" s="7">
        <v>4189441</v>
      </c>
      <c r="E823" s="7">
        <v>0.17</v>
      </c>
      <c r="F823" s="7">
        <v>9164642</v>
      </c>
      <c r="G823" s="7">
        <v>-4975201</v>
      </c>
      <c r="H823">
        <v>184</v>
      </c>
      <c r="I823" t="s">
        <v>25</v>
      </c>
    </row>
    <row r="824" spans="1:9" x14ac:dyDescent="0.35">
      <c r="A824" t="s">
        <v>6081</v>
      </c>
      <c r="B824" t="s">
        <v>4505</v>
      </c>
      <c r="C824" s="7">
        <v>0.06</v>
      </c>
      <c r="D824" s="7">
        <v>216851</v>
      </c>
      <c r="E824" s="7">
        <v>0.06</v>
      </c>
      <c r="F824" s="7">
        <v>216851</v>
      </c>
      <c r="G824" s="7">
        <v>0</v>
      </c>
      <c r="H824">
        <v>185</v>
      </c>
      <c r="I824" t="s">
        <v>23</v>
      </c>
    </row>
    <row r="825" spans="1:9" x14ac:dyDescent="0.35">
      <c r="A825" t="s">
        <v>2276</v>
      </c>
      <c r="B825" t="s">
        <v>4505</v>
      </c>
      <c r="C825" s="7">
        <v>0.06</v>
      </c>
      <c r="D825" s="7">
        <v>1020332</v>
      </c>
      <c r="E825" s="7">
        <v>0.09</v>
      </c>
      <c r="F825" s="7">
        <v>1388069</v>
      </c>
      <c r="G825" s="7">
        <v>-367737</v>
      </c>
      <c r="H825">
        <v>186</v>
      </c>
      <c r="I825" t="s">
        <v>25</v>
      </c>
    </row>
    <row r="826" spans="1:9" x14ac:dyDescent="0.35">
      <c r="A826" t="s">
        <v>973</v>
      </c>
      <c r="B826" t="s">
        <v>4505</v>
      </c>
      <c r="C826" s="7">
        <v>0.05</v>
      </c>
      <c r="D826" s="7">
        <v>2000000</v>
      </c>
      <c r="E826" s="7">
        <v>0</v>
      </c>
      <c r="F826" s="7">
        <v>0</v>
      </c>
      <c r="G826" s="7">
        <v>2000000</v>
      </c>
      <c r="H826">
        <v>187</v>
      </c>
      <c r="I826" t="s">
        <v>32</v>
      </c>
    </row>
    <row r="827" spans="1:9" x14ac:dyDescent="0.35">
      <c r="A827" t="s">
        <v>643</v>
      </c>
      <c r="B827" t="s">
        <v>4505</v>
      </c>
      <c r="C827" s="7">
        <v>0.05</v>
      </c>
      <c r="D827" s="7">
        <v>466962</v>
      </c>
      <c r="E827" s="7">
        <v>0.05</v>
      </c>
      <c r="F827" s="7">
        <v>466962</v>
      </c>
      <c r="G827" s="7">
        <v>0</v>
      </c>
      <c r="H827">
        <v>188</v>
      </c>
      <c r="I827" t="s">
        <v>23</v>
      </c>
    </row>
    <row r="828" spans="1:9" x14ac:dyDescent="0.35">
      <c r="A828" t="s">
        <v>1970</v>
      </c>
      <c r="B828" t="s">
        <v>4505</v>
      </c>
      <c r="C828" s="7">
        <v>0.04</v>
      </c>
      <c r="D828" s="7">
        <v>1830871</v>
      </c>
      <c r="E828" s="7">
        <v>0.09</v>
      </c>
      <c r="F828" s="7">
        <v>4339039</v>
      </c>
      <c r="G828" s="7">
        <v>-2508168</v>
      </c>
      <c r="H828">
        <v>189</v>
      </c>
      <c r="I828" t="s">
        <v>25</v>
      </c>
    </row>
    <row r="829" spans="1:9" x14ac:dyDescent="0.35">
      <c r="A829" t="s">
        <v>4507</v>
      </c>
      <c r="B829" t="s">
        <v>4505</v>
      </c>
      <c r="C829" s="7">
        <v>0.04</v>
      </c>
      <c r="D829" s="7">
        <v>488800</v>
      </c>
      <c r="E829" s="7">
        <v>0</v>
      </c>
      <c r="F829" s="7">
        <v>0</v>
      </c>
      <c r="G829" s="7">
        <v>488800</v>
      </c>
      <c r="H829">
        <v>190</v>
      </c>
      <c r="I829" t="s">
        <v>32</v>
      </c>
    </row>
    <row r="830" spans="1:9" x14ac:dyDescent="0.35">
      <c r="A830" t="s">
        <v>783</v>
      </c>
      <c r="B830" t="s">
        <v>4505</v>
      </c>
      <c r="C830" s="7">
        <v>0.03</v>
      </c>
      <c r="D830" s="7">
        <v>346518</v>
      </c>
      <c r="E830" s="7">
        <v>0.03</v>
      </c>
      <c r="F830" s="7">
        <v>346518</v>
      </c>
      <c r="G830" s="7">
        <v>0</v>
      </c>
      <c r="H830">
        <v>191</v>
      </c>
      <c r="I830" t="s">
        <v>23</v>
      </c>
    </row>
    <row r="831" spans="1:9" x14ac:dyDescent="0.35">
      <c r="A831" t="s">
        <v>775</v>
      </c>
      <c r="B831" t="s">
        <v>4505</v>
      </c>
      <c r="C831" s="7">
        <v>0.03</v>
      </c>
      <c r="D831" s="7">
        <v>135312</v>
      </c>
      <c r="E831" s="7">
        <v>0.03</v>
      </c>
      <c r="F831" s="7">
        <v>135312</v>
      </c>
      <c r="G831" s="7">
        <v>0</v>
      </c>
      <c r="H831">
        <v>192</v>
      </c>
      <c r="I831" t="s">
        <v>23</v>
      </c>
    </row>
    <row r="832" spans="1:9" x14ac:dyDescent="0.35">
      <c r="A832" t="s">
        <v>1313</v>
      </c>
      <c r="B832" t="s">
        <v>4505</v>
      </c>
      <c r="C832" s="7">
        <v>0.03</v>
      </c>
      <c r="D832" s="7">
        <v>1205388</v>
      </c>
      <c r="E832" s="7">
        <v>0.03</v>
      </c>
      <c r="F832" s="7">
        <v>1205388</v>
      </c>
      <c r="G832" s="7">
        <v>0</v>
      </c>
      <c r="H832">
        <v>193</v>
      </c>
      <c r="I832" t="s">
        <v>23</v>
      </c>
    </row>
    <row r="833" spans="1:9" x14ac:dyDescent="0.35">
      <c r="A833" t="s">
        <v>833</v>
      </c>
      <c r="B833" t="s">
        <v>4505</v>
      </c>
      <c r="C833" s="7">
        <v>0</v>
      </c>
      <c r="D833" s="7">
        <v>0</v>
      </c>
      <c r="E833" s="7">
        <v>0</v>
      </c>
      <c r="F833" s="7">
        <v>0</v>
      </c>
      <c r="G833" s="7">
        <v>0</v>
      </c>
      <c r="H833">
        <v>194</v>
      </c>
      <c r="I833" t="s">
        <v>36</v>
      </c>
    </row>
    <row r="834" spans="1:9" x14ac:dyDescent="0.35">
      <c r="A834" t="s">
        <v>939</v>
      </c>
      <c r="B834" t="s">
        <v>4505</v>
      </c>
      <c r="C834" s="7">
        <v>0</v>
      </c>
      <c r="D834" s="7">
        <v>0</v>
      </c>
      <c r="E834" s="7">
        <v>0</v>
      </c>
      <c r="F834" s="7">
        <v>0</v>
      </c>
      <c r="G834" s="7">
        <v>0</v>
      </c>
      <c r="H834">
        <v>195</v>
      </c>
      <c r="I834" t="s">
        <v>36</v>
      </c>
    </row>
    <row r="835" spans="1:9" x14ac:dyDescent="0.35">
      <c r="A835" t="s">
        <v>303</v>
      </c>
      <c r="B835" t="s">
        <v>4505</v>
      </c>
      <c r="C835" s="7">
        <v>0</v>
      </c>
      <c r="D835" s="7">
        <v>0</v>
      </c>
      <c r="E835" s="7">
        <v>0</v>
      </c>
      <c r="F835" s="7">
        <v>0</v>
      </c>
      <c r="G835" s="7">
        <v>0</v>
      </c>
      <c r="H835">
        <v>196</v>
      </c>
      <c r="I835" t="s">
        <v>36</v>
      </c>
    </row>
    <row r="836" spans="1:9" x14ac:dyDescent="0.35">
      <c r="A836" t="s">
        <v>511</v>
      </c>
      <c r="B836" t="s">
        <v>4505</v>
      </c>
      <c r="C836" s="7">
        <v>0</v>
      </c>
      <c r="D836" s="7">
        <v>0</v>
      </c>
      <c r="E836" s="7">
        <v>0</v>
      </c>
      <c r="F836" s="7">
        <v>0</v>
      </c>
      <c r="G836" s="7">
        <v>0</v>
      </c>
      <c r="H836">
        <v>197</v>
      </c>
      <c r="I836" t="s">
        <v>36</v>
      </c>
    </row>
    <row r="837" spans="1:9" x14ac:dyDescent="0.35">
      <c r="A837" t="s">
        <v>284</v>
      </c>
      <c r="B837" t="s">
        <v>4505</v>
      </c>
      <c r="C837" s="7">
        <v>0</v>
      </c>
      <c r="D837" s="7">
        <v>0</v>
      </c>
      <c r="E837" s="7">
        <v>0</v>
      </c>
      <c r="F837" s="7">
        <v>0</v>
      </c>
      <c r="G837" s="7">
        <v>0</v>
      </c>
      <c r="H837">
        <v>198</v>
      </c>
      <c r="I837" t="s">
        <v>36</v>
      </c>
    </row>
    <row r="838" spans="1:9" x14ac:dyDescent="0.35">
      <c r="A838" t="s">
        <v>138</v>
      </c>
      <c r="B838" t="s">
        <v>4505</v>
      </c>
      <c r="C838" s="7">
        <v>0</v>
      </c>
      <c r="D838" s="7">
        <v>0</v>
      </c>
      <c r="E838" s="7">
        <v>0</v>
      </c>
      <c r="F838" s="7">
        <v>0</v>
      </c>
      <c r="G838" s="7">
        <v>0</v>
      </c>
      <c r="H838">
        <v>199</v>
      </c>
      <c r="I838" t="s">
        <v>36</v>
      </c>
    </row>
    <row r="839" spans="1:9" x14ac:dyDescent="0.35">
      <c r="A839" t="s">
        <v>829</v>
      </c>
      <c r="B839" t="s">
        <v>4505</v>
      </c>
      <c r="C839" s="7">
        <v>0</v>
      </c>
      <c r="D839" s="7">
        <v>0</v>
      </c>
      <c r="E839" s="7">
        <v>0</v>
      </c>
      <c r="F839" s="7">
        <v>0</v>
      </c>
      <c r="G839" s="7">
        <v>0</v>
      </c>
      <c r="H839">
        <v>200</v>
      </c>
      <c r="I839" t="s">
        <v>36</v>
      </c>
    </row>
    <row r="840" spans="1:9" x14ac:dyDescent="0.35">
      <c r="A840" t="s">
        <v>678</v>
      </c>
      <c r="B840" t="s">
        <v>4505</v>
      </c>
      <c r="C840" s="7">
        <v>0</v>
      </c>
      <c r="D840" s="7">
        <v>0</v>
      </c>
      <c r="E840" s="7">
        <v>0</v>
      </c>
      <c r="F840" s="7">
        <v>0</v>
      </c>
      <c r="G840" s="7">
        <v>0</v>
      </c>
      <c r="H840">
        <v>201</v>
      </c>
      <c r="I840" t="s">
        <v>36</v>
      </c>
    </row>
    <row r="841" spans="1:9" x14ac:dyDescent="0.35">
      <c r="A841" t="s">
        <v>4508</v>
      </c>
      <c r="B841" t="s">
        <v>4505</v>
      </c>
      <c r="C841" s="7">
        <v>0</v>
      </c>
      <c r="D841" s="7">
        <v>0</v>
      </c>
      <c r="E841" s="7">
        <v>0.19</v>
      </c>
      <c r="F841" s="7">
        <v>1270964</v>
      </c>
      <c r="G841" s="7">
        <v>-1270964</v>
      </c>
      <c r="H841">
        <v>202</v>
      </c>
      <c r="I841" t="s">
        <v>25</v>
      </c>
    </row>
    <row r="842" spans="1:9" x14ac:dyDescent="0.35">
      <c r="A842" t="s">
        <v>4429</v>
      </c>
      <c r="B842" t="s">
        <v>48</v>
      </c>
      <c r="C842" s="7">
        <v>3.17</v>
      </c>
      <c r="D842" s="7">
        <v>1697055</v>
      </c>
      <c r="E842" s="7">
        <v>2.96</v>
      </c>
      <c r="F842" s="7">
        <v>1697055</v>
      </c>
      <c r="G842" s="7">
        <v>0</v>
      </c>
      <c r="H842">
        <v>1</v>
      </c>
      <c r="I842" t="s">
        <v>23</v>
      </c>
    </row>
    <row r="843" spans="1:9" x14ac:dyDescent="0.35">
      <c r="A843" t="s">
        <v>6082</v>
      </c>
      <c r="B843" t="s">
        <v>48</v>
      </c>
      <c r="C843" s="7">
        <v>3.1</v>
      </c>
      <c r="D843" s="7">
        <v>2532684</v>
      </c>
      <c r="E843" s="7">
        <v>3.23</v>
      </c>
      <c r="F843" s="7">
        <v>2532684</v>
      </c>
      <c r="G843" s="7">
        <v>0</v>
      </c>
      <c r="H843">
        <v>2</v>
      </c>
      <c r="I843" t="s">
        <v>23</v>
      </c>
    </row>
    <row r="844" spans="1:9" x14ac:dyDescent="0.35">
      <c r="A844" t="s">
        <v>6083</v>
      </c>
      <c r="B844" t="s">
        <v>48</v>
      </c>
      <c r="C844" s="7">
        <v>3.06</v>
      </c>
      <c r="D844" s="7">
        <v>919677</v>
      </c>
      <c r="E844" s="7">
        <v>3.26</v>
      </c>
      <c r="F844" s="7">
        <v>919677</v>
      </c>
      <c r="G844" s="7">
        <v>0</v>
      </c>
      <c r="H844">
        <v>3</v>
      </c>
      <c r="I844" t="s">
        <v>23</v>
      </c>
    </row>
    <row r="845" spans="1:9" x14ac:dyDescent="0.35">
      <c r="A845" t="s">
        <v>4430</v>
      </c>
      <c r="B845" t="s">
        <v>48</v>
      </c>
      <c r="C845" s="7">
        <v>3.02</v>
      </c>
      <c r="D845" s="7">
        <v>796219</v>
      </c>
      <c r="E845" s="7">
        <v>3.04</v>
      </c>
      <c r="F845" s="7">
        <v>796219</v>
      </c>
      <c r="G845" s="7">
        <v>0</v>
      </c>
      <c r="H845">
        <v>4</v>
      </c>
      <c r="I845" t="s">
        <v>23</v>
      </c>
    </row>
    <row r="846" spans="1:9" x14ac:dyDescent="0.35">
      <c r="A846" t="s">
        <v>6084</v>
      </c>
      <c r="B846" t="s">
        <v>48</v>
      </c>
      <c r="C846" s="7">
        <v>2.93</v>
      </c>
      <c r="D846" s="7">
        <v>4562120</v>
      </c>
      <c r="E846" s="7">
        <v>3.05</v>
      </c>
      <c r="F846" s="7">
        <v>4562120</v>
      </c>
      <c r="G846" s="7">
        <v>0</v>
      </c>
      <c r="H846">
        <v>5</v>
      </c>
      <c r="I846" t="s">
        <v>23</v>
      </c>
    </row>
    <row r="847" spans="1:9" x14ac:dyDescent="0.35">
      <c r="A847" t="s">
        <v>5963</v>
      </c>
      <c r="B847" t="s">
        <v>48</v>
      </c>
      <c r="C847" s="7">
        <v>2.91</v>
      </c>
      <c r="D847" s="7">
        <v>1371160</v>
      </c>
      <c r="E847" s="7">
        <v>2.97</v>
      </c>
      <c r="F847" s="7">
        <v>1371160</v>
      </c>
      <c r="G847" s="7">
        <v>0</v>
      </c>
      <c r="H847">
        <v>6</v>
      </c>
      <c r="I847" t="s">
        <v>23</v>
      </c>
    </row>
    <row r="848" spans="1:9" x14ac:dyDescent="0.35">
      <c r="A848" t="s">
        <v>6085</v>
      </c>
      <c r="B848" t="s">
        <v>48</v>
      </c>
      <c r="C848" s="7">
        <v>2.6</v>
      </c>
      <c r="D848" s="7">
        <v>100119</v>
      </c>
      <c r="E848" s="7">
        <v>2.62</v>
      </c>
      <c r="F848" s="7">
        <v>100119</v>
      </c>
      <c r="G848" s="7">
        <v>0</v>
      </c>
      <c r="H848">
        <v>7</v>
      </c>
      <c r="I848" t="s">
        <v>23</v>
      </c>
    </row>
    <row r="849" spans="1:9" x14ac:dyDescent="0.35">
      <c r="A849" t="s">
        <v>5949</v>
      </c>
      <c r="B849" t="s">
        <v>48</v>
      </c>
      <c r="C849" s="7">
        <v>2.5499999999999998</v>
      </c>
      <c r="D849" s="7">
        <v>1428000</v>
      </c>
      <c r="E849" s="7">
        <v>0</v>
      </c>
      <c r="F849" s="7">
        <v>0</v>
      </c>
      <c r="G849" s="7">
        <v>1428000</v>
      </c>
      <c r="H849">
        <v>8</v>
      </c>
      <c r="I849" t="s">
        <v>32</v>
      </c>
    </row>
    <row r="850" spans="1:9" x14ac:dyDescent="0.35">
      <c r="A850" t="s">
        <v>6086</v>
      </c>
      <c r="B850" t="s">
        <v>48</v>
      </c>
      <c r="C850" s="7">
        <v>2.4500000000000002</v>
      </c>
      <c r="D850" s="7">
        <v>4890924</v>
      </c>
      <c r="E850" s="7">
        <v>2.58</v>
      </c>
      <c r="F850" s="7">
        <v>4890924</v>
      </c>
      <c r="G850" s="7">
        <v>0</v>
      </c>
      <c r="H850">
        <v>9</v>
      </c>
      <c r="I850" t="s">
        <v>23</v>
      </c>
    </row>
    <row r="851" spans="1:9" x14ac:dyDescent="0.35">
      <c r="A851" t="s">
        <v>5959</v>
      </c>
      <c r="B851" t="s">
        <v>48</v>
      </c>
      <c r="C851" s="7">
        <v>2.39</v>
      </c>
      <c r="D851" s="7">
        <v>1193854</v>
      </c>
      <c r="E851" s="7">
        <v>2.46</v>
      </c>
      <c r="F851" s="7">
        <v>1193854</v>
      </c>
      <c r="G851" s="7">
        <v>0</v>
      </c>
      <c r="H851">
        <v>10</v>
      </c>
      <c r="I851" t="s">
        <v>23</v>
      </c>
    </row>
    <row r="852" spans="1:9" x14ac:dyDescent="0.35">
      <c r="A852" t="s">
        <v>6087</v>
      </c>
      <c r="B852" t="s">
        <v>48</v>
      </c>
      <c r="C852" s="7">
        <v>2.37</v>
      </c>
      <c r="D852" s="7">
        <v>514601</v>
      </c>
      <c r="E852" s="7">
        <v>2.58</v>
      </c>
      <c r="F852" s="7">
        <v>514601</v>
      </c>
      <c r="G852" s="7">
        <v>0</v>
      </c>
      <c r="H852">
        <v>11</v>
      </c>
      <c r="I852" t="s">
        <v>23</v>
      </c>
    </row>
    <row r="853" spans="1:9" x14ac:dyDescent="0.35">
      <c r="A853" t="s">
        <v>6088</v>
      </c>
      <c r="B853" t="s">
        <v>48</v>
      </c>
      <c r="C853" s="7">
        <v>2.2999999999999998</v>
      </c>
      <c r="D853" s="7">
        <v>397666</v>
      </c>
      <c r="E853" s="7">
        <v>2.21</v>
      </c>
      <c r="F853" s="7">
        <v>397666</v>
      </c>
      <c r="G853" s="7">
        <v>0</v>
      </c>
      <c r="H853">
        <v>12</v>
      </c>
      <c r="I853" t="s">
        <v>23</v>
      </c>
    </row>
    <row r="854" spans="1:9" x14ac:dyDescent="0.35">
      <c r="A854" t="s">
        <v>40</v>
      </c>
      <c r="B854" t="s">
        <v>48</v>
      </c>
      <c r="C854" s="7">
        <v>2.2799999999999998</v>
      </c>
      <c r="D854" s="7">
        <v>4412178</v>
      </c>
      <c r="E854" s="7">
        <v>3.29</v>
      </c>
      <c r="F854" s="7">
        <v>5886301</v>
      </c>
      <c r="G854" s="7">
        <v>-1474123</v>
      </c>
      <c r="H854">
        <v>13</v>
      </c>
      <c r="I854" t="s">
        <v>25</v>
      </c>
    </row>
    <row r="855" spans="1:9" x14ac:dyDescent="0.35">
      <c r="A855" t="s">
        <v>6089</v>
      </c>
      <c r="B855" t="s">
        <v>48</v>
      </c>
      <c r="C855" s="7">
        <v>2.0499999999999998</v>
      </c>
      <c r="D855" s="7">
        <v>3190960</v>
      </c>
      <c r="E855" s="7">
        <v>1.71</v>
      </c>
      <c r="F855" s="7">
        <v>2636360</v>
      </c>
      <c r="G855" s="7">
        <v>554600</v>
      </c>
      <c r="H855">
        <v>14</v>
      </c>
      <c r="I855" t="s">
        <v>22</v>
      </c>
    </row>
    <row r="856" spans="1:9" x14ac:dyDescent="0.35">
      <c r="A856" t="s">
        <v>4401</v>
      </c>
      <c r="B856" t="s">
        <v>48</v>
      </c>
      <c r="C856" s="7">
        <v>2.0299999999999998</v>
      </c>
      <c r="D856" s="7">
        <v>1368659</v>
      </c>
      <c r="E856" s="7">
        <v>2.02</v>
      </c>
      <c r="F856" s="7">
        <v>1368659</v>
      </c>
      <c r="G856" s="7">
        <v>0</v>
      </c>
      <c r="H856">
        <v>15</v>
      </c>
      <c r="I856" t="s">
        <v>23</v>
      </c>
    </row>
    <row r="857" spans="1:9" x14ac:dyDescent="0.35">
      <c r="A857" t="s">
        <v>6090</v>
      </c>
      <c r="B857" t="s">
        <v>48</v>
      </c>
      <c r="C857" s="7">
        <v>1.97</v>
      </c>
      <c r="D857" s="7">
        <v>3773449</v>
      </c>
      <c r="E857" s="7">
        <v>1.96</v>
      </c>
      <c r="F857" s="7">
        <v>3773449</v>
      </c>
      <c r="G857" s="7">
        <v>0</v>
      </c>
      <c r="H857">
        <v>16</v>
      </c>
      <c r="I857" t="s">
        <v>23</v>
      </c>
    </row>
    <row r="858" spans="1:9" x14ac:dyDescent="0.35">
      <c r="A858" t="s">
        <v>4466</v>
      </c>
      <c r="B858" t="s">
        <v>48</v>
      </c>
      <c r="C858" s="7">
        <v>1.95</v>
      </c>
      <c r="D858" s="7">
        <v>552786</v>
      </c>
      <c r="E858" s="7">
        <v>2.09</v>
      </c>
      <c r="F858" s="7">
        <v>552786</v>
      </c>
      <c r="G858" s="7">
        <v>0</v>
      </c>
      <c r="H858">
        <v>17</v>
      </c>
      <c r="I858" t="s">
        <v>23</v>
      </c>
    </row>
    <row r="859" spans="1:9" x14ac:dyDescent="0.35">
      <c r="A859" t="s">
        <v>39</v>
      </c>
      <c r="B859" t="s">
        <v>48</v>
      </c>
      <c r="C859" s="7">
        <v>1.86</v>
      </c>
      <c r="D859" s="7">
        <v>475963</v>
      </c>
      <c r="E859" s="7">
        <v>1.6</v>
      </c>
      <c r="F859" s="7">
        <v>364826</v>
      </c>
      <c r="G859" s="7">
        <v>111137</v>
      </c>
      <c r="H859">
        <v>18</v>
      </c>
      <c r="I859" t="s">
        <v>22</v>
      </c>
    </row>
    <row r="860" spans="1:9" x14ac:dyDescent="0.35">
      <c r="A860" t="s">
        <v>6007</v>
      </c>
      <c r="B860" t="s">
        <v>48</v>
      </c>
      <c r="C860" s="7">
        <v>1.78</v>
      </c>
      <c r="D860" s="7">
        <v>399033</v>
      </c>
      <c r="E860" s="7">
        <v>1.95</v>
      </c>
      <c r="F860" s="7">
        <v>399033</v>
      </c>
      <c r="G860" s="7">
        <v>0</v>
      </c>
      <c r="H860">
        <v>19</v>
      </c>
      <c r="I860" t="s">
        <v>23</v>
      </c>
    </row>
    <row r="861" spans="1:9" x14ac:dyDescent="0.35">
      <c r="A861" t="s">
        <v>6091</v>
      </c>
      <c r="B861" t="s">
        <v>48</v>
      </c>
      <c r="C861" s="7">
        <v>1.77</v>
      </c>
      <c r="D861" s="7">
        <v>4191540</v>
      </c>
      <c r="E861" s="7">
        <v>1.38</v>
      </c>
      <c r="F861" s="7">
        <v>3638170</v>
      </c>
      <c r="G861" s="7">
        <v>553370</v>
      </c>
      <c r="H861">
        <v>20</v>
      </c>
      <c r="I861" t="s">
        <v>22</v>
      </c>
    </row>
    <row r="862" spans="1:9" x14ac:dyDescent="0.35">
      <c r="A862" t="s">
        <v>6092</v>
      </c>
      <c r="B862" t="s">
        <v>48</v>
      </c>
      <c r="C862" s="7">
        <v>1.76</v>
      </c>
      <c r="D862" s="7">
        <v>1122967</v>
      </c>
      <c r="E862" s="7">
        <v>1.51</v>
      </c>
      <c r="F862" s="7">
        <v>1122967</v>
      </c>
      <c r="G862" s="7">
        <v>0</v>
      </c>
      <c r="H862">
        <v>21</v>
      </c>
      <c r="I862" t="s">
        <v>23</v>
      </c>
    </row>
    <row r="863" spans="1:9" x14ac:dyDescent="0.35">
      <c r="A863" t="s">
        <v>5968</v>
      </c>
      <c r="B863" t="s">
        <v>48</v>
      </c>
      <c r="C863" s="7">
        <v>1.69</v>
      </c>
      <c r="D863" s="7">
        <v>1922769</v>
      </c>
      <c r="E863" s="7">
        <v>1.74</v>
      </c>
      <c r="F863" s="7">
        <v>1922769</v>
      </c>
      <c r="G863" s="7">
        <v>0</v>
      </c>
      <c r="H863">
        <v>22</v>
      </c>
      <c r="I863" t="s">
        <v>23</v>
      </c>
    </row>
    <row r="864" spans="1:9" x14ac:dyDescent="0.35">
      <c r="A864" t="s">
        <v>6093</v>
      </c>
      <c r="B864" t="s">
        <v>48</v>
      </c>
      <c r="C864" s="7">
        <v>1.63</v>
      </c>
      <c r="D864" s="7">
        <v>1036700</v>
      </c>
      <c r="E864" s="7">
        <v>1.44</v>
      </c>
      <c r="F864" s="7">
        <v>1036700</v>
      </c>
      <c r="G864" s="7">
        <v>0</v>
      </c>
      <c r="H864">
        <v>23</v>
      </c>
      <c r="I864" t="s">
        <v>23</v>
      </c>
    </row>
    <row r="865" spans="1:9" x14ac:dyDescent="0.35">
      <c r="A865" t="s">
        <v>6094</v>
      </c>
      <c r="B865" t="s">
        <v>48</v>
      </c>
      <c r="C865" s="7">
        <v>1.62</v>
      </c>
      <c r="D865" s="7">
        <v>589383</v>
      </c>
      <c r="E865" s="7">
        <v>1.56</v>
      </c>
      <c r="F865" s="7">
        <v>589383</v>
      </c>
      <c r="G865" s="7">
        <v>0</v>
      </c>
      <c r="H865">
        <v>24</v>
      </c>
      <c r="I865" t="s">
        <v>23</v>
      </c>
    </row>
    <row r="866" spans="1:9" x14ac:dyDescent="0.35">
      <c r="A866" t="s">
        <v>6095</v>
      </c>
      <c r="B866" t="s">
        <v>48</v>
      </c>
      <c r="C866" s="7">
        <v>1.59</v>
      </c>
      <c r="D866" s="7">
        <v>2588683</v>
      </c>
      <c r="E866" s="7">
        <v>1.49</v>
      </c>
      <c r="F866" s="7">
        <v>2588683</v>
      </c>
      <c r="G866" s="7">
        <v>0</v>
      </c>
      <c r="H866">
        <v>25</v>
      </c>
      <c r="I866" t="s">
        <v>23</v>
      </c>
    </row>
    <row r="867" spans="1:9" x14ac:dyDescent="0.35">
      <c r="A867" t="s">
        <v>41</v>
      </c>
      <c r="B867" t="s">
        <v>48</v>
      </c>
      <c r="C867" s="7">
        <v>1.56</v>
      </c>
      <c r="D867" s="7">
        <v>304984</v>
      </c>
      <c r="E867" s="7">
        <v>2.79</v>
      </c>
      <c r="F867" s="7">
        <v>498340</v>
      </c>
      <c r="G867" s="7">
        <v>-193356</v>
      </c>
      <c r="H867">
        <v>26</v>
      </c>
      <c r="I867" t="s">
        <v>25</v>
      </c>
    </row>
    <row r="868" spans="1:9" x14ac:dyDescent="0.35">
      <c r="A868" t="s">
        <v>4406</v>
      </c>
      <c r="B868" t="s">
        <v>48</v>
      </c>
      <c r="C868" s="7">
        <v>1.46</v>
      </c>
      <c r="D868" s="7">
        <v>532100</v>
      </c>
      <c r="E868" s="7">
        <v>1.36</v>
      </c>
      <c r="F868" s="7">
        <v>532100</v>
      </c>
      <c r="G868" s="7">
        <v>0</v>
      </c>
      <c r="H868">
        <v>27</v>
      </c>
      <c r="I868" t="s">
        <v>23</v>
      </c>
    </row>
    <row r="869" spans="1:9" x14ac:dyDescent="0.35">
      <c r="A869" t="s">
        <v>5976</v>
      </c>
      <c r="B869" t="s">
        <v>48</v>
      </c>
      <c r="C869" s="7">
        <v>1.46</v>
      </c>
      <c r="D869" s="7">
        <v>590600</v>
      </c>
      <c r="E869" s="7">
        <v>1.25</v>
      </c>
      <c r="F869" s="7">
        <v>590600</v>
      </c>
      <c r="G869" s="7">
        <v>0</v>
      </c>
      <c r="H869">
        <v>28</v>
      </c>
      <c r="I869" t="s">
        <v>23</v>
      </c>
    </row>
    <row r="870" spans="1:9" x14ac:dyDescent="0.35">
      <c r="A870" t="s">
        <v>6096</v>
      </c>
      <c r="B870" t="s">
        <v>48</v>
      </c>
      <c r="C870" s="7">
        <v>1.44</v>
      </c>
      <c r="D870" s="7">
        <v>22850935</v>
      </c>
      <c r="E870" s="7">
        <v>1.47</v>
      </c>
      <c r="F870" s="7">
        <v>22850935</v>
      </c>
      <c r="G870" s="7">
        <v>0</v>
      </c>
      <c r="H870">
        <v>29</v>
      </c>
      <c r="I870" t="s">
        <v>23</v>
      </c>
    </row>
    <row r="871" spans="1:9" x14ac:dyDescent="0.35">
      <c r="A871" t="s">
        <v>6097</v>
      </c>
      <c r="B871" t="s">
        <v>48</v>
      </c>
      <c r="C871" s="7">
        <v>1.41</v>
      </c>
      <c r="D871" s="7">
        <v>1874000</v>
      </c>
      <c r="E871" s="7">
        <v>1.38</v>
      </c>
      <c r="F871" s="7">
        <v>1874000</v>
      </c>
      <c r="G871" s="7">
        <v>0</v>
      </c>
      <c r="H871">
        <v>30</v>
      </c>
      <c r="I871" t="s">
        <v>23</v>
      </c>
    </row>
    <row r="872" spans="1:9" x14ac:dyDescent="0.35">
      <c r="A872" t="s">
        <v>6027</v>
      </c>
      <c r="B872" t="s">
        <v>48</v>
      </c>
      <c r="C872" s="7">
        <v>1.38</v>
      </c>
      <c r="D872" s="7">
        <v>1006844</v>
      </c>
      <c r="E872" s="7">
        <v>1.39</v>
      </c>
      <c r="F872" s="7">
        <v>1006844</v>
      </c>
      <c r="G872" s="7">
        <v>0</v>
      </c>
      <c r="H872">
        <v>31</v>
      </c>
      <c r="I872" t="s">
        <v>23</v>
      </c>
    </row>
    <row r="873" spans="1:9" x14ac:dyDescent="0.35">
      <c r="A873" t="s">
        <v>6098</v>
      </c>
      <c r="B873" t="s">
        <v>48</v>
      </c>
      <c r="C873" s="7">
        <v>1.1399999999999999</v>
      </c>
      <c r="D873" s="7">
        <v>416754</v>
      </c>
      <c r="E873" s="7">
        <v>1.05</v>
      </c>
      <c r="F873" s="7">
        <v>416754</v>
      </c>
      <c r="G873" s="7">
        <v>0</v>
      </c>
      <c r="H873">
        <v>32</v>
      </c>
      <c r="I873" t="s">
        <v>23</v>
      </c>
    </row>
    <row r="874" spans="1:9" x14ac:dyDescent="0.35">
      <c r="A874" t="s">
        <v>6099</v>
      </c>
      <c r="B874" t="s">
        <v>48</v>
      </c>
      <c r="C874" s="7">
        <v>1.1299999999999999</v>
      </c>
      <c r="D874" s="7">
        <v>296028</v>
      </c>
      <c r="E874" s="7">
        <v>1.06</v>
      </c>
      <c r="F874" s="7">
        <v>296028</v>
      </c>
      <c r="G874" s="7">
        <v>0</v>
      </c>
      <c r="H874">
        <v>33</v>
      </c>
      <c r="I874" t="s">
        <v>23</v>
      </c>
    </row>
    <row r="875" spans="1:9" x14ac:dyDescent="0.35">
      <c r="A875" t="s">
        <v>4415</v>
      </c>
      <c r="B875" t="s">
        <v>48</v>
      </c>
      <c r="C875" s="7">
        <v>1.1200000000000001</v>
      </c>
      <c r="D875" s="7">
        <v>768429</v>
      </c>
      <c r="E875" s="7">
        <v>1.06</v>
      </c>
      <c r="F875" s="7">
        <v>768429</v>
      </c>
      <c r="G875" s="7">
        <v>0</v>
      </c>
      <c r="H875">
        <v>34</v>
      </c>
      <c r="I875" t="s">
        <v>23</v>
      </c>
    </row>
    <row r="876" spans="1:9" x14ac:dyDescent="0.35">
      <c r="A876" t="s">
        <v>49</v>
      </c>
      <c r="B876" t="s">
        <v>48</v>
      </c>
      <c r="C876" s="7">
        <v>1.06</v>
      </c>
      <c r="D876" s="7">
        <v>563942</v>
      </c>
      <c r="E876" s="7">
        <v>1.07</v>
      </c>
      <c r="F876" s="7">
        <v>570782</v>
      </c>
      <c r="G876" s="7">
        <v>-6840</v>
      </c>
      <c r="H876">
        <v>35</v>
      </c>
      <c r="I876" t="s">
        <v>25</v>
      </c>
    </row>
    <row r="877" spans="1:9" x14ac:dyDescent="0.35">
      <c r="A877" t="s">
        <v>4432</v>
      </c>
      <c r="B877" t="s">
        <v>48</v>
      </c>
      <c r="C877" s="7">
        <v>1.05</v>
      </c>
      <c r="D877" s="7">
        <v>868829</v>
      </c>
      <c r="E877" s="7">
        <v>0.95</v>
      </c>
      <c r="F877" s="7">
        <v>868829</v>
      </c>
      <c r="G877" s="7">
        <v>0</v>
      </c>
      <c r="H877">
        <v>36</v>
      </c>
      <c r="I877" t="s">
        <v>23</v>
      </c>
    </row>
    <row r="878" spans="1:9" x14ac:dyDescent="0.35">
      <c r="A878" t="s">
        <v>6100</v>
      </c>
      <c r="B878" t="s">
        <v>48</v>
      </c>
      <c r="C878" s="7">
        <v>1.03</v>
      </c>
      <c r="D878" s="7">
        <v>203000</v>
      </c>
      <c r="E878" s="7">
        <v>1.07</v>
      </c>
      <c r="F878" s="7">
        <v>203000</v>
      </c>
      <c r="G878" s="7">
        <v>0</v>
      </c>
      <c r="H878">
        <v>37</v>
      </c>
      <c r="I878" t="s">
        <v>23</v>
      </c>
    </row>
    <row r="879" spans="1:9" x14ac:dyDescent="0.35">
      <c r="A879" t="s">
        <v>6101</v>
      </c>
      <c r="B879" t="s">
        <v>48</v>
      </c>
      <c r="C879" s="7">
        <v>1.03</v>
      </c>
      <c r="D879" s="7">
        <v>2412629</v>
      </c>
      <c r="E879" s="7">
        <v>1.06</v>
      </c>
      <c r="F879" s="7">
        <v>2412629</v>
      </c>
      <c r="G879" s="7">
        <v>0</v>
      </c>
      <c r="H879">
        <v>38</v>
      </c>
      <c r="I879" t="s">
        <v>23</v>
      </c>
    </row>
    <row r="880" spans="1:9" x14ac:dyDescent="0.35">
      <c r="A880" t="s">
        <v>6102</v>
      </c>
      <c r="B880" t="s">
        <v>48</v>
      </c>
      <c r="C880" s="7">
        <v>0.99</v>
      </c>
      <c r="D880" s="7">
        <v>228000</v>
      </c>
      <c r="E880" s="7">
        <v>1</v>
      </c>
      <c r="F880" s="7">
        <v>228000</v>
      </c>
      <c r="G880" s="7">
        <v>0</v>
      </c>
      <c r="H880">
        <v>39</v>
      </c>
      <c r="I880" t="s">
        <v>23</v>
      </c>
    </row>
    <row r="881" spans="1:9" x14ac:dyDescent="0.35">
      <c r="A881" t="s">
        <v>50</v>
      </c>
      <c r="B881" t="s">
        <v>48</v>
      </c>
      <c r="C881" s="7">
        <v>0.98</v>
      </c>
      <c r="D881" s="7">
        <v>388808</v>
      </c>
      <c r="E881" s="7">
        <v>0.98</v>
      </c>
      <c r="F881" s="7">
        <v>388808</v>
      </c>
      <c r="G881" s="7">
        <v>0</v>
      </c>
      <c r="H881">
        <v>40</v>
      </c>
      <c r="I881" t="s">
        <v>23</v>
      </c>
    </row>
    <row r="882" spans="1:9" x14ac:dyDescent="0.35">
      <c r="A882" t="s">
        <v>6103</v>
      </c>
      <c r="B882" t="s">
        <v>48</v>
      </c>
      <c r="C882" s="7">
        <v>0.97</v>
      </c>
      <c r="D882" s="7">
        <v>236523</v>
      </c>
      <c r="E882" s="7">
        <v>0.99</v>
      </c>
      <c r="F882" s="7">
        <v>236523</v>
      </c>
      <c r="G882" s="7">
        <v>0</v>
      </c>
      <c r="H882">
        <v>41</v>
      </c>
      <c r="I882" t="s">
        <v>23</v>
      </c>
    </row>
    <row r="883" spans="1:9" x14ac:dyDescent="0.35">
      <c r="A883" t="s">
        <v>4436</v>
      </c>
      <c r="B883" t="s">
        <v>48</v>
      </c>
      <c r="C883" s="7">
        <v>0.97</v>
      </c>
      <c r="D883" s="7">
        <v>1048872</v>
      </c>
      <c r="E883" s="7">
        <v>0.99</v>
      </c>
      <c r="F883" s="7">
        <v>1048872</v>
      </c>
      <c r="G883" s="7">
        <v>0</v>
      </c>
      <c r="H883">
        <v>42</v>
      </c>
      <c r="I883" t="s">
        <v>23</v>
      </c>
    </row>
    <row r="884" spans="1:9" x14ac:dyDescent="0.35">
      <c r="A884" t="s">
        <v>51</v>
      </c>
      <c r="B884" t="s">
        <v>48</v>
      </c>
      <c r="C884" s="7">
        <v>0.96</v>
      </c>
      <c r="D884" s="7">
        <v>2530000</v>
      </c>
      <c r="E884" s="7">
        <v>1.23</v>
      </c>
      <c r="F884" s="7">
        <v>3000000</v>
      </c>
      <c r="G884" s="7">
        <v>-470000</v>
      </c>
      <c r="H884">
        <v>43</v>
      </c>
      <c r="I884" t="s">
        <v>25</v>
      </c>
    </row>
    <row r="885" spans="1:9" x14ac:dyDescent="0.35">
      <c r="A885" t="s">
        <v>6104</v>
      </c>
      <c r="B885" t="s">
        <v>48</v>
      </c>
      <c r="C885" s="7">
        <v>0.95</v>
      </c>
      <c r="D885" s="7">
        <v>1098228</v>
      </c>
      <c r="E885" s="7">
        <v>0.98</v>
      </c>
      <c r="F885" s="7">
        <v>1098228</v>
      </c>
      <c r="G885" s="7">
        <v>0</v>
      </c>
      <c r="H885">
        <v>44</v>
      </c>
      <c r="I885" t="s">
        <v>23</v>
      </c>
    </row>
    <row r="886" spans="1:9" x14ac:dyDescent="0.35">
      <c r="A886" t="s">
        <v>6105</v>
      </c>
      <c r="B886" t="s">
        <v>48</v>
      </c>
      <c r="C886" s="7">
        <v>0.94</v>
      </c>
      <c r="D886" s="7">
        <v>852876</v>
      </c>
      <c r="E886" s="7">
        <v>0.87</v>
      </c>
      <c r="F886" s="7">
        <v>852876</v>
      </c>
      <c r="G886" s="7">
        <v>0</v>
      </c>
      <c r="H886">
        <v>45</v>
      </c>
      <c r="I886" t="s">
        <v>23</v>
      </c>
    </row>
    <row r="887" spans="1:9" x14ac:dyDescent="0.35">
      <c r="A887" t="s">
        <v>4431</v>
      </c>
      <c r="B887" t="s">
        <v>48</v>
      </c>
      <c r="C887" s="7">
        <v>0.94</v>
      </c>
      <c r="D887" s="7">
        <v>1098266</v>
      </c>
      <c r="E887" s="7">
        <v>0.94</v>
      </c>
      <c r="F887" s="7">
        <v>1098266</v>
      </c>
      <c r="G887" s="7">
        <v>0</v>
      </c>
      <c r="H887">
        <v>46</v>
      </c>
      <c r="I887" t="s">
        <v>23</v>
      </c>
    </row>
    <row r="888" spans="1:9" x14ac:dyDescent="0.35">
      <c r="A888" t="s">
        <v>6106</v>
      </c>
      <c r="B888" t="s">
        <v>48</v>
      </c>
      <c r="C888" s="7">
        <v>0.94</v>
      </c>
      <c r="D888" s="7">
        <v>477250</v>
      </c>
      <c r="E888" s="7">
        <v>0.97</v>
      </c>
      <c r="F888" s="7">
        <v>477250</v>
      </c>
      <c r="G888" s="7">
        <v>0</v>
      </c>
      <c r="H888">
        <v>47</v>
      </c>
      <c r="I888" t="s">
        <v>23</v>
      </c>
    </row>
    <row r="889" spans="1:9" x14ac:dyDescent="0.35">
      <c r="A889" t="s">
        <v>6057</v>
      </c>
      <c r="B889" t="s">
        <v>48</v>
      </c>
      <c r="C889" s="7">
        <v>0.92</v>
      </c>
      <c r="D889" s="7">
        <v>800000</v>
      </c>
      <c r="E889" s="7">
        <v>0.89</v>
      </c>
      <c r="F889" s="7">
        <v>800000</v>
      </c>
      <c r="G889" s="7">
        <v>0</v>
      </c>
      <c r="H889">
        <v>48</v>
      </c>
      <c r="I889" t="s">
        <v>23</v>
      </c>
    </row>
    <row r="890" spans="1:9" x14ac:dyDescent="0.35">
      <c r="A890" t="s">
        <v>6107</v>
      </c>
      <c r="B890" t="s">
        <v>48</v>
      </c>
      <c r="C890" s="7">
        <v>0.91</v>
      </c>
      <c r="D890" s="7">
        <v>1324854</v>
      </c>
      <c r="E890" s="7">
        <v>0.86</v>
      </c>
      <c r="F890" s="7">
        <v>1324854</v>
      </c>
      <c r="G890" s="7">
        <v>0</v>
      </c>
      <c r="H890">
        <v>49</v>
      </c>
      <c r="I890" t="s">
        <v>23</v>
      </c>
    </row>
    <row r="891" spans="1:9" x14ac:dyDescent="0.35">
      <c r="A891" t="s">
        <v>4463</v>
      </c>
      <c r="B891" t="s">
        <v>48</v>
      </c>
      <c r="C891" s="7">
        <v>0.85</v>
      </c>
      <c r="D891" s="7">
        <v>549028</v>
      </c>
      <c r="E891" s="7">
        <v>0.77</v>
      </c>
      <c r="F891" s="7">
        <v>549028</v>
      </c>
      <c r="G891" s="7">
        <v>0</v>
      </c>
      <c r="H891">
        <v>50</v>
      </c>
      <c r="I891" t="s">
        <v>23</v>
      </c>
    </row>
    <row r="892" spans="1:9" x14ac:dyDescent="0.35">
      <c r="A892" t="s">
        <v>6039</v>
      </c>
      <c r="B892" t="s">
        <v>48</v>
      </c>
      <c r="C892" s="7">
        <v>0.85</v>
      </c>
      <c r="D892" s="7">
        <v>757269</v>
      </c>
      <c r="E892" s="7">
        <v>0.78</v>
      </c>
      <c r="F892" s="7">
        <v>745709</v>
      </c>
      <c r="G892" s="7">
        <v>11560</v>
      </c>
      <c r="H892">
        <v>51</v>
      </c>
      <c r="I892" t="s">
        <v>22</v>
      </c>
    </row>
    <row r="893" spans="1:9" x14ac:dyDescent="0.35">
      <c r="A893" t="s">
        <v>6108</v>
      </c>
      <c r="B893" t="s">
        <v>48</v>
      </c>
      <c r="C893" s="7">
        <v>0.82</v>
      </c>
      <c r="D893" s="7">
        <v>58500</v>
      </c>
      <c r="E893" s="7">
        <v>0.79</v>
      </c>
      <c r="F893" s="7">
        <v>58500</v>
      </c>
      <c r="G893" s="7">
        <v>0</v>
      </c>
      <c r="H893">
        <v>52</v>
      </c>
      <c r="I893" t="s">
        <v>23</v>
      </c>
    </row>
    <row r="894" spans="1:9" x14ac:dyDescent="0.35">
      <c r="A894" t="s">
        <v>6109</v>
      </c>
      <c r="B894" t="s">
        <v>48</v>
      </c>
      <c r="C894" s="7">
        <v>0.78</v>
      </c>
      <c r="D894" s="7">
        <v>589611</v>
      </c>
      <c r="E894" s="7">
        <v>0.73</v>
      </c>
      <c r="F894" s="7">
        <v>589611</v>
      </c>
      <c r="G894" s="7">
        <v>0</v>
      </c>
      <c r="H894">
        <v>53</v>
      </c>
      <c r="I894" t="s">
        <v>23</v>
      </c>
    </row>
    <row r="895" spans="1:9" x14ac:dyDescent="0.35">
      <c r="A895" t="s">
        <v>6110</v>
      </c>
      <c r="B895" t="s">
        <v>48</v>
      </c>
      <c r="C895" s="7">
        <v>0.74</v>
      </c>
      <c r="D895" s="7">
        <v>173973</v>
      </c>
      <c r="E895" s="7">
        <v>0.76</v>
      </c>
      <c r="F895" s="7">
        <v>173973</v>
      </c>
      <c r="G895" s="7">
        <v>0</v>
      </c>
      <c r="H895">
        <v>54</v>
      </c>
      <c r="I895" t="s">
        <v>23</v>
      </c>
    </row>
    <row r="896" spans="1:9" x14ac:dyDescent="0.35">
      <c r="A896" t="s">
        <v>6111</v>
      </c>
      <c r="B896" t="s">
        <v>48</v>
      </c>
      <c r="C896" s="7">
        <v>0.69</v>
      </c>
      <c r="D896" s="7">
        <v>1540418</v>
      </c>
      <c r="E896" s="7">
        <v>0.75</v>
      </c>
      <c r="F896" s="7">
        <v>1540418</v>
      </c>
      <c r="G896" s="7">
        <v>0</v>
      </c>
      <c r="H896">
        <v>55</v>
      </c>
      <c r="I896" t="s">
        <v>23</v>
      </c>
    </row>
    <row r="897" spans="1:9" x14ac:dyDescent="0.35">
      <c r="A897" t="s">
        <v>6112</v>
      </c>
      <c r="B897" t="s">
        <v>48</v>
      </c>
      <c r="C897" s="7">
        <v>0.68</v>
      </c>
      <c r="D897" s="7">
        <v>201457</v>
      </c>
      <c r="E897" s="7">
        <v>0.7</v>
      </c>
      <c r="F897" s="7">
        <v>201457</v>
      </c>
      <c r="G897" s="7">
        <v>0</v>
      </c>
      <c r="H897">
        <v>56</v>
      </c>
      <c r="I897" t="s">
        <v>23</v>
      </c>
    </row>
    <row r="898" spans="1:9" x14ac:dyDescent="0.35">
      <c r="A898" t="s">
        <v>6113</v>
      </c>
      <c r="B898" t="s">
        <v>48</v>
      </c>
      <c r="C898" s="7">
        <v>0.64</v>
      </c>
      <c r="D898" s="7">
        <v>455612</v>
      </c>
      <c r="E898" s="7">
        <v>0.71</v>
      </c>
      <c r="F898" s="7">
        <v>455612</v>
      </c>
      <c r="G898" s="7">
        <v>0</v>
      </c>
      <c r="H898">
        <v>57</v>
      </c>
      <c r="I898" t="s">
        <v>23</v>
      </c>
    </row>
    <row r="899" spans="1:9" x14ac:dyDescent="0.35">
      <c r="A899" t="s">
        <v>6114</v>
      </c>
      <c r="B899" t="s">
        <v>48</v>
      </c>
      <c r="C899" s="7">
        <v>0.62</v>
      </c>
      <c r="D899" s="7">
        <v>63964</v>
      </c>
      <c r="E899" s="7">
        <v>0.68</v>
      </c>
      <c r="F899" s="7">
        <v>63964</v>
      </c>
      <c r="G899" s="7">
        <v>0</v>
      </c>
      <c r="H899">
        <v>58</v>
      </c>
      <c r="I899" t="s">
        <v>23</v>
      </c>
    </row>
    <row r="900" spans="1:9" x14ac:dyDescent="0.35">
      <c r="A900" t="s">
        <v>6115</v>
      </c>
      <c r="B900" t="s">
        <v>48</v>
      </c>
      <c r="C900" s="7">
        <v>0.6</v>
      </c>
      <c r="D900" s="7">
        <v>2862772</v>
      </c>
      <c r="E900" s="7">
        <v>0.6</v>
      </c>
      <c r="F900" s="7">
        <v>2862772</v>
      </c>
      <c r="G900" s="7">
        <v>0</v>
      </c>
      <c r="H900">
        <v>59</v>
      </c>
      <c r="I900" t="s">
        <v>23</v>
      </c>
    </row>
    <row r="901" spans="1:9" x14ac:dyDescent="0.35">
      <c r="A901" t="s">
        <v>6116</v>
      </c>
      <c r="B901" t="s">
        <v>48</v>
      </c>
      <c r="C901" s="7">
        <v>0.57999999999999996</v>
      </c>
      <c r="D901" s="7">
        <v>911491</v>
      </c>
      <c r="E901" s="7">
        <v>0.57999999999999996</v>
      </c>
      <c r="F901" s="7">
        <v>911491</v>
      </c>
      <c r="G901" s="7">
        <v>0</v>
      </c>
      <c r="H901">
        <v>60</v>
      </c>
      <c r="I901" t="s">
        <v>23</v>
      </c>
    </row>
    <row r="902" spans="1:9" x14ac:dyDescent="0.35">
      <c r="A902" t="s">
        <v>6022</v>
      </c>
      <c r="B902" t="s">
        <v>48</v>
      </c>
      <c r="C902" s="7">
        <v>0.57999999999999996</v>
      </c>
      <c r="D902" s="7">
        <v>736889</v>
      </c>
      <c r="E902" s="7">
        <v>0.62</v>
      </c>
      <c r="F902" s="7">
        <v>736889</v>
      </c>
      <c r="G902" s="7">
        <v>0</v>
      </c>
      <c r="H902">
        <v>61</v>
      </c>
      <c r="I902" t="s">
        <v>23</v>
      </c>
    </row>
    <row r="903" spans="1:9" x14ac:dyDescent="0.35">
      <c r="A903" t="s">
        <v>6117</v>
      </c>
      <c r="B903" t="s">
        <v>48</v>
      </c>
      <c r="C903" s="7">
        <v>0.56999999999999995</v>
      </c>
      <c r="D903" s="7">
        <v>341552</v>
      </c>
      <c r="E903" s="7">
        <v>0.59</v>
      </c>
      <c r="F903" s="7">
        <v>341552</v>
      </c>
      <c r="G903" s="7">
        <v>0</v>
      </c>
      <c r="H903">
        <v>62</v>
      </c>
      <c r="I903" t="s">
        <v>23</v>
      </c>
    </row>
    <row r="904" spans="1:9" x14ac:dyDescent="0.35">
      <c r="A904" t="s">
        <v>4449</v>
      </c>
      <c r="B904" t="s">
        <v>48</v>
      </c>
      <c r="C904" s="7">
        <v>0.51</v>
      </c>
      <c r="D904" s="7">
        <v>604466</v>
      </c>
      <c r="E904" s="7">
        <v>0.52</v>
      </c>
      <c r="F904" s="7">
        <v>604466</v>
      </c>
      <c r="G904" s="7">
        <v>0</v>
      </c>
      <c r="H904">
        <v>63</v>
      </c>
      <c r="I904" t="s">
        <v>23</v>
      </c>
    </row>
    <row r="905" spans="1:9" x14ac:dyDescent="0.35">
      <c r="A905" t="s">
        <v>6118</v>
      </c>
      <c r="B905" t="s">
        <v>48</v>
      </c>
      <c r="C905" s="7">
        <v>0.27</v>
      </c>
      <c r="D905" s="7">
        <v>106602</v>
      </c>
      <c r="E905" s="7">
        <v>0.27</v>
      </c>
      <c r="F905" s="7">
        <v>106602</v>
      </c>
      <c r="G905" s="7">
        <v>0</v>
      </c>
      <c r="H905">
        <v>64</v>
      </c>
      <c r="I905" t="s">
        <v>23</v>
      </c>
    </row>
    <row r="906" spans="1:9" x14ac:dyDescent="0.35">
      <c r="A906" t="s">
        <v>55</v>
      </c>
      <c r="B906" t="s">
        <v>48</v>
      </c>
      <c r="C906" s="7">
        <v>0</v>
      </c>
      <c r="D906" s="7">
        <v>0</v>
      </c>
      <c r="E906" s="7">
        <v>0</v>
      </c>
      <c r="F906" s="7">
        <v>0</v>
      </c>
      <c r="G906" s="7">
        <v>0</v>
      </c>
      <c r="H906">
        <v>65</v>
      </c>
      <c r="I906" t="s">
        <v>36</v>
      </c>
    </row>
    <row r="907" spans="1:9" x14ac:dyDescent="0.35">
      <c r="A907" t="s">
        <v>58</v>
      </c>
      <c r="B907" t="s">
        <v>48</v>
      </c>
      <c r="C907" s="7">
        <v>0</v>
      </c>
      <c r="D907" s="7">
        <v>0</v>
      </c>
      <c r="E907" s="7">
        <v>0</v>
      </c>
      <c r="F907" s="7">
        <v>0</v>
      </c>
      <c r="G907" s="7">
        <v>0</v>
      </c>
      <c r="H907">
        <v>66</v>
      </c>
      <c r="I907" t="s">
        <v>36</v>
      </c>
    </row>
    <row r="908" spans="1:9" x14ac:dyDescent="0.35">
      <c r="A908" t="s">
        <v>47</v>
      </c>
      <c r="B908" t="s">
        <v>48</v>
      </c>
      <c r="C908" s="7">
        <v>0</v>
      </c>
      <c r="D908" s="7">
        <v>0</v>
      </c>
      <c r="E908" s="7">
        <v>0</v>
      </c>
      <c r="F908" s="7">
        <v>0</v>
      </c>
      <c r="G908" s="7">
        <v>0</v>
      </c>
      <c r="H908">
        <v>67</v>
      </c>
      <c r="I908" t="s">
        <v>36</v>
      </c>
    </row>
    <row r="909" spans="1:9" x14ac:dyDescent="0.35">
      <c r="A909" t="s">
        <v>57</v>
      </c>
      <c r="B909" t="s">
        <v>48</v>
      </c>
      <c r="C909" s="7">
        <v>0</v>
      </c>
      <c r="D909" s="7">
        <v>0</v>
      </c>
      <c r="E909" s="7">
        <v>0</v>
      </c>
      <c r="F909" s="7">
        <v>0</v>
      </c>
      <c r="G909" s="7">
        <v>0</v>
      </c>
      <c r="H909">
        <v>68</v>
      </c>
      <c r="I909" t="s">
        <v>36</v>
      </c>
    </row>
    <row r="910" spans="1:9" x14ac:dyDescent="0.35">
      <c r="A910" t="s">
        <v>56</v>
      </c>
      <c r="B910" t="s">
        <v>48</v>
      </c>
      <c r="C910" s="7">
        <v>0</v>
      </c>
      <c r="D910" s="7">
        <v>0</v>
      </c>
      <c r="E910" s="7">
        <v>0</v>
      </c>
      <c r="F910" s="7">
        <v>0</v>
      </c>
      <c r="G910" s="7">
        <v>0</v>
      </c>
      <c r="H910">
        <v>69</v>
      </c>
      <c r="I910" t="s">
        <v>36</v>
      </c>
    </row>
    <row r="911" spans="1:9" x14ac:dyDescent="0.35">
      <c r="A911" t="s">
        <v>52</v>
      </c>
      <c r="B911" t="s">
        <v>48</v>
      </c>
      <c r="C911" s="7">
        <v>0</v>
      </c>
      <c r="D911" s="7">
        <v>0</v>
      </c>
      <c r="E911" s="7">
        <v>0</v>
      </c>
      <c r="F911" s="7">
        <v>0</v>
      </c>
      <c r="G911" s="7">
        <v>0</v>
      </c>
      <c r="H911">
        <v>70</v>
      </c>
      <c r="I911" t="s">
        <v>36</v>
      </c>
    </row>
    <row r="912" spans="1:9" x14ac:dyDescent="0.35">
      <c r="A912" t="s">
        <v>54</v>
      </c>
      <c r="B912" t="s">
        <v>48</v>
      </c>
      <c r="C912" s="7">
        <v>0</v>
      </c>
      <c r="D912" s="7">
        <v>0</v>
      </c>
      <c r="E912" s="7">
        <v>0</v>
      </c>
      <c r="F912" s="7">
        <v>0</v>
      </c>
      <c r="G912" s="7">
        <v>0</v>
      </c>
      <c r="H912">
        <v>71</v>
      </c>
      <c r="I912" t="s">
        <v>36</v>
      </c>
    </row>
    <row r="913" spans="1:9" x14ac:dyDescent="0.35">
      <c r="A913" t="s">
        <v>53</v>
      </c>
      <c r="B913" t="s">
        <v>48</v>
      </c>
      <c r="C913" s="7">
        <v>0</v>
      </c>
      <c r="D913" s="7">
        <v>0</v>
      </c>
      <c r="E913" s="7">
        <v>0</v>
      </c>
      <c r="F913" s="7">
        <v>0</v>
      </c>
      <c r="G913" s="7">
        <v>0</v>
      </c>
      <c r="H913">
        <v>72</v>
      </c>
      <c r="I913" t="s">
        <v>36</v>
      </c>
    </row>
    <row r="914" spans="1:9" x14ac:dyDescent="0.35">
      <c r="A914" t="s">
        <v>38</v>
      </c>
      <c r="B914" t="s">
        <v>48</v>
      </c>
      <c r="C914" s="7">
        <v>0</v>
      </c>
      <c r="D914" s="7">
        <v>0</v>
      </c>
      <c r="E914" s="7">
        <v>0.24</v>
      </c>
      <c r="F914" s="7">
        <v>29730</v>
      </c>
      <c r="G914" s="7">
        <v>-29730</v>
      </c>
      <c r="H914">
        <v>73</v>
      </c>
      <c r="I914" t="s">
        <v>25</v>
      </c>
    </row>
    <row r="915" spans="1:9" x14ac:dyDescent="0.35">
      <c r="A915" t="s">
        <v>43</v>
      </c>
      <c r="B915" t="s">
        <v>48</v>
      </c>
      <c r="C915" s="7">
        <v>0</v>
      </c>
      <c r="D915" s="7">
        <v>0</v>
      </c>
      <c r="E915" s="7">
        <v>2.68</v>
      </c>
      <c r="F915" s="7">
        <v>850000</v>
      </c>
      <c r="G915" s="7">
        <v>-850000</v>
      </c>
      <c r="H915">
        <v>74</v>
      </c>
      <c r="I915" t="s">
        <v>25</v>
      </c>
    </row>
    <row r="916" spans="1:9" x14ac:dyDescent="0.35">
      <c r="A916" t="s">
        <v>59</v>
      </c>
      <c r="B916" t="s">
        <v>48</v>
      </c>
      <c r="C916" s="7">
        <v>0</v>
      </c>
      <c r="D916" s="7">
        <v>0</v>
      </c>
      <c r="E916" s="7">
        <v>0</v>
      </c>
      <c r="F916" s="7">
        <v>0</v>
      </c>
      <c r="G916" s="7">
        <v>0</v>
      </c>
      <c r="H916">
        <v>75</v>
      </c>
      <c r="I916" t="s">
        <v>36</v>
      </c>
    </row>
    <row r="917" spans="1:9" x14ac:dyDescent="0.35">
      <c r="A917" t="s">
        <v>61</v>
      </c>
      <c r="B917" t="s">
        <v>110</v>
      </c>
      <c r="C917" s="7">
        <v>9.32</v>
      </c>
      <c r="D917" s="7">
        <v>198200</v>
      </c>
      <c r="E917" s="7">
        <v>8.52</v>
      </c>
      <c r="F917" s="7">
        <v>156950</v>
      </c>
      <c r="G917" s="7">
        <v>41250</v>
      </c>
      <c r="H917">
        <v>1</v>
      </c>
      <c r="I917" t="s">
        <v>22</v>
      </c>
    </row>
    <row r="918" spans="1:9" x14ac:dyDescent="0.35">
      <c r="A918" t="s">
        <v>72</v>
      </c>
      <c r="B918" t="s">
        <v>110</v>
      </c>
      <c r="C918" s="7">
        <v>9.07</v>
      </c>
      <c r="D918" s="7">
        <v>614500</v>
      </c>
      <c r="E918" s="7">
        <v>4.96</v>
      </c>
      <c r="F918" s="7">
        <v>317000</v>
      </c>
      <c r="G918" s="7">
        <v>297500</v>
      </c>
      <c r="H918">
        <v>2</v>
      </c>
      <c r="I918" t="s">
        <v>22</v>
      </c>
    </row>
    <row r="919" spans="1:9" x14ac:dyDescent="0.35">
      <c r="A919" t="s">
        <v>60</v>
      </c>
      <c r="B919" t="s">
        <v>110</v>
      </c>
      <c r="C919" s="7">
        <v>8.51</v>
      </c>
      <c r="D919" s="7">
        <v>117400</v>
      </c>
      <c r="E919" s="7">
        <v>8.84</v>
      </c>
      <c r="F919" s="7">
        <v>108600</v>
      </c>
      <c r="G919" s="7">
        <v>8800</v>
      </c>
      <c r="H919">
        <v>3</v>
      </c>
      <c r="I919" t="s">
        <v>22</v>
      </c>
    </row>
    <row r="920" spans="1:9" x14ac:dyDescent="0.35">
      <c r="A920" t="s">
        <v>64</v>
      </c>
      <c r="B920" t="s">
        <v>110</v>
      </c>
      <c r="C920" s="7">
        <v>7.35</v>
      </c>
      <c r="D920" s="7">
        <v>532842</v>
      </c>
      <c r="E920" s="7">
        <v>7.11</v>
      </c>
      <c r="F920" s="7">
        <v>532842</v>
      </c>
      <c r="G920" s="7">
        <v>0</v>
      </c>
      <c r="H920">
        <v>4</v>
      </c>
      <c r="I920" t="s">
        <v>23</v>
      </c>
    </row>
    <row r="921" spans="1:9" x14ac:dyDescent="0.35">
      <c r="A921" t="s">
        <v>111</v>
      </c>
      <c r="B921" t="s">
        <v>110</v>
      </c>
      <c r="C921" s="7">
        <v>7.25</v>
      </c>
      <c r="D921" s="7">
        <v>445622</v>
      </c>
      <c r="E921" s="7">
        <v>7.11</v>
      </c>
      <c r="F921" s="7">
        <v>445622</v>
      </c>
      <c r="G921" s="7">
        <v>0</v>
      </c>
      <c r="H921">
        <v>5</v>
      </c>
      <c r="I921" t="s">
        <v>23</v>
      </c>
    </row>
    <row r="922" spans="1:9" x14ac:dyDescent="0.35">
      <c r="A922" t="s">
        <v>95</v>
      </c>
      <c r="B922" t="s">
        <v>110</v>
      </c>
      <c r="C922" s="7">
        <v>6.58</v>
      </c>
      <c r="D922" s="7">
        <v>202500</v>
      </c>
      <c r="E922" s="7">
        <v>8.07</v>
      </c>
      <c r="F922" s="7">
        <v>239800</v>
      </c>
      <c r="G922" s="7">
        <v>-37300</v>
      </c>
      <c r="H922">
        <v>6</v>
      </c>
      <c r="I922" t="s">
        <v>25</v>
      </c>
    </row>
    <row r="923" spans="1:9" x14ac:dyDescent="0.35">
      <c r="A923" t="s">
        <v>112</v>
      </c>
      <c r="B923" t="s">
        <v>110</v>
      </c>
      <c r="C923" s="7">
        <v>5.25</v>
      </c>
      <c r="D923" s="7">
        <v>845800</v>
      </c>
      <c r="E923" s="7">
        <v>5.1100000000000003</v>
      </c>
      <c r="F923" s="7">
        <v>845800</v>
      </c>
      <c r="G923" s="7">
        <v>0</v>
      </c>
      <c r="H923">
        <v>7</v>
      </c>
      <c r="I923" t="s">
        <v>23</v>
      </c>
    </row>
    <row r="924" spans="1:9" x14ac:dyDescent="0.35">
      <c r="A924" t="s">
        <v>79</v>
      </c>
      <c r="B924" t="s">
        <v>110</v>
      </c>
      <c r="C924" s="7">
        <v>4.4000000000000004</v>
      </c>
      <c r="D924" s="7">
        <v>203654</v>
      </c>
      <c r="E924" s="7">
        <v>4.42</v>
      </c>
      <c r="F924" s="7">
        <v>203654</v>
      </c>
      <c r="G924" s="7">
        <v>0</v>
      </c>
      <c r="H924">
        <v>8</v>
      </c>
      <c r="I924" t="s">
        <v>23</v>
      </c>
    </row>
    <row r="925" spans="1:9" x14ac:dyDescent="0.35">
      <c r="A925" t="s">
        <v>6119</v>
      </c>
      <c r="B925" t="s">
        <v>110</v>
      </c>
      <c r="C925" s="7">
        <v>4.24</v>
      </c>
      <c r="D925" s="7">
        <v>650000</v>
      </c>
      <c r="E925" s="7">
        <v>4.79</v>
      </c>
      <c r="F925" s="7">
        <v>650000</v>
      </c>
      <c r="G925" s="7">
        <v>0</v>
      </c>
      <c r="H925">
        <v>9</v>
      </c>
      <c r="I925" t="s">
        <v>23</v>
      </c>
    </row>
    <row r="926" spans="1:9" x14ac:dyDescent="0.35">
      <c r="A926" t="s">
        <v>73</v>
      </c>
      <c r="B926" t="s">
        <v>110</v>
      </c>
      <c r="C926" s="7">
        <v>3.9</v>
      </c>
      <c r="D926" s="7">
        <v>16500</v>
      </c>
      <c r="E926" s="7">
        <v>4.37</v>
      </c>
      <c r="F926" s="7">
        <v>16500</v>
      </c>
      <c r="G926" s="7">
        <v>0</v>
      </c>
      <c r="H926">
        <v>10</v>
      </c>
      <c r="I926" t="s">
        <v>23</v>
      </c>
    </row>
    <row r="927" spans="1:9" x14ac:dyDescent="0.35">
      <c r="A927" t="s">
        <v>87</v>
      </c>
      <c r="B927" t="s">
        <v>110</v>
      </c>
      <c r="C927" s="7">
        <v>2.7</v>
      </c>
      <c r="D927" s="7">
        <v>5009</v>
      </c>
      <c r="E927" s="7">
        <v>3.04</v>
      </c>
      <c r="F927" s="7">
        <v>5009</v>
      </c>
      <c r="G927" s="7">
        <v>0</v>
      </c>
      <c r="H927">
        <v>11</v>
      </c>
      <c r="I927" t="s">
        <v>23</v>
      </c>
    </row>
    <row r="928" spans="1:9" x14ac:dyDescent="0.35">
      <c r="A928" t="s">
        <v>62</v>
      </c>
      <c r="B928" t="s">
        <v>110</v>
      </c>
      <c r="C928" s="7">
        <v>1.79</v>
      </c>
      <c r="D928" s="7">
        <v>76600</v>
      </c>
      <c r="E928" s="7">
        <v>0.85</v>
      </c>
      <c r="F928" s="7">
        <v>36600</v>
      </c>
      <c r="G928" s="7">
        <v>40000</v>
      </c>
      <c r="H928">
        <v>12</v>
      </c>
      <c r="I928" t="s">
        <v>22</v>
      </c>
    </row>
    <row r="929" spans="1:9" x14ac:dyDescent="0.35">
      <c r="A929" t="s">
        <v>113</v>
      </c>
      <c r="B929" t="s">
        <v>110</v>
      </c>
      <c r="C929" s="7">
        <v>1.34</v>
      </c>
      <c r="D929" s="7">
        <v>175500</v>
      </c>
      <c r="E929" s="7">
        <v>0</v>
      </c>
      <c r="F929" s="7">
        <v>0</v>
      </c>
      <c r="G929" s="7">
        <v>175500</v>
      </c>
      <c r="H929">
        <v>13</v>
      </c>
      <c r="I929" t="s">
        <v>32</v>
      </c>
    </row>
    <row r="930" spans="1:9" x14ac:dyDescent="0.35">
      <c r="A930" t="s">
        <v>114</v>
      </c>
      <c r="B930" t="s">
        <v>110</v>
      </c>
      <c r="C930" s="7">
        <v>1.29</v>
      </c>
      <c r="D930" s="7">
        <v>2000</v>
      </c>
      <c r="E930" s="7">
        <v>2.46</v>
      </c>
      <c r="F930" s="7">
        <v>3370</v>
      </c>
      <c r="G930" s="7">
        <v>-1370</v>
      </c>
      <c r="H930">
        <v>14</v>
      </c>
      <c r="I930" t="s">
        <v>25</v>
      </c>
    </row>
    <row r="931" spans="1:9" x14ac:dyDescent="0.35">
      <c r="A931" t="s">
        <v>83</v>
      </c>
      <c r="B931" t="s">
        <v>110</v>
      </c>
      <c r="C931" s="7">
        <v>0.86</v>
      </c>
      <c r="D931" s="7">
        <v>116100</v>
      </c>
      <c r="E931" s="7">
        <v>0</v>
      </c>
      <c r="F931" s="7">
        <v>0</v>
      </c>
      <c r="G931" s="7">
        <v>116100</v>
      </c>
      <c r="H931">
        <v>15</v>
      </c>
      <c r="I931" t="s">
        <v>32</v>
      </c>
    </row>
    <row r="932" spans="1:9" x14ac:dyDescent="0.35">
      <c r="A932" t="s">
        <v>27</v>
      </c>
      <c r="B932" t="s">
        <v>110</v>
      </c>
      <c r="C932" s="7">
        <v>0</v>
      </c>
      <c r="D932" s="7">
        <v>0</v>
      </c>
      <c r="E932" s="7">
        <v>0</v>
      </c>
      <c r="F932" s="7">
        <v>0</v>
      </c>
      <c r="G932" s="7">
        <v>0</v>
      </c>
      <c r="H932">
        <v>16</v>
      </c>
      <c r="I932" t="s">
        <v>36</v>
      </c>
    </row>
    <row r="933" spans="1:9" x14ac:dyDescent="0.35">
      <c r="A933" t="s">
        <v>81</v>
      </c>
      <c r="B933" t="s">
        <v>110</v>
      </c>
      <c r="C933" s="7">
        <v>0</v>
      </c>
      <c r="D933" s="7">
        <v>0</v>
      </c>
      <c r="E933" s="7">
        <v>0</v>
      </c>
      <c r="F933" s="7">
        <v>0</v>
      </c>
      <c r="G933" s="7">
        <v>0</v>
      </c>
      <c r="H933">
        <v>17</v>
      </c>
      <c r="I933" t="s">
        <v>36</v>
      </c>
    </row>
    <row r="934" spans="1:9" x14ac:dyDescent="0.35">
      <c r="A934" t="s">
        <v>115</v>
      </c>
      <c r="B934" t="s">
        <v>110</v>
      </c>
      <c r="C934" s="7">
        <v>0</v>
      </c>
      <c r="D934" s="7">
        <v>0</v>
      </c>
      <c r="E934" s="7">
        <v>0</v>
      </c>
      <c r="F934" s="7">
        <v>0</v>
      </c>
      <c r="G934" s="7">
        <v>0</v>
      </c>
      <c r="H934">
        <v>18</v>
      </c>
      <c r="I934" t="s">
        <v>36</v>
      </c>
    </row>
    <row r="935" spans="1:9" x14ac:dyDescent="0.35">
      <c r="A935" t="s">
        <v>116</v>
      </c>
      <c r="B935" t="s">
        <v>110</v>
      </c>
      <c r="C935" s="7">
        <v>0</v>
      </c>
      <c r="D935" s="7">
        <v>0</v>
      </c>
      <c r="E935" s="7">
        <v>0</v>
      </c>
      <c r="F935" s="7">
        <v>0</v>
      </c>
      <c r="G935" s="7">
        <v>0</v>
      </c>
      <c r="H935">
        <v>19</v>
      </c>
      <c r="I935" t="s">
        <v>36</v>
      </c>
    </row>
    <row r="936" spans="1:9" x14ac:dyDescent="0.35">
      <c r="A936" t="s">
        <v>97</v>
      </c>
      <c r="B936" t="s">
        <v>110</v>
      </c>
      <c r="C936" s="7">
        <v>0</v>
      </c>
      <c r="D936" s="7">
        <v>0</v>
      </c>
      <c r="E936" s="7">
        <v>2.91</v>
      </c>
      <c r="F936" s="7">
        <v>216400</v>
      </c>
      <c r="G936" s="7">
        <v>-216400</v>
      </c>
      <c r="H936">
        <v>20</v>
      </c>
      <c r="I936" t="s">
        <v>25</v>
      </c>
    </row>
    <row r="937" spans="1:9" x14ac:dyDescent="0.35">
      <c r="A937" t="s">
        <v>98</v>
      </c>
      <c r="B937" t="s">
        <v>110</v>
      </c>
      <c r="C937" s="7">
        <v>0</v>
      </c>
      <c r="D937" s="7">
        <v>0</v>
      </c>
      <c r="E937" s="7">
        <v>0</v>
      </c>
      <c r="F937" s="7">
        <v>0</v>
      </c>
      <c r="G937" s="7">
        <v>0</v>
      </c>
      <c r="H937">
        <v>21</v>
      </c>
      <c r="I937" t="s">
        <v>36</v>
      </c>
    </row>
    <row r="938" spans="1:9" x14ac:dyDescent="0.35">
      <c r="A938" t="s">
        <v>100</v>
      </c>
      <c r="B938" t="s">
        <v>110</v>
      </c>
      <c r="C938" s="7">
        <v>0</v>
      </c>
      <c r="D938" s="7">
        <v>0</v>
      </c>
      <c r="E938" s="7">
        <v>2.3199999999999998</v>
      </c>
      <c r="F938" s="7">
        <v>160000</v>
      </c>
      <c r="G938" s="7">
        <v>-160000</v>
      </c>
      <c r="H938">
        <v>22</v>
      </c>
      <c r="I938" t="s">
        <v>25</v>
      </c>
    </row>
    <row r="939" spans="1:9" x14ac:dyDescent="0.35">
      <c r="A939" t="s">
        <v>117</v>
      </c>
      <c r="B939" t="s">
        <v>110</v>
      </c>
      <c r="C939" s="7">
        <v>0</v>
      </c>
      <c r="D939" s="7">
        <v>0</v>
      </c>
      <c r="E939" s="7">
        <v>0</v>
      </c>
      <c r="F939" s="7">
        <v>0</v>
      </c>
      <c r="G939" s="7">
        <v>0</v>
      </c>
      <c r="H939">
        <v>23</v>
      </c>
      <c r="I939" t="s">
        <v>36</v>
      </c>
    </row>
    <row r="940" spans="1:9" x14ac:dyDescent="0.35">
      <c r="A940" t="s">
        <v>118</v>
      </c>
      <c r="B940" t="s">
        <v>110</v>
      </c>
      <c r="C940" s="7">
        <v>0</v>
      </c>
      <c r="D940" s="7">
        <v>0</v>
      </c>
      <c r="E940" s="7">
        <v>1.7</v>
      </c>
      <c r="F940" s="7">
        <v>280000</v>
      </c>
      <c r="G940" s="7">
        <v>-280000</v>
      </c>
      <c r="H940">
        <v>24</v>
      </c>
      <c r="I940" t="s">
        <v>25</v>
      </c>
    </row>
    <row r="941" spans="1:9" x14ac:dyDescent="0.35">
      <c r="A941" t="s">
        <v>66</v>
      </c>
      <c r="B941" t="s">
        <v>110</v>
      </c>
      <c r="C941" s="7">
        <v>0</v>
      </c>
      <c r="D941" s="7">
        <v>0</v>
      </c>
      <c r="E941" s="7">
        <v>6.56</v>
      </c>
      <c r="F941" s="7">
        <v>39550</v>
      </c>
      <c r="G941" s="7">
        <v>-39550</v>
      </c>
      <c r="H941">
        <v>25</v>
      </c>
      <c r="I941" t="s">
        <v>25</v>
      </c>
    </row>
    <row r="942" spans="1:9" x14ac:dyDescent="0.35">
      <c r="A942" t="s">
        <v>63</v>
      </c>
      <c r="B942" t="s">
        <v>119</v>
      </c>
      <c r="C942" s="7">
        <v>8.49</v>
      </c>
      <c r="D942" s="7">
        <v>1196175</v>
      </c>
      <c r="E942" s="7">
        <v>6.83</v>
      </c>
      <c r="F942" s="7">
        <v>937475</v>
      </c>
      <c r="G942" s="7">
        <v>258700</v>
      </c>
      <c r="H942">
        <v>1</v>
      </c>
      <c r="I942" t="s">
        <v>22</v>
      </c>
    </row>
    <row r="943" spans="1:9" x14ac:dyDescent="0.35">
      <c r="A943" t="s">
        <v>60</v>
      </c>
      <c r="B943" t="s">
        <v>119</v>
      </c>
      <c r="C943" s="7">
        <v>8.39</v>
      </c>
      <c r="D943" s="7">
        <v>833250</v>
      </c>
      <c r="E943" s="7">
        <v>9.3699999999999992</v>
      </c>
      <c r="F943" s="7">
        <v>804250</v>
      </c>
      <c r="G943" s="7">
        <v>29000</v>
      </c>
      <c r="H943">
        <v>2</v>
      </c>
      <c r="I943" t="s">
        <v>22</v>
      </c>
    </row>
    <row r="944" spans="1:9" x14ac:dyDescent="0.35">
      <c r="A944" t="s">
        <v>62</v>
      </c>
      <c r="B944" t="s">
        <v>119</v>
      </c>
      <c r="C944" s="7">
        <v>7.8</v>
      </c>
      <c r="D944" s="7">
        <v>2392050</v>
      </c>
      <c r="E944" s="7">
        <v>5.03</v>
      </c>
      <c r="F944" s="7">
        <v>1513550</v>
      </c>
      <c r="G944" s="7">
        <v>878500</v>
      </c>
      <c r="H944">
        <v>3</v>
      </c>
      <c r="I944" t="s">
        <v>22</v>
      </c>
    </row>
    <row r="945" spans="1:9" x14ac:dyDescent="0.35">
      <c r="A945" t="s">
        <v>68</v>
      </c>
      <c r="B945" t="s">
        <v>119</v>
      </c>
      <c r="C945" s="7">
        <v>6.91</v>
      </c>
      <c r="D945" s="7">
        <v>686500</v>
      </c>
      <c r="E945" s="7">
        <v>5.3</v>
      </c>
      <c r="F945" s="7">
        <v>514625</v>
      </c>
      <c r="G945" s="7">
        <v>171875</v>
      </c>
      <c r="H945">
        <v>4</v>
      </c>
      <c r="I945" t="s">
        <v>22</v>
      </c>
    </row>
    <row r="946" spans="1:9" x14ac:dyDescent="0.35">
      <c r="A946" t="s">
        <v>65</v>
      </c>
      <c r="B946" t="s">
        <v>119</v>
      </c>
      <c r="C946" s="7">
        <v>5.86</v>
      </c>
      <c r="D946" s="7">
        <v>23971000</v>
      </c>
      <c r="E946" s="7">
        <v>5.66</v>
      </c>
      <c r="F946" s="7">
        <v>23971000</v>
      </c>
      <c r="G946" s="7">
        <v>0</v>
      </c>
      <c r="H946">
        <v>5</v>
      </c>
      <c r="I946" t="s">
        <v>23</v>
      </c>
    </row>
    <row r="947" spans="1:9" x14ac:dyDescent="0.35">
      <c r="A947" t="s">
        <v>67</v>
      </c>
      <c r="B947" t="s">
        <v>119</v>
      </c>
      <c r="C947" s="7">
        <v>5.0199999999999996</v>
      </c>
      <c r="D947" s="7">
        <v>1259996</v>
      </c>
      <c r="E947" s="7">
        <v>5.44</v>
      </c>
      <c r="F947" s="7">
        <v>1259996</v>
      </c>
      <c r="G947" s="7">
        <v>0</v>
      </c>
      <c r="H947">
        <v>6</v>
      </c>
      <c r="I947" t="s">
        <v>23</v>
      </c>
    </row>
    <row r="948" spans="1:9" x14ac:dyDescent="0.35">
      <c r="A948" t="s">
        <v>6120</v>
      </c>
      <c r="B948" t="s">
        <v>119</v>
      </c>
      <c r="C948" s="7">
        <v>4.5599999999999996</v>
      </c>
      <c r="D948" s="7">
        <v>4730000</v>
      </c>
      <c r="E948" s="7">
        <v>0</v>
      </c>
      <c r="F948" s="7">
        <v>0</v>
      </c>
      <c r="G948" s="7">
        <v>4730000</v>
      </c>
      <c r="H948">
        <v>7</v>
      </c>
      <c r="I948" t="s">
        <v>32</v>
      </c>
    </row>
    <row r="949" spans="1:9" x14ac:dyDescent="0.35">
      <c r="A949" t="s">
        <v>6121</v>
      </c>
      <c r="B949" t="s">
        <v>119</v>
      </c>
      <c r="C949" s="7">
        <v>4.45</v>
      </c>
      <c r="D949" s="7">
        <v>10812000</v>
      </c>
      <c r="E949" s="7">
        <v>0</v>
      </c>
      <c r="F949" s="7">
        <v>0</v>
      </c>
      <c r="G949" s="7">
        <v>10812000</v>
      </c>
      <c r="H949">
        <v>8</v>
      </c>
      <c r="I949" t="s">
        <v>32</v>
      </c>
    </row>
    <row r="950" spans="1:9" x14ac:dyDescent="0.35">
      <c r="A950" t="s">
        <v>6122</v>
      </c>
      <c r="B950" t="s">
        <v>119</v>
      </c>
      <c r="C950" s="7">
        <v>4.34</v>
      </c>
      <c r="D950" s="7">
        <v>220506</v>
      </c>
      <c r="E950" s="7">
        <v>4.3499999999999996</v>
      </c>
      <c r="F950" s="7">
        <v>220506</v>
      </c>
      <c r="G950" s="7">
        <v>0</v>
      </c>
      <c r="H950">
        <v>9</v>
      </c>
      <c r="I950" t="s">
        <v>23</v>
      </c>
    </row>
    <row r="951" spans="1:9" x14ac:dyDescent="0.35">
      <c r="A951" t="s">
        <v>6123</v>
      </c>
      <c r="B951" t="s">
        <v>119</v>
      </c>
      <c r="C951" s="7">
        <v>4.33</v>
      </c>
      <c r="D951" s="7">
        <v>4892500</v>
      </c>
      <c r="E951" s="7">
        <v>0</v>
      </c>
      <c r="F951" s="7">
        <v>0</v>
      </c>
      <c r="G951" s="7">
        <v>4892500</v>
      </c>
      <c r="H951">
        <v>10</v>
      </c>
      <c r="I951" t="s">
        <v>32</v>
      </c>
    </row>
    <row r="952" spans="1:9" x14ac:dyDescent="0.35">
      <c r="A952" t="s">
        <v>6124</v>
      </c>
      <c r="B952" t="s">
        <v>119</v>
      </c>
      <c r="C952" s="7">
        <v>4.32</v>
      </c>
      <c r="D952" s="7">
        <v>3841000</v>
      </c>
      <c r="E952" s="7">
        <v>0.03</v>
      </c>
      <c r="F952" s="7">
        <v>25000</v>
      </c>
      <c r="G952" s="7">
        <v>3816000</v>
      </c>
      <c r="H952">
        <v>11</v>
      </c>
      <c r="I952" t="s">
        <v>22</v>
      </c>
    </row>
    <row r="953" spans="1:9" x14ac:dyDescent="0.35">
      <c r="A953" t="s">
        <v>6125</v>
      </c>
      <c r="B953" t="s">
        <v>119</v>
      </c>
      <c r="C953" s="7">
        <v>3.64</v>
      </c>
      <c r="D953" s="7">
        <v>348261</v>
      </c>
      <c r="E953" s="7">
        <v>4.1500000000000004</v>
      </c>
      <c r="F953" s="7">
        <v>348261</v>
      </c>
      <c r="G953" s="7">
        <v>0</v>
      </c>
      <c r="H953">
        <v>12</v>
      </c>
      <c r="I953" t="s">
        <v>23</v>
      </c>
    </row>
    <row r="954" spans="1:9" x14ac:dyDescent="0.35">
      <c r="A954" t="s">
        <v>79</v>
      </c>
      <c r="B954" t="s">
        <v>119</v>
      </c>
      <c r="C954" s="7">
        <v>3.57</v>
      </c>
      <c r="D954" s="7">
        <v>1191494</v>
      </c>
      <c r="E954" s="7">
        <v>0</v>
      </c>
      <c r="F954" s="7">
        <v>0</v>
      </c>
      <c r="G954" s="7">
        <v>1191494</v>
      </c>
      <c r="H954">
        <v>13</v>
      </c>
      <c r="I954" t="s">
        <v>32</v>
      </c>
    </row>
    <row r="955" spans="1:9" x14ac:dyDescent="0.35">
      <c r="A955" t="s">
        <v>87</v>
      </c>
      <c r="B955" t="s">
        <v>119</v>
      </c>
      <c r="C955" s="7">
        <v>3.55</v>
      </c>
      <c r="D955" s="7">
        <v>47405</v>
      </c>
      <c r="E955" s="7">
        <v>4.13</v>
      </c>
      <c r="F955" s="7">
        <v>47405</v>
      </c>
      <c r="G955" s="7">
        <v>0</v>
      </c>
      <c r="H955">
        <v>14</v>
      </c>
      <c r="I955" t="s">
        <v>23</v>
      </c>
    </row>
    <row r="956" spans="1:9" x14ac:dyDescent="0.35">
      <c r="A956" t="s">
        <v>90</v>
      </c>
      <c r="B956" t="s">
        <v>119</v>
      </c>
      <c r="C956" s="7">
        <v>3.1</v>
      </c>
      <c r="D956" s="7">
        <v>1157710</v>
      </c>
      <c r="E956" s="7">
        <v>2.48</v>
      </c>
      <c r="F956" s="7">
        <v>882710</v>
      </c>
      <c r="G956" s="7">
        <v>275000</v>
      </c>
      <c r="H956">
        <v>15</v>
      </c>
      <c r="I956" t="s">
        <v>22</v>
      </c>
    </row>
    <row r="957" spans="1:9" x14ac:dyDescent="0.35">
      <c r="A957" t="s">
        <v>75</v>
      </c>
      <c r="B957" t="s">
        <v>119</v>
      </c>
      <c r="C957" s="7">
        <v>2.39</v>
      </c>
      <c r="D957" s="7">
        <v>6784980</v>
      </c>
      <c r="E957" s="7">
        <v>3.1</v>
      </c>
      <c r="F957" s="7">
        <v>9401000</v>
      </c>
      <c r="G957" s="7">
        <v>-2616020</v>
      </c>
      <c r="H957">
        <v>16</v>
      </c>
      <c r="I957" t="s">
        <v>25</v>
      </c>
    </row>
    <row r="958" spans="1:9" x14ac:dyDescent="0.35">
      <c r="A958" t="s">
        <v>120</v>
      </c>
      <c r="B958" t="s">
        <v>119</v>
      </c>
      <c r="C958" s="7">
        <v>2.27</v>
      </c>
      <c r="D958" s="7">
        <v>293888</v>
      </c>
      <c r="E958" s="7">
        <v>2.66</v>
      </c>
      <c r="F958" s="7">
        <v>268888</v>
      </c>
      <c r="G958" s="7">
        <v>25000</v>
      </c>
      <c r="H958">
        <v>17</v>
      </c>
      <c r="I958" t="s">
        <v>22</v>
      </c>
    </row>
    <row r="959" spans="1:9" x14ac:dyDescent="0.35">
      <c r="A959" t="s">
        <v>121</v>
      </c>
      <c r="B959" t="s">
        <v>119</v>
      </c>
      <c r="C959" s="7">
        <v>1.82</v>
      </c>
      <c r="D959" s="7">
        <v>115700</v>
      </c>
      <c r="E959" s="7">
        <v>4.2300000000000004</v>
      </c>
      <c r="F959" s="7">
        <v>263700</v>
      </c>
      <c r="G959" s="7">
        <v>-148000</v>
      </c>
      <c r="H959">
        <v>18</v>
      </c>
      <c r="I959" t="s">
        <v>25</v>
      </c>
    </row>
    <row r="960" spans="1:9" x14ac:dyDescent="0.35">
      <c r="A960" t="s">
        <v>6126</v>
      </c>
      <c r="B960" t="s">
        <v>119</v>
      </c>
      <c r="C960" s="7">
        <v>1.81</v>
      </c>
      <c r="D960" s="7">
        <v>362404</v>
      </c>
      <c r="E960" s="7">
        <v>2.02</v>
      </c>
      <c r="F960" s="7">
        <v>362404</v>
      </c>
      <c r="G960" s="7">
        <v>0</v>
      </c>
      <c r="H960">
        <v>19</v>
      </c>
      <c r="I960" t="s">
        <v>23</v>
      </c>
    </row>
    <row r="961" spans="1:9" x14ac:dyDescent="0.35">
      <c r="A961" t="s">
        <v>83</v>
      </c>
      <c r="B961" t="s">
        <v>119</v>
      </c>
      <c r="C961" s="7">
        <v>0.86</v>
      </c>
      <c r="D961" s="7">
        <v>833250</v>
      </c>
      <c r="E961" s="7">
        <v>0</v>
      </c>
      <c r="F961" s="7">
        <v>0</v>
      </c>
      <c r="G961" s="7">
        <v>833250</v>
      </c>
      <c r="H961">
        <v>20</v>
      </c>
      <c r="I961" t="s">
        <v>32</v>
      </c>
    </row>
    <row r="962" spans="1:9" x14ac:dyDescent="0.35">
      <c r="A962" t="s">
        <v>6127</v>
      </c>
      <c r="B962" t="s">
        <v>119</v>
      </c>
      <c r="C962" s="7">
        <v>0.7</v>
      </c>
      <c r="D962" s="7">
        <v>202000</v>
      </c>
      <c r="E962" s="7">
        <v>0</v>
      </c>
      <c r="F962" s="7">
        <v>0</v>
      </c>
      <c r="G962" s="7">
        <v>202000</v>
      </c>
      <c r="H962">
        <v>21</v>
      </c>
      <c r="I962" t="s">
        <v>32</v>
      </c>
    </row>
    <row r="963" spans="1:9" x14ac:dyDescent="0.35">
      <c r="A963" t="s">
        <v>71</v>
      </c>
      <c r="B963" t="s">
        <v>119</v>
      </c>
      <c r="C963" s="7">
        <v>0</v>
      </c>
      <c r="D963" s="7">
        <v>0</v>
      </c>
      <c r="E963" s="7">
        <v>0</v>
      </c>
      <c r="F963" s="7">
        <v>0</v>
      </c>
      <c r="G963" s="7">
        <v>0</v>
      </c>
      <c r="H963">
        <v>22</v>
      </c>
      <c r="I963" t="s">
        <v>36</v>
      </c>
    </row>
    <row r="964" spans="1:9" x14ac:dyDescent="0.35">
      <c r="A964" t="s">
        <v>61</v>
      </c>
      <c r="B964" t="s">
        <v>119</v>
      </c>
      <c r="C964" s="7">
        <v>0</v>
      </c>
      <c r="D964" s="7">
        <v>0</v>
      </c>
      <c r="E964" s="7">
        <v>8.06</v>
      </c>
      <c r="F964" s="7">
        <v>1036800</v>
      </c>
      <c r="G964" s="7">
        <v>-1036800</v>
      </c>
      <c r="H964">
        <v>23</v>
      </c>
      <c r="I964" t="s">
        <v>25</v>
      </c>
    </row>
    <row r="965" spans="1:9" x14ac:dyDescent="0.35">
      <c r="A965" t="s">
        <v>98</v>
      </c>
      <c r="B965" t="s">
        <v>119</v>
      </c>
      <c r="C965" s="7">
        <v>0</v>
      </c>
      <c r="D965" s="7">
        <v>0</v>
      </c>
      <c r="E965" s="7">
        <v>0</v>
      </c>
      <c r="F965" s="7">
        <v>0</v>
      </c>
      <c r="G965" s="7">
        <v>0</v>
      </c>
      <c r="H965">
        <v>24</v>
      </c>
      <c r="I965" t="s">
        <v>36</v>
      </c>
    </row>
    <row r="966" spans="1:9" x14ac:dyDescent="0.35">
      <c r="A966" t="s">
        <v>99</v>
      </c>
      <c r="B966" t="s">
        <v>119</v>
      </c>
      <c r="C966" s="7">
        <v>0</v>
      </c>
      <c r="D966" s="7">
        <v>0</v>
      </c>
      <c r="E966" s="7">
        <v>3.21</v>
      </c>
      <c r="F966" s="7">
        <v>924000</v>
      </c>
      <c r="G966" s="7">
        <v>-924000</v>
      </c>
      <c r="H966">
        <v>25</v>
      </c>
      <c r="I966" t="s">
        <v>25</v>
      </c>
    </row>
    <row r="967" spans="1:9" x14ac:dyDescent="0.35">
      <c r="A967" t="s">
        <v>33</v>
      </c>
      <c r="B967" t="s">
        <v>119</v>
      </c>
      <c r="C967" s="7">
        <v>0</v>
      </c>
      <c r="D967" s="7">
        <v>0</v>
      </c>
      <c r="E967" s="7">
        <v>0</v>
      </c>
      <c r="F967" s="7">
        <v>0</v>
      </c>
      <c r="G967" s="7">
        <v>0</v>
      </c>
      <c r="H967">
        <v>26</v>
      </c>
      <c r="I967" t="s">
        <v>36</v>
      </c>
    </row>
    <row r="968" spans="1:9" x14ac:dyDescent="0.35">
      <c r="A968" t="s">
        <v>74</v>
      </c>
      <c r="B968" t="s">
        <v>119</v>
      </c>
      <c r="C968" s="7">
        <v>0</v>
      </c>
      <c r="D968" s="7">
        <v>0</v>
      </c>
      <c r="E968" s="7">
        <v>3.59</v>
      </c>
      <c r="F968" s="7">
        <v>1350000</v>
      </c>
      <c r="G968" s="7">
        <v>-1350000</v>
      </c>
      <c r="H968">
        <v>27</v>
      </c>
      <c r="I968" t="s">
        <v>25</v>
      </c>
    </row>
    <row r="969" spans="1:9" x14ac:dyDescent="0.35">
      <c r="A969" t="s">
        <v>122</v>
      </c>
      <c r="B969" t="s">
        <v>119</v>
      </c>
      <c r="C969" s="7">
        <v>0</v>
      </c>
      <c r="D969" s="7">
        <v>0</v>
      </c>
      <c r="E969" s="7">
        <v>4</v>
      </c>
      <c r="F969" s="7">
        <v>2900000</v>
      </c>
      <c r="G969" s="7">
        <v>-2900000</v>
      </c>
      <c r="H969">
        <v>28</v>
      </c>
      <c r="I969" t="s">
        <v>25</v>
      </c>
    </row>
    <row r="970" spans="1:9" x14ac:dyDescent="0.35">
      <c r="A970" t="s">
        <v>123</v>
      </c>
      <c r="B970" t="s">
        <v>119</v>
      </c>
      <c r="C970" s="7">
        <v>0</v>
      </c>
      <c r="D970" s="7">
        <v>0</v>
      </c>
      <c r="E970" s="7">
        <v>0</v>
      </c>
      <c r="F970" s="7">
        <v>0</v>
      </c>
      <c r="G970" s="7">
        <v>0</v>
      </c>
      <c r="H970">
        <v>29</v>
      </c>
      <c r="I970" t="s">
        <v>36</v>
      </c>
    </row>
    <row r="971" spans="1:9" x14ac:dyDescent="0.35">
      <c r="A971" t="s">
        <v>105</v>
      </c>
      <c r="B971" t="s">
        <v>119</v>
      </c>
      <c r="C971" s="7">
        <v>0</v>
      </c>
      <c r="D971" s="7">
        <v>0</v>
      </c>
      <c r="E971" s="7">
        <v>0</v>
      </c>
      <c r="F971" s="7">
        <v>0</v>
      </c>
      <c r="G971" s="7">
        <v>0</v>
      </c>
      <c r="H971">
        <v>30</v>
      </c>
      <c r="I971" t="s">
        <v>36</v>
      </c>
    </row>
    <row r="972" spans="1:9" x14ac:dyDescent="0.35">
      <c r="A972" t="s">
        <v>72</v>
      </c>
      <c r="B972" t="s">
        <v>119</v>
      </c>
      <c r="C972" s="7">
        <v>0</v>
      </c>
      <c r="D972" s="7">
        <v>0</v>
      </c>
      <c r="E972" s="7">
        <v>0</v>
      </c>
      <c r="F972" s="7">
        <v>0</v>
      </c>
      <c r="G972" s="7">
        <v>0</v>
      </c>
      <c r="H972">
        <v>31</v>
      </c>
      <c r="I972" t="s">
        <v>36</v>
      </c>
    </row>
    <row r="973" spans="1:9" x14ac:dyDescent="0.35">
      <c r="A973" t="s">
        <v>106</v>
      </c>
      <c r="B973" t="s">
        <v>119</v>
      </c>
      <c r="C973" s="7">
        <v>0</v>
      </c>
      <c r="D973" s="7">
        <v>0</v>
      </c>
      <c r="E973" s="7">
        <v>0</v>
      </c>
      <c r="F973" s="7">
        <v>0</v>
      </c>
      <c r="G973" s="7">
        <v>0</v>
      </c>
      <c r="H973">
        <v>32</v>
      </c>
      <c r="I973" t="s">
        <v>36</v>
      </c>
    </row>
    <row r="974" spans="1:9" x14ac:dyDescent="0.35">
      <c r="A974" t="s">
        <v>66</v>
      </c>
      <c r="B974" t="s">
        <v>119</v>
      </c>
      <c r="C974" s="7">
        <v>0</v>
      </c>
      <c r="D974" s="7">
        <v>0</v>
      </c>
      <c r="E974" s="7">
        <v>3.37</v>
      </c>
      <c r="F974" s="7">
        <v>142000</v>
      </c>
      <c r="G974" s="7">
        <v>-142000</v>
      </c>
      <c r="H974">
        <v>33</v>
      </c>
      <c r="I974" t="s">
        <v>25</v>
      </c>
    </row>
    <row r="975" spans="1:9" x14ac:dyDescent="0.35">
      <c r="A975" t="s">
        <v>124</v>
      </c>
      <c r="B975" t="s">
        <v>119</v>
      </c>
      <c r="C975" s="7">
        <v>0</v>
      </c>
      <c r="D975" s="7">
        <v>0</v>
      </c>
      <c r="E975" s="7">
        <v>2.72</v>
      </c>
      <c r="F975" s="7">
        <v>6428708</v>
      </c>
      <c r="G975" s="7">
        <v>-6428708</v>
      </c>
      <c r="H975">
        <v>34</v>
      </c>
      <c r="I975" t="s">
        <v>25</v>
      </c>
    </row>
    <row r="976" spans="1:9" x14ac:dyDescent="0.35">
      <c r="A976" t="s">
        <v>60</v>
      </c>
      <c r="B976" t="s">
        <v>4509</v>
      </c>
      <c r="C976" s="7">
        <v>8.32</v>
      </c>
      <c r="D976" s="7">
        <v>2211700</v>
      </c>
      <c r="E976" s="7">
        <v>9.5</v>
      </c>
      <c r="F976" s="7">
        <v>2073000</v>
      </c>
      <c r="G976" s="7">
        <v>138700</v>
      </c>
      <c r="H976">
        <v>1</v>
      </c>
      <c r="I976" t="s">
        <v>22</v>
      </c>
    </row>
    <row r="977" spans="1:9" x14ac:dyDescent="0.35">
      <c r="A977" t="s">
        <v>61</v>
      </c>
      <c r="B977" t="s">
        <v>4509</v>
      </c>
      <c r="C977" s="7">
        <v>6.84</v>
      </c>
      <c r="D977" s="7">
        <v>2801250</v>
      </c>
      <c r="E977" s="7">
        <v>6.83</v>
      </c>
      <c r="F977" s="7">
        <v>2233000</v>
      </c>
      <c r="G977" s="7">
        <v>568250</v>
      </c>
      <c r="H977">
        <v>2</v>
      </c>
      <c r="I977" t="s">
        <v>22</v>
      </c>
    </row>
    <row r="978" spans="1:9" x14ac:dyDescent="0.35">
      <c r="A978" t="s">
        <v>64</v>
      </c>
      <c r="B978" t="s">
        <v>4509</v>
      </c>
      <c r="C978" s="7">
        <v>3.47</v>
      </c>
      <c r="D978" s="7">
        <v>4853700</v>
      </c>
      <c r="E978" s="7">
        <v>3.11</v>
      </c>
      <c r="F978" s="7">
        <v>4145369</v>
      </c>
      <c r="G978" s="7">
        <v>708331</v>
      </c>
      <c r="H978">
        <v>3</v>
      </c>
      <c r="I978" t="s">
        <v>22</v>
      </c>
    </row>
    <row r="979" spans="1:9" x14ac:dyDescent="0.35">
      <c r="A979" t="s">
        <v>137</v>
      </c>
      <c r="B979" t="s">
        <v>4509</v>
      </c>
      <c r="C979" s="7">
        <v>3.17</v>
      </c>
      <c r="D979" s="7">
        <v>6369321</v>
      </c>
      <c r="E979" s="7">
        <v>3</v>
      </c>
      <c r="F979" s="7">
        <v>6169321</v>
      </c>
      <c r="G979" s="7">
        <v>200000</v>
      </c>
      <c r="H979">
        <v>4</v>
      </c>
      <c r="I979" t="s">
        <v>22</v>
      </c>
    </row>
    <row r="980" spans="1:9" x14ac:dyDescent="0.35">
      <c r="A980" t="s">
        <v>70</v>
      </c>
      <c r="B980" t="s">
        <v>4509</v>
      </c>
      <c r="C980" s="7">
        <v>2.89</v>
      </c>
      <c r="D980" s="7">
        <v>5121820</v>
      </c>
      <c r="E980" s="7">
        <v>1.06</v>
      </c>
      <c r="F980" s="7">
        <v>1835403</v>
      </c>
      <c r="G980" s="7">
        <v>3286417</v>
      </c>
      <c r="H980">
        <v>5</v>
      </c>
      <c r="I980" t="s">
        <v>22</v>
      </c>
    </row>
    <row r="981" spans="1:9" x14ac:dyDescent="0.35">
      <c r="A981" t="s">
        <v>82</v>
      </c>
      <c r="B981" t="s">
        <v>4509</v>
      </c>
      <c r="C981" s="7">
        <v>2.75</v>
      </c>
      <c r="D981" s="7">
        <v>13211977</v>
      </c>
      <c r="E981" s="7">
        <v>1.67</v>
      </c>
      <c r="F981" s="7">
        <v>7991127</v>
      </c>
      <c r="G981" s="7">
        <v>5220850</v>
      </c>
      <c r="H981">
        <v>6</v>
      </c>
      <c r="I981" t="s">
        <v>22</v>
      </c>
    </row>
    <row r="982" spans="1:9" x14ac:dyDescent="0.35">
      <c r="A982" t="s">
        <v>138</v>
      </c>
      <c r="B982" t="s">
        <v>4509</v>
      </c>
      <c r="C982" s="7">
        <v>2.74</v>
      </c>
      <c r="D982" s="7">
        <v>4627646</v>
      </c>
      <c r="E982" s="7">
        <v>2.75</v>
      </c>
      <c r="F982" s="7">
        <v>4627646</v>
      </c>
      <c r="G982" s="7">
        <v>0</v>
      </c>
      <c r="H982">
        <v>7</v>
      </c>
      <c r="I982" t="s">
        <v>23</v>
      </c>
    </row>
    <row r="983" spans="1:9" x14ac:dyDescent="0.35">
      <c r="A983" t="s">
        <v>139</v>
      </c>
      <c r="B983" t="s">
        <v>4509</v>
      </c>
      <c r="C983" s="7">
        <v>2.66</v>
      </c>
      <c r="D983" s="7">
        <v>13068929</v>
      </c>
      <c r="E983" s="7">
        <v>2.83</v>
      </c>
      <c r="F983" s="7">
        <v>11817929</v>
      </c>
      <c r="G983" s="7">
        <v>1251000</v>
      </c>
      <c r="H983">
        <v>8</v>
      </c>
      <c r="I983" t="s">
        <v>22</v>
      </c>
    </row>
    <row r="984" spans="1:9" x14ac:dyDescent="0.35">
      <c r="A984" t="s">
        <v>65</v>
      </c>
      <c r="B984" t="s">
        <v>4509</v>
      </c>
      <c r="C984" s="7">
        <v>2.5499999999999998</v>
      </c>
      <c r="D984" s="7">
        <v>27979000</v>
      </c>
      <c r="E984" s="7">
        <v>2.6</v>
      </c>
      <c r="F984" s="7">
        <v>27979000</v>
      </c>
      <c r="G984" s="7">
        <v>0</v>
      </c>
      <c r="H984">
        <v>9</v>
      </c>
      <c r="I984" t="s">
        <v>23</v>
      </c>
    </row>
    <row r="985" spans="1:9" x14ac:dyDescent="0.35">
      <c r="A985" t="s">
        <v>69</v>
      </c>
      <c r="B985" t="s">
        <v>4509</v>
      </c>
      <c r="C985" s="7">
        <v>2.2000000000000002</v>
      </c>
      <c r="D985" s="7">
        <v>56436660</v>
      </c>
      <c r="E985" s="7">
        <v>2.72</v>
      </c>
      <c r="F985" s="7">
        <v>56436660</v>
      </c>
      <c r="G985" s="7">
        <v>0</v>
      </c>
      <c r="H985">
        <v>10</v>
      </c>
      <c r="I985" t="s">
        <v>23</v>
      </c>
    </row>
    <row r="986" spans="1:9" x14ac:dyDescent="0.35">
      <c r="A986" t="s">
        <v>4510</v>
      </c>
      <c r="B986" t="s">
        <v>4509</v>
      </c>
      <c r="C986" s="7">
        <v>2.19</v>
      </c>
      <c r="D986" s="7">
        <v>1782579</v>
      </c>
      <c r="E986" s="7">
        <v>2.09</v>
      </c>
      <c r="F986" s="7">
        <v>1676579</v>
      </c>
      <c r="G986" s="7">
        <v>106000</v>
      </c>
      <c r="H986">
        <v>11</v>
      </c>
      <c r="I986" t="s">
        <v>22</v>
      </c>
    </row>
    <row r="987" spans="1:9" x14ac:dyDescent="0.35">
      <c r="A987" t="s">
        <v>140</v>
      </c>
      <c r="B987" t="s">
        <v>4509</v>
      </c>
      <c r="C987" s="7">
        <v>2.11</v>
      </c>
      <c r="D987" s="7">
        <v>12041259</v>
      </c>
      <c r="E987" s="7">
        <v>1.97</v>
      </c>
      <c r="F987" s="7">
        <v>12010002</v>
      </c>
      <c r="G987" s="7">
        <v>31257</v>
      </c>
      <c r="H987">
        <v>12</v>
      </c>
      <c r="I987" t="s">
        <v>22</v>
      </c>
    </row>
    <row r="988" spans="1:9" x14ac:dyDescent="0.35">
      <c r="A988" t="s">
        <v>78</v>
      </c>
      <c r="B988" t="s">
        <v>4509</v>
      </c>
      <c r="C988" s="7">
        <v>2.02</v>
      </c>
      <c r="D988" s="7">
        <v>21445780</v>
      </c>
      <c r="E988" s="7">
        <v>2.13</v>
      </c>
      <c r="F988" s="7">
        <v>18245780</v>
      </c>
      <c r="G988" s="7">
        <v>3200000</v>
      </c>
      <c r="H988">
        <v>13</v>
      </c>
      <c r="I988" t="s">
        <v>22</v>
      </c>
    </row>
    <row r="989" spans="1:9" x14ac:dyDescent="0.35">
      <c r="A989" t="s">
        <v>141</v>
      </c>
      <c r="B989" t="s">
        <v>4509</v>
      </c>
      <c r="C989" s="7">
        <v>2</v>
      </c>
      <c r="D989" s="7">
        <v>752312</v>
      </c>
      <c r="E989" s="7">
        <v>1.85</v>
      </c>
      <c r="F989" s="7">
        <v>632312</v>
      </c>
      <c r="G989" s="7">
        <v>120000</v>
      </c>
      <c r="H989">
        <v>14</v>
      </c>
      <c r="I989" t="s">
        <v>22</v>
      </c>
    </row>
    <row r="990" spans="1:9" x14ac:dyDescent="0.35">
      <c r="A990" t="s">
        <v>142</v>
      </c>
      <c r="B990" t="s">
        <v>4509</v>
      </c>
      <c r="C990" s="7">
        <v>1.97</v>
      </c>
      <c r="D990" s="7">
        <v>1727767</v>
      </c>
      <c r="E990" s="7">
        <v>2.2200000000000002</v>
      </c>
      <c r="F990" s="7">
        <v>1672804</v>
      </c>
      <c r="G990" s="7">
        <v>54963</v>
      </c>
      <c r="H990">
        <v>15</v>
      </c>
      <c r="I990" t="s">
        <v>22</v>
      </c>
    </row>
    <row r="991" spans="1:9" x14ac:dyDescent="0.35">
      <c r="A991" t="s">
        <v>143</v>
      </c>
      <c r="B991" t="s">
        <v>4509</v>
      </c>
      <c r="C991" s="7">
        <v>1.79</v>
      </c>
      <c r="D991" s="7">
        <v>1124564</v>
      </c>
      <c r="E991" s="7">
        <v>0.75</v>
      </c>
      <c r="F991" s="7">
        <v>484564</v>
      </c>
      <c r="G991" s="7">
        <v>640000</v>
      </c>
      <c r="H991">
        <v>16</v>
      </c>
      <c r="I991" t="s">
        <v>22</v>
      </c>
    </row>
    <row r="992" spans="1:9" x14ac:dyDescent="0.35">
      <c r="A992" t="s">
        <v>4511</v>
      </c>
      <c r="B992" t="s">
        <v>4509</v>
      </c>
      <c r="C992" s="7">
        <v>1.77</v>
      </c>
      <c r="D992" s="7">
        <v>5757000</v>
      </c>
      <c r="E992" s="7">
        <v>0.48</v>
      </c>
      <c r="F992" s="7">
        <v>1400000</v>
      </c>
      <c r="G992" s="7">
        <v>4357000</v>
      </c>
      <c r="H992">
        <v>17</v>
      </c>
      <c r="I992" t="s">
        <v>22</v>
      </c>
    </row>
    <row r="993" spans="1:9" x14ac:dyDescent="0.35">
      <c r="A993" t="s">
        <v>80</v>
      </c>
      <c r="B993" t="s">
        <v>4509</v>
      </c>
      <c r="C993" s="7">
        <v>1.7</v>
      </c>
      <c r="D993" s="7">
        <v>2666100</v>
      </c>
      <c r="E993" s="7">
        <v>1.92</v>
      </c>
      <c r="F993" s="7">
        <v>2666100</v>
      </c>
      <c r="G993" s="7">
        <v>0</v>
      </c>
      <c r="H993">
        <v>18</v>
      </c>
      <c r="I993" t="s">
        <v>23</v>
      </c>
    </row>
    <row r="994" spans="1:9" x14ac:dyDescent="0.35">
      <c r="A994" t="s">
        <v>6128</v>
      </c>
      <c r="B994" t="s">
        <v>4509</v>
      </c>
      <c r="C994" s="7">
        <v>1.7</v>
      </c>
      <c r="D994" s="7">
        <v>28447618</v>
      </c>
      <c r="E994" s="7">
        <v>1.91</v>
      </c>
      <c r="F994" s="7">
        <v>28447618</v>
      </c>
      <c r="G994" s="7">
        <v>0</v>
      </c>
      <c r="H994">
        <v>19</v>
      </c>
      <c r="I994" t="s">
        <v>23</v>
      </c>
    </row>
    <row r="995" spans="1:9" x14ac:dyDescent="0.35">
      <c r="A995" t="s">
        <v>6129</v>
      </c>
      <c r="B995" t="s">
        <v>4509</v>
      </c>
      <c r="C995" s="7">
        <v>1.68</v>
      </c>
      <c r="D995" s="7">
        <v>2412936</v>
      </c>
      <c r="E995" s="7">
        <v>1.87</v>
      </c>
      <c r="F995" s="7">
        <v>2412936</v>
      </c>
      <c r="G995" s="7">
        <v>0</v>
      </c>
      <c r="H995">
        <v>20</v>
      </c>
      <c r="I995" t="s">
        <v>23</v>
      </c>
    </row>
    <row r="996" spans="1:9" x14ac:dyDescent="0.35">
      <c r="A996" t="s">
        <v>89</v>
      </c>
      <c r="B996" t="s">
        <v>4509</v>
      </c>
      <c r="C996" s="7">
        <v>1.64</v>
      </c>
      <c r="D996" s="7">
        <v>2128443</v>
      </c>
      <c r="E996" s="7">
        <v>1.75</v>
      </c>
      <c r="F996" s="7">
        <v>2128443</v>
      </c>
      <c r="G996" s="7">
        <v>0</v>
      </c>
      <c r="H996">
        <v>21</v>
      </c>
      <c r="I996" t="s">
        <v>23</v>
      </c>
    </row>
    <row r="997" spans="1:9" x14ac:dyDescent="0.35">
      <c r="A997" t="s">
        <v>144</v>
      </c>
      <c r="B997" t="s">
        <v>4509</v>
      </c>
      <c r="C997" s="7">
        <v>1.53</v>
      </c>
      <c r="D997" s="7">
        <v>4719600</v>
      </c>
      <c r="E997" s="7">
        <v>1.8</v>
      </c>
      <c r="F997" s="7">
        <v>4719600</v>
      </c>
      <c r="G997" s="7">
        <v>0</v>
      </c>
      <c r="H997">
        <v>22</v>
      </c>
      <c r="I997" t="s">
        <v>23</v>
      </c>
    </row>
    <row r="998" spans="1:9" x14ac:dyDescent="0.35">
      <c r="A998" t="s">
        <v>4512</v>
      </c>
      <c r="B998" t="s">
        <v>4509</v>
      </c>
      <c r="C998" s="7">
        <v>1.44</v>
      </c>
      <c r="D998" s="7">
        <v>3162974</v>
      </c>
      <c r="E998" s="7">
        <v>1.47</v>
      </c>
      <c r="F998" s="7">
        <v>2887974</v>
      </c>
      <c r="G998" s="7">
        <v>275000</v>
      </c>
      <c r="H998">
        <v>23</v>
      </c>
      <c r="I998" t="s">
        <v>22</v>
      </c>
    </row>
    <row r="999" spans="1:9" x14ac:dyDescent="0.35">
      <c r="A999" t="s">
        <v>124</v>
      </c>
      <c r="B999" t="s">
        <v>4509</v>
      </c>
      <c r="C999" s="7">
        <v>1.42</v>
      </c>
      <c r="D999" s="7">
        <v>9213820</v>
      </c>
      <c r="E999" s="7">
        <v>0</v>
      </c>
      <c r="F999" s="7">
        <v>0</v>
      </c>
      <c r="G999" s="7">
        <v>9213820</v>
      </c>
      <c r="H999">
        <v>24</v>
      </c>
      <c r="I999" t="s">
        <v>32</v>
      </c>
    </row>
    <row r="1000" spans="1:9" x14ac:dyDescent="0.35">
      <c r="A1000" t="s">
        <v>145</v>
      </c>
      <c r="B1000" t="s">
        <v>4509</v>
      </c>
      <c r="C1000" s="7">
        <v>1.31</v>
      </c>
      <c r="D1000" s="7">
        <v>764197</v>
      </c>
      <c r="E1000" s="7">
        <v>0.98</v>
      </c>
      <c r="F1000" s="7">
        <v>629197</v>
      </c>
      <c r="G1000" s="7">
        <v>135000</v>
      </c>
      <c r="H1000">
        <v>25</v>
      </c>
      <c r="I1000" t="s">
        <v>22</v>
      </c>
    </row>
    <row r="1001" spans="1:9" x14ac:dyDescent="0.35">
      <c r="A1001" t="s">
        <v>6130</v>
      </c>
      <c r="B1001" t="s">
        <v>4509</v>
      </c>
      <c r="C1001" s="7">
        <v>1.29</v>
      </c>
      <c r="D1001" s="7">
        <v>4377812</v>
      </c>
      <c r="E1001" s="7">
        <v>1.52</v>
      </c>
      <c r="F1001" s="7">
        <v>3341236</v>
      </c>
      <c r="G1001" s="7">
        <v>1036576</v>
      </c>
      <c r="H1001">
        <v>26</v>
      </c>
      <c r="I1001" t="s">
        <v>22</v>
      </c>
    </row>
    <row r="1002" spans="1:9" x14ac:dyDescent="0.35">
      <c r="A1002" t="s">
        <v>146</v>
      </c>
      <c r="B1002" t="s">
        <v>4509</v>
      </c>
      <c r="C1002" s="7">
        <v>1.1499999999999999</v>
      </c>
      <c r="D1002" s="7">
        <v>6030000</v>
      </c>
      <c r="E1002" s="7">
        <v>1.24</v>
      </c>
      <c r="F1002" s="7">
        <v>6030000</v>
      </c>
      <c r="G1002" s="7">
        <v>0</v>
      </c>
      <c r="H1002">
        <v>27</v>
      </c>
      <c r="I1002" t="s">
        <v>23</v>
      </c>
    </row>
    <row r="1003" spans="1:9" x14ac:dyDescent="0.35">
      <c r="A1003" t="s">
        <v>147</v>
      </c>
      <c r="B1003" t="s">
        <v>4509</v>
      </c>
      <c r="C1003" s="7">
        <v>1.07</v>
      </c>
      <c r="D1003" s="7">
        <v>985950</v>
      </c>
      <c r="E1003" s="7">
        <v>1.05</v>
      </c>
      <c r="F1003" s="7">
        <v>823108</v>
      </c>
      <c r="G1003" s="7">
        <v>162842</v>
      </c>
      <c r="H1003">
        <v>28</v>
      </c>
      <c r="I1003" t="s">
        <v>22</v>
      </c>
    </row>
    <row r="1004" spans="1:9" x14ac:dyDescent="0.35">
      <c r="A1004" t="s">
        <v>6131</v>
      </c>
      <c r="B1004" t="s">
        <v>4509</v>
      </c>
      <c r="C1004" s="7">
        <v>1.03</v>
      </c>
      <c r="D1004" s="7">
        <v>201322</v>
      </c>
      <c r="E1004" s="7">
        <v>1.02</v>
      </c>
      <c r="F1004" s="7">
        <v>201322</v>
      </c>
      <c r="G1004" s="7">
        <v>0</v>
      </c>
      <c r="H1004">
        <v>29</v>
      </c>
      <c r="I1004" t="s">
        <v>23</v>
      </c>
    </row>
    <row r="1005" spans="1:9" x14ac:dyDescent="0.35">
      <c r="A1005" t="s">
        <v>6120</v>
      </c>
      <c r="B1005" t="s">
        <v>4509</v>
      </c>
      <c r="C1005" s="7">
        <v>1.02</v>
      </c>
      <c r="D1005" s="7">
        <v>2818000</v>
      </c>
      <c r="E1005" s="7">
        <v>0</v>
      </c>
      <c r="F1005" s="7">
        <v>0</v>
      </c>
      <c r="G1005" s="7">
        <v>2818000</v>
      </c>
      <c r="H1005">
        <v>30</v>
      </c>
      <c r="I1005" t="s">
        <v>32</v>
      </c>
    </row>
    <row r="1006" spans="1:9" x14ac:dyDescent="0.35">
      <c r="A1006" t="s">
        <v>6132</v>
      </c>
      <c r="B1006" t="s">
        <v>4509</v>
      </c>
      <c r="C1006" s="7">
        <v>0.99</v>
      </c>
      <c r="D1006" s="7">
        <v>1359402</v>
      </c>
      <c r="E1006" s="7">
        <v>1.1299999999999999</v>
      </c>
      <c r="F1006" s="7">
        <v>1359402</v>
      </c>
      <c r="G1006" s="7">
        <v>0</v>
      </c>
      <c r="H1006">
        <v>31</v>
      </c>
      <c r="I1006" t="s">
        <v>23</v>
      </c>
    </row>
    <row r="1007" spans="1:9" x14ac:dyDescent="0.35">
      <c r="A1007" t="s">
        <v>108</v>
      </c>
      <c r="B1007" t="s">
        <v>4509</v>
      </c>
      <c r="C1007" s="7">
        <v>0.97</v>
      </c>
      <c r="D1007" s="7">
        <v>1260571</v>
      </c>
      <c r="E1007" s="7">
        <v>0.85</v>
      </c>
      <c r="F1007" s="7">
        <v>884736</v>
      </c>
      <c r="G1007" s="7">
        <v>375835</v>
      </c>
      <c r="H1007">
        <v>32</v>
      </c>
      <c r="I1007" t="s">
        <v>22</v>
      </c>
    </row>
    <row r="1008" spans="1:9" x14ac:dyDescent="0.35">
      <c r="A1008" t="s">
        <v>6133</v>
      </c>
      <c r="B1008" t="s">
        <v>4509</v>
      </c>
      <c r="C1008" s="7">
        <v>0.93</v>
      </c>
      <c r="D1008" s="7">
        <v>500000</v>
      </c>
      <c r="E1008" s="7">
        <v>1.03</v>
      </c>
      <c r="F1008" s="7">
        <v>500000</v>
      </c>
      <c r="G1008" s="7">
        <v>0</v>
      </c>
      <c r="H1008">
        <v>33</v>
      </c>
      <c r="I1008" t="s">
        <v>23</v>
      </c>
    </row>
    <row r="1009" spans="1:9" x14ac:dyDescent="0.35">
      <c r="A1009" t="s">
        <v>6124</v>
      </c>
      <c r="B1009" t="s">
        <v>4509</v>
      </c>
      <c r="C1009" s="7">
        <v>0.89</v>
      </c>
      <c r="D1009" s="7">
        <v>2121000</v>
      </c>
      <c r="E1009" s="7">
        <v>7.0000000000000007E-2</v>
      </c>
      <c r="F1009" s="7">
        <v>150000</v>
      </c>
      <c r="G1009" s="7">
        <v>1971000</v>
      </c>
      <c r="H1009">
        <v>34</v>
      </c>
      <c r="I1009" t="s">
        <v>22</v>
      </c>
    </row>
    <row r="1010" spans="1:9" x14ac:dyDescent="0.35">
      <c r="A1010" t="s">
        <v>83</v>
      </c>
      <c r="B1010" t="s">
        <v>4509</v>
      </c>
      <c r="C1010" s="7">
        <v>0.85</v>
      </c>
      <c r="D1010" s="7">
        <v>2197000</v>
      </c>
      <c r="E1010" s="7">
        <v>0</v>
      </c>
      <c r="F1010" s="7">
        <v>0</v>
      </c>
      <c r="G1010" s="7">
        <v>2197000</v>
      </c>
      <c r="H1010">
        <v>35</v>
      </c>
      <c r="I1010" t="s">
        <v>32</v>
      </c>
    </row>
    <row r="1011" spans="1:9" x14ac:dyDescent="0.35">
      <c r="A1011" t="s">
        <v>148</v>
      </c>
      <c r="B1011" t="s">
        <v>4509</v>
      </c>
      <c r="C1011" s="7">
        <v>0.8</v>
      </c>
      <c r="D1011" s="7">
        <v>8100000</v>
      </c>
      <c r="E1011" s="7">
        <v>0.88</v>
      </c>
      <c r="F1011" s="7">
        <v>8100000</v>
      </c>
      <c r="G1011" s="7">
        <v>0</v>
      </c>
      <c r="H1011">
        <v>36</v>
      </c>
      <c r="I1011" t="s">
        <v>23</v>
      </c>
    </row>
    <row r="1012" spans="1:9" x14ac:dyDescent="0.35">
      <c r="A1012" t="s">
        <v>149</v>
      </c>
      <c r="B1012" t="s">
        <v>4509</v>
      </c>
      <c r="C1012" s="7">
        <v>0.76</v>
      </c>
      <c r="D1012" s="7">
        <v>412817</v>
      </c>
      <c r="E1012" s="7">
        <v>0.84</v>
      </c>
      <c r="F1012" s="7">
        <v>412817</v>
      </c>
      <c r="G1012" s="7">
        <v>0</v>
      </c>
      <c r="H1012">
        <v>37</v>
      </c>
      <c r="I1012" t="s">
        <v>23</v>
      </c>
    </row>
    <row r="1013" spans="1:9" x14ac:dyDescent="0.35">
      <c r="A1013" t="s">
        <v>6134</v>
      </c>
      <c r="B1013" t="s">
        <v>4509</v>
      </c>
      <c r="C1013" s="7">
        <v>0.75</v>
      </c>
      <c r="D1013" s="7">
        <v>506109</v>
      </c>
      <c r="E1013" s="7">
        <v>0.8</v>
      </c>
      <c r="F1013" s="7">
        <v>506109</v>
      </c>
      <c r="G1013" s="7">
        <v>0</v>
      </c>
      <c r="H1013">
        <v>38</v>
      </c>
      <c r="I1013" t="s">
        <v>23</v>
      </c>
    </row>
    <row r="1014" spans="1:9" x14ac:dyDescent="0.35">
      <c r="A1014" t="s">
        <v>150</v>
      </c>
      <c r="B1014" t="s">
        <v>4509</v>
      </c>
      <c r="C1014" s="7">
        <v>0.73</v>
      </c>
      <c r="D1014" s="7">
        <v>884689</v>
      </c>
      <c r="E1014" s="7">
        <v>0.71</v>
      </c>
      <c r="F1014" s="7">
        <v>884689</v>
      </c>
      <c r="G1014" s="7">
        <v>0</v>
      </c>
      <c r="H1014">
        <v>39</v>
      </c>
      <c r="I1014" t="s">
        <v>23</v>
      </c>
    </row>
    <row r="1015" spans="1:9" x14ac:dyDescent="0.35">
      <c r="A1015" t="s">
        <v>151</v>
      </c>
      <c r="B1015" t="s">
        <v>4509</v>
      </c>
      <c r="C1015" s="7">
        <v>0.68</v>
      </c>
      <c r="D1015" s="7">
        <v>2800000</v>
      </c>
      <c r="E1015" s="7">
        <v>0</v>
      </c>
      <c r="F1015" s="7">
        <v>0</v>
      </c>
      <c r="G1015" s="7">
        <v>2800000</v>
      </c>
      <c r="H1015">
        <v>40</v>
      </c>
      <c r="I1015" t="s">
        <v>32</v>
      </c>
    </row>
    <row r="1016" spans="1:9" x14ac:dyDescent="0.35">
      <c r="A1016" t="s">
        <v>4513</v>
      </c>
      <c r="B1016" t="s">
        <v>4509</v>
      </c>
      <c r="C1016" s="7">
        <v>0.65</v>
      </c>
      <c r="D1016" s="7">
        <v>709209</v>
      </c>
      <c r="E1016" s="7">
        <v>0.45</v>
      </c>
      <c r="F1016" s="7">
        <v>433922</v>
      </c>
      <c r="G1016" s="7">
        <v>275287</v>
      </c>
      <c r="H1016">
        <v>41</v>
      </c>
      <c r="I1016" t="s">
        <v>22</v>
      </c>
    </row>
    <row r="1017" spans="1:9" x14ac:dyDescent="0.35">
      <c r="A1017" t="s">
        <v>152</v>
      </c>
      <c r="B1017" t="s">
        <v>4509</v>
      </c>
      <c r="C1017" s="7">
        <v>0.64</v>
      </c>
      <c r="D1017" s="7">
        <v>2750000</v>
      </c>
      <c r="E1017" s="7">
        <v>0</v>
      </c>
      <c r="F1017" s="7">
        <v>0</v>
      </c>
      <c r="G1017" s="7">
        <v>2750000</v>
      </c>
      <c r="H1017">
        <v>42</v>
      </c>
      <c r="I1017" t="s">
        <v>32</v>
      </c>
    </row>
    <row r="1018" spans="1:9" x14ac:dyDescent="0.35">
      <c r="A1018" t="s">
        <v>92</v>
      </c>
      <c r="B1018" t="s">
        <v>4509</v>
      </c>
      <c r="C1018" s="7">
        <v>0.62</v>
      </c>
      <c r="D1018" s="7">
        <v>1809163</v>
      </c>
      <c r="E1018" s="7">
        <v>0.87</v>
      </c>
      <c r="F1018" s="7">
        <v>1809163</v>
      </c>
      <c r="G1018" s="7">
        <v>0</v>
      </c>
      <c r="H1018">
        <v>43</v>
      </c>
      <c r="I1018" t="s">
        <v>23</v>
      </c>
    </row>
    <row r="1019" spans="1:9" x14ac:dyDescent="0.35">
      <c r="A1019" t="s">
        <v>153</v>
      </c>
      <c r="B1019" t="s">
        <v>4509</v>
      </c>
      <c r="C1019" s="7">
        <v>0.62</v>
      </c>
      <c r="D1019" s="7">
        <v>7321050</v>
      </c>
      <c r="E1019" s="7">
        <v>0.73</v>
      </c>
      <c r="F1019" s="7">
        <v>7321050</v>
      </c>
      <c r="G1019" s="7">
        <v>0</v>
      </c>
      <c r="H1019">
        <v>44</v>
      </c>
      <c r="I1019" t="s">
        <v>23</v>
      </c>
    </row>
    <row r="1020" spans="1:9" x14ac:dyDescent="0.35">
      <c r="A1020" t="s">
        <v>4514</v>
      </c>
      <c r="B1020" t="s">
        <v>4509</v>
      </c>
      <c r="C1020" s="7">
        <v>0.57999999999999996</v>
      </c>
      <c r="D1020" s="7">
        <v>680473</v>
      </c>
      <c r="E1020" s="7">
        <v>0.49</v>
      </c>
      <c r="F1020" s="7">
        <v>471178</v>
      </c>
      <c r="G1020" s="7">
        <v>209295</v>
      </c>
      <c r="H1020">
        <v>45</v>
      </c>
      <c r="I1020" t="s">
        <v>22</v>
      </c>
    </row>
    <row r="1021" spans="1:9" x14ac:dyDescent="0.35">
      <c r="A1021" t="s">
        <v>6135</v>
      </c>
      <c r="B1021" t="s">
        <v>4509</v>
      </c>
      <c r="C1021" s="7">
        <v>0.56000000000000005</v>
      </c>
      <c r="D1021" s="7">
        <v>822092</v>
      </c>
      <c r="E1021" s="7">
        <v>0</v>
      </c>
      <c r="F1021" s="7">
        <v>0</v>
      </c>
      <c r="G1021" s="7">
        <v>822092</v>
      </c>
      <c r="H1021">
        <v>46</v>
      </c>
      <c r="I1021" t="s">
        <v>32</v>
      </c>
    </row>
    <row r="1022" spans="1:9" x14ac:dyDescent="0.35">
      <c r="A1022" t="s">
        <v>93</v>
      </c>
      <c r="B1022" t="s">
        <v>4509</v>
      </c>
      <c r="C1022" s="7">
        <v>0.56000000000000005</v>
      </c>
      <c r="D1022" s="7">
        <v>247000</v>
      </c>
      <c r="E1022" s="7">
        <v>0.68</v>
      </c>
      <c r="F1022" s="7">
        <v>247000</v>
      </c>
      <c r="G1022" s="7">
        <v>0</v>
      </c>
      <c r="H1022">
        <v>47</v>
      </c>
      <c r="I1022" t="s">
        <v>23</v>
      </c>
    </row>
    <row r="1023" spans="1:9" x14ac:dyDescent="0.35">
      <c r="A1023" t="s">
        <v>6136</v>
      </c>
      <c r="B1023" t="s">
        <v>4509</v>
      </c>
      <c r="C1023" s="7">
        <v>0.53</v>
      </c>
      <c r="D1023" s="7">
        <v>2254278</v>
      </c>
      <c r="E1023" s="7">
        <v>0.49</v>
      </c>
      <c r="F1023" s="7">
        <v>2254278</v>
      </c>
      <c r="G1023" s="7">
        <v>0</v>
      </c>
      <c r="H1023">
        <v>48</v>
      </c>
      <c r="I1023" t="s">
        <v>23</v>
      </c>
    </row>
    <row r="1024" spans="1:9" x14ac:dyDescent="0.35">
      <c r="A1024" t="s">
        <v>4515</v>
      </c>
      <c r="B1024" t="s">
        <v>4509</v>
      </c>
      <c r="C1024" s="7">
        <v>0.51</v>
      </c>
      <c r="D1024" s="7">
        <v>4150000</v>
      </c>
      <c r="E1024" s="7">
        <v>0.32</v>
      </c>
      <c r="F1024" s="7">
        <v>2300000</v>
      </c>
      <c r="G1024" s="7">
        <v>1850000</v>
      </c>
      <c r="H1024">
        <v>49</v>
      </c>
      <c r="I1024" t="s">
        <v>22</v>
      </c>
    </row>
    <row r="1025" spans="1:9" x14ac:dyDescent="0.35">
      <c r="A1025" t="s">
        <v>111</v>
      </c>
      <c r="B1025" t="s">
        <v>4509</v>
      </c>
      <c r="C1025" s="7">
        <v>0.5</v>
      </c>
      <c r="D1025" s="7">
        <v>594162</v>
      </c>
      <c r="E1025" s="7">
        <v>0</v>
      </c>
      <c r="F1025" s="7">
        <v>0</v>
      </c>
      <c r="G1025" s="7">
        <v>594162</v>
      </c>
      <c r="H1025">
        <v>50</v>
      </c>
      <c r="I1025" t="s">
        <v>32</v>
      </c>
    </row>
    <row r="1026" spans="1:9" x14ac:dyDescent="0.35">
      <c r="A1026" t="s">
        <v>4516</v>
      </c>
      <c r="B1026" t="s">
        <v>4509</v>
      </c>
      <c r="C1026" s="7">
        <v>0.49</v>
      </c>
      <c r="D1026" s="7">
        <v>84013</v>
      </c>
      <c r="E1026" s="7">
        <v>0</v>
      </c>
      <c r="F1026" s="7">
        <v>0</v>
      </c>
      <c r="G1026" s="7">
        <v>84013</v>
      </c>
      <c r="H1026">
        <v>51</v>
      </c>
      <c r="I1026" t="s">
        <v>32</v>
      </c>
    </row>
    <row r="1027" spans="1:9" x14ac:dyDescent="0.35">
      <c r="A1027" t="s">
        <v>154</v>
      </c>
      <c r="B1027" t="s">
        <v>4509</v>
      </c>
      <c r="C1027" s="7">
        <v>0.46</v>
      </c>
      <c r="D1027" s="7">
        <v>835000</v>
      </c>
      <c r="E1027" s="7">
        <v>0.55000000000000004</v>
      </c>
      <c r="F1027" s="7">
        <v>835000</v>
      </c>
      <c r="G1027" s="7">
        <v>0</v>
      </c>
      <c r="H1027">
        <v>52</v>
      </c>
      <c r="I1027" t="s">
        <v>23</v>
      </c>
    </row>
    <row r="1028" spans="1:9" x14ac:dyDescent="0.35">
      <c r="A1028" t="s">
        <v>155</v>
      </c>
      <c r="B1028" t="s">
        <v>4509</v>
      </c>
      <c r="C1028" s="7">
        <v>0.43</v>
      </c>
      <c r="D1028" s="7">
        <v>2085000</v>
      </c>
      <c r="E1028" s="7">
        <v>0.5</v>
      </c>
      <c r="F1028" s="7">
        <v>2085000</v>
      </c>
      <c r="G1028" s="7">
        <v>0</v>
      </c>
      <c r="H1028">
        <v>53</v>
      </c>
      <c r="I1028" t="s">
        <v>23</v>
      </c>
    </row>
    <row r="1029" spans="1:9" x14ac:dyDescent="0.35">
      <c r="A1029" t="s">
        <v>6137</v>
      </c>
      <c r="B1029" t="s">
        <v>4509</v>
      </c>
      <c r="C1029" s="7">
        <v>0.43</v>
      </c>
      <c r="D1029" s="7">
        <v>4556962</v>
      </c>
      <c r="E1029" s="7">
        <v>0.52</v>
      </c>
      <c r="F1029" s="7">
        <v>4556962</v>
      </c>
      <c r="G1029" s="7">
        <v>0</v>
      </c>
      <c r="H1029">
        <v>54</v>
      </c>
      <c r="I1029" t="s">
        <v>23</v>
      </c>
    </row>
    <row r="1030" spans="1:9" x14ac:dyDescent="0.35">
      <c r="A1030" t="s">
        <v>156</v>
      </c>
      <c r="B1030" t="s">
        <v>4509</v>
      </c>
      <c r="C1030" s="7">
        <v>0.41</v>
      </c>
      <c r="D1030" s="7">
        <v>623137</v>
      </c>
      <c r="E1030" s="7">
        <v>0.28999999999999998</v>
      </c>
      <c r="F1030" s="7">
        <v>383724</v>
      </c>
      <c r="G1030" s="7">
        <v>239413</v>
      </c>
      <c r="H1030">
        <v>55</v>
      </c>
      <c r="I1030" t="s">
        <v>22</v>
      </c>
    </row>
    <row r="1031" spans="1:9" x14ac:dyDescent="0.35">
      <c r="A1031" t="s">
        <v>157</v>
      </c>
      <c r="B1031" t="s">
        <v>4509</v>
      </c>
      <c r="C1031" s="7">
        <v>0.4</v>
      </c>
      <c r="D1031" s="7">
        <v>325669</v>
      </c>
      <c r="E1031" s="7">
        <v>0.51</v>
      </c>
      <c r="F1031" s="7">
        <v>325669</v>
      </c>
      <c r="G1031" s="7">
        <v>0</v>
      </c>
      <c r="H1031">
        <v>56</v>
      </c>
      <c r="I1031" t="s">
        <v>23</v>
      </c>
    </row>
    <row r="1032" spans="1:9" x14ac:dyDescent="0.35">
      <c r="A1032" t="s">
        <v>158</v>
      </c>
      <c r="B1032" t="s">
        <v>4509</v>
      </c>
      <c r="C1032" s="7">
        <v>0.39</v>
      </c>
      <c r="D1032" s="7">
        <v>535000</v>
      </c>
      <c r="E1032" s="7">
        <v>0.47</v>
      </c>
      <c r="F1032" s="7">
        <v>535000</v>
      </c>
      <c r="G1032" s="7">
        <v>0</v>
      </c>
      <c r="H1032">
        <v>57</v>
      </c>
      <c r="I1032" t="s">
        <v>23</v>
      </c>
    </row>
    <row r="1033" spans="1:9" x14ac:dyDescent="0.35">
      <c r="A1033" t="s">
        <v>159</v>
      </c>
      <c r="B1033" t="s">
        <v>4509</v>
      </c>
      <c r="C1033" s="7">
        <v>0.38</v>
      </c>
      <c r="D1033" s="7">
        <v>1500000</v>
      </c>
      <c r="E1033" s="7">
        <v>0</v>
      </c>
      <c r="F1033" s="7">
        <v>0</v>
      </c>
      <c r="G1033" s="7">
        <v>1500000</v>
      </c>
      <c r="H1033">
        <v>58</v>
      </c>
      <c r="I1033" t="s">
        <v>32</v>
      </c>
    </row>
    <row r="1034" spans="1:9" x14ac:dyDescent="0.35">
      <c r="A1034" t="s">
        <v>160</v>
      </c>
      <c r="B1034" t="s">
        <v>4509</v>
      </c>
      <c r="C1034" s="7">
        <v>0.34</v>
      </c>
      <c r="D1034" s="7">
        <v>5267054</v>
      </c>
      <c r="E1034" s="7">
        <v>0.38</v>
      </c>
      <c r="F1034" s="7">
        <v>5267054</v>
      </c>
      <c r="G1034" s="7">
        <v>0</v>
      </c>
      <c r="H1034">
        <v>59</v>
      </c>
      <c r="I1034" t="s">
        <v>23</v>
      </c>
    </row>
    <row r="1035" spans="1:9" x14ac:dyDescent="0.35">
      <c r="A1035" t="s">
        <v>161</v>
      </c>
      <c r="B1035" t="s">
        <v>4509</v>
      </c>
      <c r="C1035" s="7">
        <v>0.34</v>
      </c>
      <c r="D1035" s="7">
        <v>828694</v>
      </c>
      <c r="E1035" s="7">
        <v>0.35</v>
      </c>
      <c r="F1035" s="7">
        <v>828694</v>
      </c>
      <c r="G1035" s="7">
        <v>0</v>
      </c>
      <c r="H1035">
        <v>60</v>
      </c>
      <c r="I1035" t="s">
        <v>23</v>
      </c>
    </row>
    <row r="1036" spans="1:9" x14ac:dyDescent="0.35">
      <c r="A1036" t="s">
        <v>6119</v>
      </c>
      <c r="B1036" t="s">
        <v>4509</v>
      </c>
      <c r="C1036" s="7">
        <v>0.34</v>
      </c>
      <c r="D1036" s="7">
        <v>1000000</v>
      </c>
      <c r="E1036" s="7">
        <v>0</v>
      </c>
      <c r="F1036" s="7">
        <v>0</v>
      </c>
      <c r="G1036" s="7">
        <v>1000000</v>
      </c>
      <c r="H1036">
        <v>61</v>
      </c>
      <c r="I1036" t="s">
        <v>32</v>
      </c>
    </row>
    <row r="1037" spans="1:9" x14ac:dyDescent="0.35">
      <c r="A1037" t="s">
        <v>163</v>
      </c>
      <c r="B1037" t="s">
        <v>4509</v>
      </c>
      <c r="C1037" s="7">
        <v>0.32</v>
      </c>
      <c r="D1037" s="7">
        <v>1045525</v>
      </c>
      <c r="E1037" s="7">
        <v>0.37</v>
      </c>
      <c r="F1037" s="7">
        <v>1045525</v>
      </c>
      <c r="G1037" s="7">
        <v>0</v>
      </c>
      <c r="H1037">
        <v>62</v>
      </c>
      <c r="I1037" t="s">
        <v>23</v>
      </c>
    </row>
    <row r="1038" spans="1:9" x14ac:dyDescent="0.35">
      <c r="A1038" t="s">
        <v>162</v>
      </c>
      <c r="B1038" t="s">
        <v>4509</v>
      </c>
      <c r="C1038" s="7">
        <v>0.32</v>
      </c>
      <c r="D1038" s="7">
        <v>94334</v>
      </c>
      <c r="E1038" s="7">
        <v>0.37</v>
      </c>
      <c r="F1038" s="7">
        <v>94334</v>
      </c>
      <c r="G1038" s="7">
        <v>0</v>
      </c>
      <c r="H1038">
        <v>63</v>
      </c>
      <c r="I1038" t="s">
        <v>23</v>
      </c>
    </row>
    <row r="1039" spans="1:9" x14ac:dyDescent="0.35">
      <c r="A1039" t="s">
        <v>164</v>
      </c>
      <c r="B1039" t="s">
        <v>4509</v>
      </c>
      <c r="C1039" s="7">
        <v>0.31</v>
      </c>
      <c r="D1039" s="7">
        <v>2614000</v>
      </c>
      <c r="E1039" s="7">
        <v>0.38</v>
      </c>
      <c r="F1039" s="7">
        <v>2614000</v>
      </c>
      <c r="G1039" s="7">
        <v>0</v>
      </c>
      <c r="H1039">
        <v>64</v>
      </c>
      <c r="I1039" t="s">
        <v>23</v>
      </c>
    </row>
    <row r="1040" spans="1:9" x14ac:dyDescent="0.35">
      <c r="A1040" t="s">
        <v>95</v>
      </c>
      <c r="B1040" t="s">
        <v>4509</v>
      </c>
      <c r="C1040" s="7">
        <v>0.28999999999999998</v>
      </c>
      <c r="D1040" s="7">
        <v>170000</v>
      </c>
      <c r="E1040" s="7">
        <v>0.32</v>
      </c>
      <c r="F1040" s="7">
        <v>170000</v>
      </c>
      <c r="G1040" s="7">
        <v>0</v>
      </c>
      <c r="H1040">
        <v>65</v>
      </c>
      <c r="I1040" t="s">
        <v>23</v>
      </c>
    </row>
    <row r="1041" spans="1:9" x14ac:dyDescent="0.35">
      <c r="A1041" t="s">
        <v>165</v>
      </c>
      <c r="B1041" t="s">
        <v>4509</v>
      </c>
      <c r="C1041" s="7">
        <v>0.27</v>
      </c>
      <c r="D1041" s="7">
        <v>450000</v>
      </c>
      <c r="E1041" s="7">
        <v>0</v>
      </c>
      <c r="F1041" s="7">
        <v>0</v>
      </c>
      <c r="G1041" s="7">
        <v>450000</v>
      </c>
      <c r="H1041">
        <v>66</v>
      </c>
      <c r="I1041" t="s">
        <v>32</v>
      </c>
    </row>
    <row r="1042" spans="1:9" x14ac:dyDescent="0.35">
      <c r="A1042" t="s">
        <v>166</v>
      </c>
      <c r="B1042" t="s">
        <v>4509</v>
      </c>
      <c r="C1042" s="7">
        <v>0.27</v>
      </c>
      <c r="D1042" s="7">
        <v>848509</v>
      </c>
      <c r="E1042" s="7">
        <v>0.4</v>
      </c>
      <c r="F1042" s="7">
        <v>882135</v>
      </c>
      <c r="G1042" s="7">
        <v>-33626</v>
      </c>
      <c r="H1042">
        <v>67</v>
      </c>
      <c r="I1042" t="s">
        <v>25</v>
      </c>
    </row>
    <row r="1043" spans="1:9" x14ac:dyDescent="0.35">
      <c r="A1043" t="s">
        <v>167</v>
      </c>
      <c r="B1043" t="s">
        <v>4509</v>
      </c>
      <c r="C1043" s="7">
        <v>0.24</v>
      </c>
      <c r="D1043" s="7">
        <v>2000000</v>
      </c>
      <c r="E1043" s="7">
        <v>0.26</v>
      </c>
      <c r="F1043" s="7">
        <v>2000000</v>
      </c>
      <c r="G1043" s="7">
        <v>0</v>
      </c>
      <c r="H1043">
        <v>68</v>
      </c>
      <c r="I1043" t="s">
        <v>23</v>
      </c>
    </row>
    <row r="1044" spans="1:9" x14ac:dyDescent="0.35">
      <c r="A1044" t="s">
        <v>6138</v>
      </c>
      <c r="B1044" t="s">
        <v>4509</v>
      </c>
      <c r="C1044" s="7">
        <v>0.23</v>
      </c>
      <c r="D1044" s="7">
        <v>137771</v>
      </c>
      <c r="E1044" s="7">
        <v>0.24</v>
      </c>
      <c r="F1044" s="7">
        <v>137771</v>
      </c>
      <c r="G1044" s="7">
        <v>0</v>
      </c>
      <c r="H1044">
        <v>69</v>
      </c>
      <c r="I1044" t="s">
        <v>23</v>
      </c>
    </row>
    <row r="1045" spans="1:9" x14ac:dyDescent="0.35">
      <c r="A1045" t="s">
        <v>168</v>
      </c>
      <c r="B1045" t="s">
        <v>4509</v>
      </c>
      <c r="C1045" s="7">
        <v>0.22</v>
      </c>
      <c r="D1045" s="7">
        <v>330152</v>
      </c>
      <c r="E1045" s="7">
        <v>0.24</v>
      </c>
      <c r="F1045" s="7">
        <v>326854</v>
      </c>
      <c r="G1045" s="7">
        <v>3298</v>
      </c>
      <c r="H1045">
        <v>70</v>
      </c>
      <c r="I1045" t="s">
        <v>22</v>
      </c>
    </row>
    <row r="1046" spans="1:9" x14ac:dyDescent="0.35">
      <c r="A1046" t="s">
        <v>6139</v>
      </c>
      <c r="B1046" t="s">
        <v>4509</v>
      </c>
      <c r="C1046" s="7">
        <v>0.21</v>
      </c>
      <c r="D1046" s="7">
        <v>595869</v>
      </c>
      <c r="E1046" s="7">
        <v>0.22</v>
      </c>
      <c r="F1046" s="7">
        <v>595869</v>
      </c>
      <c r="G1046" s="7">
        <v>0</v>
      </c>
      <c r="H1046">
        <v>71</v>
      </c>
      <c r="I1046" t="s">
        <v>23</v>
      </c>
    </row>
    <row r="1047" spans="1:9" x14ac:dyDescent="0.35">
      <c r="A1047" t="s">
        <v>169</v>
      </c>
      <c r="B1047" t="s">
        <v>4509</v>
      </c>
      <c r="C1047" s="7">
        <v>0.21</v>
      </c>
      <c r="D1047" s="7">
        <v>16063</v>
      </c>
      <c r="E1047" s="7">
        <v>0.28000000000000003</v>
      </c>
      <c r="F1047" s="7">
        <v>16063</v>
      </c>
      <c r="G1047" s="7">
        <v>0</v>
      </c>
      <c r="H1047">
        <v>72</v>
      </c>
      <c r="I1047" t="s">
        <v>23</v>
      </c>
    </row>
    <row r="1048" spans="1:9" x14ac:dyDescent="0.35">
      <c r="A1048" t="s">
        <v>170</v>
      </c>
      <c r="B1048" t="s">
        <v>4509</v>
      </c>
      <c r="C1048" s="7">
        <v>0.2</v>
      </c>
      <c r="D1048" s="7">
        <v>279395</v>
      </c>
      <c r="E1048" s="7">
        <v>0.25</v>
      </c>
      <c r="F1048" s="7">
        <v>279395</v>
      </c>
      <c r="G1048" s="7">
        <v>0</v>
      </c>
      <c r="H1048">
        <v>73</v>
      </c>
      <c r="I1048" t="s">
        <v>23</v>
      </c>
    </row>
    <row r="1049" spans="1:9" x14ac:dyDescent="0.35">
      <c r="A1049" t="s">
        <v>171</v>
      </c>
      <c r="B1049" t="s">
        <v>4509</v>
      </c>
      <c r="C1049" s="7">
        <v>0.19</v>
      </c>
      <c r="D1049" s="7">
        <v>1611047</v>
      </c>
      <c r="E1049" s="7">
        <v>0.28000000000000003</v>
      </c>
      <c r="F1049" s="7">
        <v>1611047</v>
      </c>
      <c r="G1049" s="7">
        <v>0</v>
      </c>
      <c r="H1049">
        <v>74</v>
      </c>
      <c r="I1049" t="s">
        <v>23</v>
      </c>
    </row>
    <row r="1050" spans="1:9" x14ac:dyDescent="0.35">
      <c r="A1050" t="s">
        <v>172</v>
      </c>
      <c r="B1050" t="s">
        <v>4509</v>
      </c>
      <c r="C1050" s="7">
        <v>0.15</v>
      </c>
      <c r="D1050" s="7">
        <v>1728585</v>
      </c>
      <c r="E1050" s="7">
        <v>0.18</v>
      </c>
      <c r="F1050" s="7">
        <v>1728585</v>
      </c>
      <c r="G1050" s="7">
        <v>0</v>
      </c>
      <c r="H1050">
        <v>75</v>
      </c>
      <c r="I1050" t="s">
        <v>23</v>
      </c>
    </row>
    <row r="1051" spans="1:9" x14ac:dyDescent="0.35">
      <c r="A1051" t="s">
        <v>4517</v>
      </c>
      <c r="B1051" t="s">
        <v>4509</v>
      </c>
      <c r="C1051" s="7">
        <v>0.15</v>
      </c>
      <c r="D1051" s="7">
        <v>386791</v>
      </c>
      <c r="E1051" s="7">
        <v>0</v>
      </c>
      <c r="F1051" s="7">
        <v>0</v>
      </c>
      <c r="G1051" s="7">
        <v>386791</v>
      </c>
      <c r="H1051">
        <v>76</v>
      </c>
      <c r="I1051" t="s">
        <v>32</v>
      </c>
    </row>
    <row r="1052" spans="1:9" x14ac:dyDescent="0.35">
      <c r="A1052" t="s">
        <v>4518</v>
      </c>
      <c r="B1052" t="s">
        <v>4509</v>
      </c>
      <c r="C1052" s="7">
        <v>0.15</v>
      </c>
      <c r="D1052" s="7">
        <v>550000</v>
      </c>
      <c r="E1052" s="7">
        <v>0</v>
      </c>
      <c r="F1052" s="7">
        <v>0</v>
      </c>
      <c r="G1052" s="7">
        <v>550000</v>
      </c>
      <c r="H1052">
        <v>77</v>
      </c>
      <c r="I1052" t="s">
        <v>32</v>
      </c>
    </row>
    <row r="1053" spans="1:9" x14ac:dyDescent="0.35">
      <c r="A1053" t="s">
        <v>4519</v>
      </c>
      <c r="B1053" t="s">
        <v>4509</v>
      </c>
      <c r="C1053" s="7">
        <v>0.13</v>
      </c>
      <c r="D1053" s="7">
        <v>210429</v>
      </c>
      <c r="E1053" s="7">
        <v>0</v>
      </c>
      <c r="F1053" s="7">
        <v>0</v>
      </c>
      <c r="G1053" s="7">
        <v>210429</v>
      </c>
      <c r="H1053">
        <v>78</v>
      </c>
      <c r="I1053" t="s">
        <v>32</v>
      </c>
    </row>
    <row r="1054" spans="1:9" x14ac:dyDescent="0.35">
      <c r="A1054" t="s">
        <v>173</v>
      </c>
      <c r="B1054" t="s">
        <v>4509</v>
      </c>
      <c r="C1054" s="7">
        <v>7.0000000000000007E-2</v>
      </c>
      <c r="D1054" s="7">
        <v>196607</v>
      </c>
      <c r="E1054" s="7">
        <v>0.1</v>
      </c>
      <c r="F1054" s="7">
        <v>196607</v>
      </c>
      <c r="G1054" s="7">
        <v>0</v>
      </c>
      <c r="H1054">
        <v>79</v>
      </c>
      <c r="I1054" t="s">
        <v>23</v>
      </c>
    </row>
    <row r="1055" spans="1:9" x14ac:dyDescent="0.35">
      <c r="A1055" t="s">
        <v>4520</v>
      </c>
      <c r="B1055" t="s">
        <v>4509</v>
      </c>
      <c r="C1055" s="7">
        <v>0.06</v>
      </c>
      <c r="D1055" s="7">
        <v>35987</v>
      </c>
      <c r="E1055" s="7">
        <v>0</v>
      </c>
      <c r="F1055" s="7">
        <v>0</v>
      </c>
      <c r="G1055" s="7">
        <v>35987</v>
      </c>
      <c r="H1055">
        <v>80</v>
      </c>
      <c r="I1055" t="s">
        <v>32</v>
      </c>
    </row>
    <row r="1056" spans="1:9" x14ac:dyDescent="0.35">
      <c r="A1056" t="s">
        <v>4521</v>
      </c>
      <c r="B1056" t="s">
        <v>4509</v>
      </c>
      <c r="C1056" s="7">
        <v>0.02</v>
      </c>
      <c r="D1056" s="7">
        <v>11043</v>
      </c>
      <c r="E1056" s="7">
        <v>0</v>
      </c>
      <c r="F1056" s="7">
        <v>0</v>
      </c>
      <c r="G1056" s="7">
        <v>11043</v>
      </c>
      <c r="H1056">
        <v>81</v>
      </c>
      <c r="I1056" t="s">
        <v>32</v>
      </c>
    </row>
    <row r="1057" spans="1:9" x14ac:dyDescent="0.35">
      <c r="A1057" t="s">
        <v>177</v>
      </c>
      <c r="B1057" t="s">
        <v>4509</v>
      </c>
      <c r="C1057" s="7">
        <v>0</v>
      </c>
      <c r="D1057" s="7">
        <v>0</v>
      </c>
      <c r="E1057" s="7">
        <v>0</v>
      </c>
      <c r="F1057" s="7">
        <v>0</v>
      </c>
      <c r="G1057" s="7">
        <v>0</v>
      </c>
      <c r="H1057">
        <v>82</v>
      </c>
      <c r="I1057" t="s">
        <v>36</v>
      </c>
    </row>
    <row r="1058" spans="1:9" x14ac:dyDescent="0.35">
      <c r="A1058" t="s">
        <v>6140</v>
      </c>
      <c r="B1058" t="s">
        <v>4509</v>
      </c>
      <c r="C1058" s="7">
        <v>0</v>
      </c>
      <c r="D1058" s="7">
        <v>0</v>
      </c>
      <c r="E1058" s="7">
        <v>0</v>
      </c>
      <c r="F1058" s="7">
        <v>0</v>
      </c>
      <c r="G1058" s="7">
        <v>0</v>
      </c>
      <c r="H1058">
        <v>83</v>
      </c>
      <c r="I1058" t="s">
        <v>36</v>
      </c>
    </row>
    <row r="1059" spans="1:9" x14ac:dyDescent="0.35">
      <c r="A1059" t="s">
        <v>94</v>
      </c>
      <c r="B1059" t="s">
        <v>4509</v>
      </c>
      <c r="C1059" s="7">
        <v>0</v>
      </c>
      <c r="D1059" s="7">
        <v>0</v>
      </c>
      <c r="E1059" s="7">
        <v>0</v>
      </c>
      <c r="F1059" s="7">
        <v>0</v>
      </c>
      <c r="G1059" s="7">
        <v>0</v>
      </c>
      <c r="H1059">
        <v>84</v>
      </c>
      <c r="I1059" t="s">
        <v>36</v>
      </c>
    </row>
    <row r="1060" spans="1:9" x14ac:dyDescent="0.35">
      <c r="A1060" t="s">
        <v>4524</v>
      </c>
      <c r="B1060" t="s">
        <v>4509</v>
      </c>
      <c r="C1060" s="7">
        <v>0</v>
      </c>
      <c r="D1060" s="7">
        <v>0</v>
      </c>
      <c r="E1060" s="7">
        <v>0</v>
      </c>
      <c r="F1060" s="7">
        <v>0</v>
      </c>
      <c r="G1060" s="7">
        <v>0</v>
      </c>
      <c r="H1060">
        <v>85</v>
      </c>
      <c r="I1060" t="s">
        <v>36</v>
      </c>
    </row>
    <row r="1061" spans="1:9" x14ac:dyDescent="0.35">
      <c r="A1061" t="s">
        <v>66</v>
      </c>
      <c r="B1061" t="s">
        <v>4509</v>
      </c>
      <c r="C1061" s="7">
        <v>0</v>
      </c>
      <c r="D1061" s="7">
        <v>0</v>
      </c>
      <c r="E1061" s="7">
        <v>1.02</v>
      </c>
      <c r="F1061" s="7">
        <v>109000</v>
      </c>
      <c r="G1061" s="7">
        <v>-109000</v>
      </c>
      <c r="H1061">
        <v>86</v>
      </c>
      <c r="I1061" t="s">
        <v>25</v>
      </c>
    </row>
    <row r="1062" spans="1:9" x14ac:dyDescent="0.35">
      <c r="A1062" t="s">
        <v>178</v>
      </c>
      <c r="B1062" t="s">
        <v>4509</v>
      </c>
      <c r="C1062" s="7">
        <v>0</v>
      </c>
      <c r="D1062" s="7">
        <v>0</v>
      </c>
      <c r="E1062" s="7">
        <v>0</v>
      </c>
      <c r="F1062" s="7">
        <v>0</v>
      </c>
      <c r="G1062" s="7">
        <v>0</v>
      </c>
      <c r="H1062">
        <v>87</v>
      </c>
      <c r="I1062" t="s">
        <v>36</v>
      </c>
    </row>
    <row r="1063" spans="1:9" x14ac:dyDescent="0.35">
      <c r="A1063" t="s">
        <v>107</v>
      </c>
      <c r="B1063" t="s">
        <v>4509</v>
      </c>
      <c r="C1063" s="7">
        <v>0</v>
      </c>
      <c r="D1063" s="7">
        <v>0</v>
      </c>
      <c r="E1063" s="7">
        <v>0</v>
      </c>
      <c r="F1063" s="7">
        <v>0</v>
      </c>
      <c r="G1063" s="7">
        <v>0</v>
      </c>
      <c r="H1063">
        <v>88</v>
      </c>
      <c r="I1063" t="s">
        <v>36</v>
      </c>
    </row>
    <row r="1064" spans="1:9" x14ac:dyDescent="0.35">
      <c r="A1064" t="s">
        <v>4440</v>
      </c>
      <c r="B1064" t="s">
        <v>4509</v>
      </c>
      <c r="C1064" s="7">
        <v>0</v>
      </c>
      <c r="D1064" s="7">
        <v>0</v>
      </c>
      <c r="E1064" s="7">
        <v>0.36</v>
      </c>
      <c r="F1064" s="7">
        <v>146000</v>
      </c>
      <c r="G1064" s="7">
        <v>-146000</v>
      </c>
      <c r="H1064">
        <v>89</v>
      </c>
      <c r="I1064" t="s">
        <v>25</v>
      </c>
    </row>
    <row r="1065" spans="1:9" x14ac:dyDescent="0.35">
      <c r="A1065" t="s">
        <v>4523</v>
      </c>
      <c r="B1065" t="s">
        <v>4509</v>
      </c>
      <c r="C1065" s="7">
        <v>0</v>
      </c>
      <c r="D1065" s="7">
        <v>0</v>
      </c>
      <c r="E1065" s="7">
        <v>0</v>
      </c>
      <c r="F1065" s="7">
        <v>0</v>
      </c>
      <c r="G1065" s="7">
        <v>0</v>
      </c>
      <c r="H1065">
        <v>90</v>
      </c>
      <c r="I1065" t="s">
        <v>36</v>
      </c>
    </row>
    <row r="1066" spans="1:9" x14ac:dyDescent="0.35">
      <c r="A1066" t="s">
        <v>176</v>
      </c>
      <c r="B1066" t="s">
        <v>4509</v>
      </c>
      <c r="C1066" s="7">
        <v>0</v>
      </c>
      <c r="D1066" s="7">
        <v>0</v>
      </c>
      <c r="E1066" s="7">
        <v>0.63</v>
      </c>
      <c r="F1066" s="7">
        <v>1174183</v>
      </c>
      <c r="G1066" s="7">
        <v>-1174183</v>
      </c>
      <c r="H1066">
        <v>91</v>
      </c>
      <c r="I1066" t="s">
        <v>25</v>
      </c>
    </row>
    <row r="1067" spans="1:9" x14ac:dyDescent="0.35">
      <c r="A1067" t="s">
        <v>75</v>
      </c>
      <c r="B1067" t="s">
        <v>4509</v>
      </c>
      <c r="C1067" s="7">
        <v>0</v>
      </c>
      <c r="D1067" s="7">
        <v>0</v>
      </c>
      <c r="E1067" s="7">
        <v>0</v>
      </c>
      <c r="F1067" s="7">
        <v>0</v>
      </c>
      <c r="G1067" s="7">
        <v>0</v>
      </c>
      <c r="H1067">
        <v>92</v>
      </c>
      <c r="I1067" t="s">
        <v>36</v>
      </c>
    </row>
    <row r="1068" spans="1:9" x14ac:dyDescent="0.35">
      <c r="A1068" t="s">
        <v>102</v>
      </c>
      <c r="B1068" t="s">
        <v>4509</v>
      </c>
      <c r="C1068" s="7">
        <v>0</v>
      </c>
      <c r="D1068" s="7">
        <v>0</v>
      </c>
      <c r="E1068" s="7">
        <v>1.17</v>
      </c>
      <c r="F1068" s="7">
        <v>410202</v>
      </c>
      <c r="G1068" s="7">
        <v>-410202</v>
      </c>
      <c r="H1068">
        <v>93</v>
      </c>
      <c r="I1068" t="s">
        <v>25</v>
      </c>
    </row>
    <row r="1069" spans="1:9" x14ac:dyDescent="0.35">
      <c r="A1069" t="s">
        <v>62</v>
      </c>
      <c r="B1069" t="s">
        <v>4509</v>
      </c>
      <c r="C1069" s="7">
        <v>0</v>
      </c>
      <c r="D1069" s="7">
        <v>0</v>
      </c>
      <c r="E1069" s="7">
        <v>0</v>
      </c>
      <c r="F1069" s="7">
        <v>0</v>
      </c>
      <c r="G1069" s="7">
        <v>0</v>
      </c>
      <c r="H1069">
        <v>94</v>
      </c>
      <c r="I1069" t="s">
        <v>36</v>
      </c>
    </row>
    <row r="1070" spans="1:9" x14ac:dyDescent="0.35">
      <c r="A1070" t="s">
        <v>4522</v>
      </c>
      <c r="B1070" t="s">
        <v>4509</v>
      </c>
      <c r="C1070" s="7">
        <v>0</v>
      </c>
      <c r="D1070" s="7">
        <v>0</v>
      </c>
      <c r="E1070" s="7">
        <v>0</v>
      </c>
      <c r="F1070" s="7">
        <v>0</v>
      </c>
      <c r="G1070" s="7">
        <v>0</v>
      </c>
      <c r="H1070">
        <v>95</v>
      </c>
      <c r="I1070" t="s">
        <v>36</v>
      </c>
    </row>
    <row r="1071" spans="1:9" x14ac:dyDescent="0.35">
      <c r="A1071" t="s">
        <v>175</v>
      </c>
      <c r="B1071" t="s">
        <v>4509</v>
      </c>
      <c r="C1071" s="7">
        <v>0</v>
      </c>
      <c r="D1071" s="7">
        <v>0</v>
      </c>
      <c r="E1071" s="7">
        <v>0</v>
      </c>
      <c r="F1071" s="7">
        <v>0</v>
      </c>
      <c r="G1071" s="7">
        <v>0</v>
      </c>
      <c r="H1071">
        <v>96</v>
      </c>
      <c r="I1071" t="s">
        <v>36</v>
      </c>
    </row>
    <row r="1072" spans="1:9" x14ac:dyDescent="0.35">
      <c r="A1072" t="s">
        <v>100</v>
      </c>
      <c r="B1072" t="s">
        <v>4509</v>
      </c>
      <c r="C1072" s="7">
        <v>0</v>
      </c>
      <c r="D1072" s="7">
        <v>0</v>
      </c>
      <c r="E1072" s="7">
        <v>1.28</v>
      </c>
      <c r="F1072" s="7">
        <v>1577756</v>
      </c>
      <c r="G1072" s="7">
        <v>-1577756</v>
      </c>
      <c r="H1072">
        <v>97</v>
      </c>
      <c r="I1072" t="s">
        <v>25</v>
      </c>
    </row>
    <row r="1073" spans="1:9" x14ac:dyDescent="0.35">
      <c r="A1073" t="s">
        <v>174</v>
      </c>
      <c r="B1073" t="s">
        <v>4509</v>
      </c>
      <c r="C1073" s="7">
        <v>0</v>
      </c>
      <c r="D1073" s="7">
        <v>0</v>
      </c>
      <c r="E1073" s="7">
        <v>0</v>
      </c>
      <c r="F1073" s="7">
        <v>0</v>
      </c>
      <c r="G1073" s="7">
        <v>0</v>
      </c>
      <c r="H1073">
        <v>98</v>
      </c>
      <c r="I1073" t="s">
        <v>36</v>
      </c>
    </row>
    <row r="1074" spans="1:9" x14ac:dyDescent="0.35">
      <c r="A1074" t="s">
        <v>179</v>
      </c>
      <c r="B1074" t="s">
        <v>4509</v>
      </c>
      <c r="C1074" s="7">
        <v>0</v>
      </c>
      <c r="D1074" s="7">
        <v>0</v>
      </c>
      <c r="E1074" s="7">
        <v>0.3</v>
      </c>
      <c r="F1074" s="7">
        <v>717116</v>
      </c>
      <c r="G1074" s="7">
        <v>-717116</v>
      </c>
      <c r="H1074">
        <v>99</v>
      </c>
      <c r="I1074" t="s">
        <v>25</v>
      </c>
    </row>
    <row r="1075" spans="1:9" x14ac:dyDescent="0.35">
      <c r="A1075" t="s">
        <v>6110</v>
      </c>
      <c r="B1075" t="s">
        <v>4525</v>
      </c>
      <c r="C1075" s="7">
        <v>4.6399999999999997</v>
      </c>
      <c r="D1075" s="7">
        <v>1400000</v>
      </c>
      <c r="E1075" s="7">
        <v>4.91</v>
      </c>
      <c r="F1075" s="7">
        <v>1400000</v>
      </c>
      <c r="G1075" s="7">
        <v>0</v>
      </c>
      <c r="H1075">
        <v>1</v>
      </c>
      <c r="I1075" t="s">
        <v>23</v>
      </c>
    </row>
    <row r="1076" spans="1:9" x14ac:dyDescent="0.35">
      <c r="A1076" t="s">
        <v>6112</v>
      </c>
      <c r="B1076" t="s">
        <v>4525</v>
      </c>
      <c r="C1076" s="7">
        <v>4.29</v>
      </c>
      <c r="D1076" s="7">
        <v>1623740</v>
      </c>
      <c r="E1076" s="7">
        <v>4.5199999999999996</v>
      </c>
      <c r="F1076" s="7">
        <v>1623740</v>
      </c>
      <c r="G1076" s="7">
        <v>0</v>
      </c>
      <c r="H1076">
        <v>2</v>
      </c>
      <c r="I1076" t="s">
        <v>23</v>
      </c>
    </row>
    <row r="1077" spans="1:9" x14ac:dyDescent="0.35">
      <c r="A1077" t="s">
        <v>6141</v>
      </c>
      <c r="B1077" t="s">
        <v>4525</v>
      </c>
      <c r="C1077" s="7">
        <v>3.65</v>
      </c>
      <c r="D1077" s="7">
        <v>1400000</v>
      </c>
      <c r="E1077" s="7">
        <v>3.99</v>
      </c>
      <c r="F1077" s="7">
        <v>1400000</v>
      </c>
      <c r="G1077" s="7">
        <v>0</v>
      </c>
      <c r="H1077">
        <v>3</v>
      </c>
      <c r="I1077" t="s">
        <v>23</v>
      </c>
    </row>
    <row r="1078" spans="1:9" x14ac:dyDescent="0.35">
      <c r="A1078" t="s">
        <v>6019</v>
      </c>
      <c r="B1078" t="s">
        <v>4525</v>
      </c>
      <c r="C1078" s="7">
        <v>3.33</v>
      </c>
      <c r="D1078" s="7">
        <v>1511202</v>
      </c>
      <c r="E1078" s="7">
        <v>3.1</v>
      </c>
      <c r="F1078" s="7">
        <v>1511202</v>
      </c>
      <c r="G1078" s="7">
        <v>0</v>
      </c>
      <c r="H1078">
        <v>4</v>
      </c>
      <c r="I1078" t="s">
        <v>23</v>
      </c>
    </row>
    <row r="1079" spans="1:9" x14ac:dyDescent="0.35">
      <c r="A1079" t="s">
        <v>55</v>
      </c>
      <c r="B1079" t="s">
        <v>4525</v>
      </c>
      <c r="C1079" s="7">
        <v>3.29</v>
      </c>
      <c r="D1079" s="7">
        <v>3778182</v>
      </c>
      <c r="E1079" s="7">
        <v>2.74</v>
      </c>
      <c r="F1079" s="7">
        <v>3215362</v>
      </c>
      <c r="G1079" s="7">
        <v>562820</v>
      </c>
      <c r="H1079">
        <v>5</v>
      </c>
      <c r="I1079" t="s">
        <v>22</v>
      </c>
    </row>
    <row r="1080" spans="1:9" x14ac:dyDescent="0.35">
      <c r="A1080" t="s">
        <v>6053</v>
      </c>
      <c r="B1080" t="s">
        <v>4525</v>
      </c>
      <c r="C1080" s="7">
        <v>3.18</v>
      </c>
      <c r="D1080" s="7">
        <v>3100000</v>
      </c>
      <c r="E1080" s="7">
        <v>3.34</v>
      </c>
      <c r="F1080" s="7">
        <v>3100000</v>
      </c>
      <c r="G1080" s="7">
        <v>0</v>
      </c>
      <c r="H1080">
        <v>6</v>
      </c>
      <c r="I1080" t="s">
        <v>23</v>
      </c>
    </row>
    <row r="1081" spans="1:9" x14ac:dyDescent="0.35">
      <c r="A1081" t="s">
        <v>4435</v>
      </c>
      <c r="B1081" t="s">
        <v>4525</v>
      </c>
      <c r="C1081" s="7">
        <v>3.07</v>
      </c>
      <c r="D1081" s="7">
        <v>96000</v>
      </c>
      <c r="E1081" s="7">
        <v>3.25</v>
      </c>
      <c r="F1081" s="7">
        <v>96000</v>
      </c>
      <c r="G1081" s="7">
        <v>0</v>
      </c>
      <c r="H1081">
        <v>7</v>
      </c>
      <c r="I1081" t="s">
        <v>23</v>
      </c>
    </row>
    <row r="1082" spans="1:9" x14ac:dyDescent="0.35">
      <c r="A1082" t="s">
        <v>6142</v>
      </c>
      <c r="B1082" t="s">
        <v>4525</v>
      </c>
      <c r="C1082" s="7">
        <v>2.96</v>
      </c>
      <c r="D1082" s="7">
        <v>5169750</v>
      </c>
      <c r="E1082" s="7">
        <v>2.86</v>
      </c>
      <c r="F1082" s="7">
        <v>5169750</v>
      </c>
      <c r="G1082" s="7">
        <v>0</v>
      </c>
      <c r="H1082">
        <v>8</v>
      </c>
      <c r="I1082" t="s">
        <v>23</v>
      </c>
    </row>
    <row r="1083" spans="1:9" x14ac:dyDescent="0.35">
      <c r="A1083" t="s">
        <v>4468</v>
      </c>
      <c r="B1083" t="s">
        <v>4525</v>
      </c>
      <c r="C1083" s="7">
        <v>2.94</v>
      </c>
      <c r="D1083" s="7">
        <v>1310000</v>
      </c>
      <c r="E1083" s="7">
        <v>3.07</v>
      </c>
      <c r="F1083" s="7">
        <v>1310000</v>
      </c>
      <c r="G1083" s="7">
        <v>0</v>
      </c>
      <c r="H1083">
        <v>9</v>
      </c>
      <c r="I1083" t="s">
        <v>23</v>
      </c>
    </row>
    <row r="1084" spans="1:9" x14ac:dyDescent="0.35">
      <c r="A1084" t="s">
        <v>6101</v>
      </c>
      <c r="B1084" t="s">
        <v>4525</v>
      </c>
      <c r="C1084" s="7">
        <v>2.9</v>
      </c>
      <c r="D1084" s="7">
        <v>8682397</v>
      </c>
      <c r="E1084" s="7">
        <v>3.06</v>
      </c>
      <c r="F1084" s="7">
        <v>8682397</v>
      </c>
      <c r="G1084" s="7">
        <v>0</v>
      </c>
      <c r="H1084">
        <v>10</v>
      </c>
      <c r="I1084" t="s">
        <v>23</v>
      </c>
    </row>
    <row r="1085" spans="1:9" x14ac:dyDescent="0.35">
      <c r="A1085" t="s">
        <v>6143</v>
      </c>
      <c r="B1085" t="s">
        <v>4525</v>
      </c>
      <c r="C1085" s="7">
        <v>2.88</v>
      </c>
      <c r="D1085" s="7">
        <v>3000000</v>
      </c>
      <c r="E1085" s="7">
        <v>3.08</v>
      </c>
      <c r="F1085" s="7">
        <v>3000000</v>
      </c>
      <c r="G1085" s="7">
        <v>0</v>
      </c>
      <c r="H1085">
        <v>11</v>
      </c>
      <c r="I1085" t="s">
        <v>23</v>
      </c>
    </row>
    <row r="1086" spans="1:9" x14ac:dyDescent="0.35">
      <c r="A1086" t="s">
        <v>6144</v>
      </c>
      <c r="B1086" t="s">
        <v>4525</v>
      </c>
      <c r="C1086" s="7">
        <v>2.87</v>
      </c>
      <c r="D1086" s="7">
        <v>3266269</v>
      </c>
      <c r="E1086" s="7">
        <v>3.13</v>
      </c>
      <c r="F1086" s="7">
        <v>3266269</v>
      </c>
      <c r="G1086" s="7">
        <v>0</v>
      </c>
      <c r="H1086">
        <v>12</v>
      </c>
      <c r="I1086" t="s">
        <v>23</v>
      </c>
    </row>
    <row r="1087" spans="1:9" x14ac:dyDescent="0.35">
      <c r="A1087" t="s">
        <v>5956</v>
      </c>
      <c r="B1087" t="s">
        <v>4525</v>
      </c>
      <c r="C1087" s="7">
        <v>2.67</v>
      </c>
      <c r="D1087" s="7">
        <v>200000</v>
      </c>
      <c r="E1087" s="7">
        <v>2.57</v>
      </c>
      <c r="F1087" s="7">
        <v>200000</v>
      </c>
      <c r="G1087" s="7">
        <v>0</v>
      </c>
      <c r="H1087">
        <v>13</v>
      </c>
      <c r="I1087" t="s">
        <v>23</v>
      </c>
    </row>
    <row r="1088" spans="1:9" x14ac:dyDescent="0.35">
      <c r="A1088" t="s">
        <v>6145</v>
      </c>
      <c r="B1088" t="s">
        <v>4525</v>
      </c>
      <c r="C1088" s="7">
        <v>2.67</v>
      </c>
      <c r="D1088" s="7">
        <v>2594920</v>
      </c>
      <c r="E1088" s="7">
        <v>2.82</v>
      </c>
      <c r="F1088" s="7">
        <v>2594920</v>
      </c>
      <c r="G1088" s="7">
        <v>0</v>
      </c>
      <c r="H1088">
        <v>14</v>
      </c>
      <c r="I1088" t="s">
        <v>23</v>
      </c>
    </row>
    <row r="1089" spans="1:9" x14ac:dyDescent="0.35">
      <c r="A1089" t="s">
        <v>6146</v>
      </c>
      <c r="B1089" t="s">
        <v>4525</v>
      </c>
      <c r="C1089" s="7">
        <v>2.2999999999999998</v>
      </c>
      <c r="D1089" s="7">
        <v>4758000</v>
      </c>
      <c r="E1089" s="7">
        <v>2.2000000000000002</v>
      </c>
      <c r="F1089" s="7">
        <v>4758000</v>
      </c>
      <c r="G1089" s="7">
        <v>0</v>
      </c>
      <c r="H1089">
        <v>15</v>
      </c>
      <c r="I1089" t="s">
        <v>23</v>
      </c>
    </row>
    <row r="1090" spans="1:9" x14ac:dyDescent="0.35">
      <c r="A1090" t="s">
        <v>6084</v>
      </c>
      <c r="B1090" t="s">
        <v>4525</v>
      </c>
      <c r="C1090" s="7">
        <v>2.27</v>
      </c>
      <c r="D1090" s="7">
        <v>4500000</v>
      </c>
      <c r="E1090" s="7">
        <v>2.42</v>
      </c>
      <c r="F1090" s="7">
        <v>4500000</v>
      </c>
      <c r="G1090" s="7">
        <v>0</v>
      </c>
      <c r="H1090">
        <v>16</v>
      </c>
      <c r="I1090" t="s">
        <v>23</v>
      </c>
    </row>
    <row r="1091" spans="1:9" x14ac:dyDescent="0.35">
      <c r="A1091" t="s">
        <v>4526</v>
      </c>
      <c r="B1091" t="s">
        <v>4525</v>
      </c>
      <c r="C1091" s="7">
        <v>2.25</v>
      </c>
      <c r="D1091" s="7">
        <v>4153532</v>
      </c>
      <c r="E1091" s="7">
        <v>2.2200000000000002</v>
      </c>
      <c r="F1091" s="7">
        <v>3720403</v>
      </c>
      <c r="G1091" s="7">
        <v>433129</v>
      </c>
      <c r="H1091">
        <v>17</v>
      </c>
      <c r="I1091" t="s">
        <v>22</v>
      </c>
    </row>
    <row r="1092" spans="1:9" x14ac:dyDescent="0.35">
      <c r="A1092" t="s">
        <v>4466</v>
      </c>
      <c r="B1092" t="s">
        <v>4525</v>
      </c>
      <c r="C1092" s="7">
        <v>1.98</v>
      </c>
      <c r="D1092" s="7">
        <v>713774</v>
      </c>
      <c r="E1092" s="7">
        <v>2.17</v>
      </c>
      <c r="F1092" s="7">
        <v>713774</v>
      </c>
      <c r="G1092" s="7">
        <v>0</v>
      </c>
      <c r="H1092">
        <v>18</v>
      </c>
      <c r="I1092" t="s">
        <v>23</v>
      </c>
    </row>
    <row r="1093" spans="1:9" x14ac:dyDescent="0.35">
      <c r="A1093" t="s">
        <v>4464</v>
      </c>
      <c r="B1093" t="s">
        <v>4525</v>
      </c>
      <c r="C1093" s="7">
        <v>1.85</v>
      </c>
      <c r="D1093" s="7">
        <v>2343540</v>
      </c>
      <c r="E1093" s="7">
        <v>1.76</v>
      </c>
      <c r="F1093" s="7">
        <v>2343540</v>
      </c>
      <c r="G1093" s="7">
        <v>0</v>
      </c>
      <c r="H1093">
        <v>19</v>
      </c>
      <c r="I1093" t="s">
        <v>23</v>
      </c>
    </row>
    <row r="1094" spans="1:9" x14ac:dyDescent="0.35">
      <c r="A1094" t="s">
        <v>4527</v>
      </c>
      <c r="B1094" t="s">
        <v>4525</v>
      </c>
      <c r="C1094" s="7">
        <v>1.77</v>
      </c>
      <c r="D1094" s="7">
        <v>5238213</v>
      </c>
      <c r="E1094" s="7">
        <v>2.08</v>
      </c>
      <c r="F1094" s="7">
        <v>5695553</v>
      </c>
      <c r="G1094" s="7">
        <v>-457340</v>
      </c>
      <c r="H1094">
        <v>20</v>
      </c>
      <c r="I1094" t="s">
        <v>25</v>
      </c>
    </row>
    <row r="1095" spans="1:9" x14ac:dyDescent="0.35">
      <c r="A1095" t="s">
        <v>6147</v>
      </c>
      <c r="B1095" t="s">
        <v>4525</v>
      </c>
      <c r="C1095" s="7">
        <v>1.74</v>
      </c>
      <c r="D1095" s="7">
        <v>3829170</v>
      </c>
      <c r="E1095" s="7">
        <v>1.66</v>
      </c>
      <c r="F1095" s="7">
        <v>3829170</v>
      </c>
      <c r="G1095" s="7">
        <v>0</v>
      </c>
      <c r="H1095">
        <v>21</v>
      </c>
      <c r="I1095" t="s">
        <v>23</v>
      </c>
    </row>
    <row r="1096" spans="1:9" x14ac:dyDescent="0.35">
      <c r="A1096" t="s">
        <v>6148</v>
      </c>
      <c r="B1096" t="s">
        <v>4525</v>
      </c>
      <c r="C1096" s="7">
        <v>1.66</v>
      </c>
      <c r="D1096" s="7">
        <v>1123909</v>
      </c>
      <c r="E1096" s="7">
        <v>1.72</v>
      </c>
      <c r="F1096" s="7">
        <v>1123909</v>
      </c>
      <c r="G1096" s="7">
        <v>0</v>
      </c>
      <c r="H1096">
        <v>22</v>
      </c>
      <c r="I1096" t="s">
        <v>23</v>
      </c>
    </row>
    <row r="1097" spans="1:9" x14ac:dyDescent="0.35">
      <c r="A1097" t="s">
        <v>4401</v>
      </c>
      <c r="B1097" t="s">
        <v>4525</v>
      </c>
      <c r="C1097" s="7">
        <v>1.63</v>
      </c>
      <c r="D1097" s="7">
        <v>1401093</v>
      </c>
      <c r="E1097" s="7">
        <v>1.79</v>
      </c>
      <c r="F1097" s="7">
        <v>1501093</v>
      </c>
      <c r="G1097" s="7">
        <v>-100000</v>
      </c>
      <c r="H1097">
        <v>23</v>
      </c>
      <c r="I1097" t="s">
        <v>25</v>
      </c>
    </row>
    <row r="1098" spans="1:9" x14ac:dyDescent="0.35">
      <c r="A1098" t="s">
        <v>6096</v>
      </c>
      <c r="B1098" t="s">
        <v>4525</v>
      </c>
      <c r="C1098" s="7">
        <v>1.63</v>
      </c>
      <c r="D1098" s="7">
        <v>32820234</v>
      </c>
      <c r="E1098" s="7">
        <v>1.7</v>
      </c>
      <c r="F1098" s="7">
        <v>32820234</v>
      </c>
      <c r="G1098" s="7">
        <v>0</v>
      </c>
      <c r="H1098">
        <v>24</v>
      </c>
      <c r="I1098" t="s">
        <v>23</v>
      </c>
    </row>
    <row r="1099" spans="1:9" x14ac:dyDescent="0.35">
      <c r="A1099" t="s">
        <v>6118</v>
      </c>
      <c r="B1099" t="s">
        <v>4525</v>
      </c>
      <c r="C1099" s="7">
        <v>1.62</v>
      </c>
      <c r="D1099" s="7">
        <v>824704</v>
      </c>
      <c r="E1099" s="7">
        <v>1.69</v>
      </c>
      <c r="F1099" s="7">
        <v>824704</v>
      </c>
      <c r="G1099" s="7">
        <v>0</v>
      </c>
      <c r="H1099">
        <v>25</v>
      </c>
      <c r="I1099" t="s">
        <v>23</v>
      </c>
    </row>
    <row r="1100" spans="1:9" x14ac:dyDescent="0.35">
      <c r="A1100" t="s">
        <v>6088</v>
      </c>
      <c r="B1100" t="s">
        <v>4525</v>
      </c>
      <c r="C1100" s="7">
        <v>1.6</v>
      </c>
      <c r="D1100" s="7">
        <v>351548</v>
      </c>
      <c r="E1100" s="7">
        <v>1.57</v>
      </c>
      <c r="F1100" s="7">
        <v>351548</v>
      </c>
      <c r="G1100" s="7">
        <v>0</v>
      </c>
      <c r="H1100">
        <v>26</v>
      </c>
      <c r="I1100" t="s">
        <v>23</v>
      </c>
    </row>
    <row r="1101" spans="1:9" x14ac:dyDescent="0.35">
      <c r="A1101" t="s">
        <v>4429</v>
      </c>
      <c r="B1101" t="s">
        <v>4525</v>
      </c>
      <c r="C1101" s="7">
        <v>1.58</v>
      </c>
      <c r="D1101" s="7">
        <v>1076952</v>
      </c>
      <c r="E1101" s="7">
        <v>1.51</v>
      </c>
      <c r="F1101" s="7">
        <v>1076952</v>
      </c>
      <c r="G1101" s="7">
        <v>0</v>
      </c>
      <c r="H1101">
        <v>27</v>
      </c>
      <c r="I1101" t="s">
        <v>23</v>
      </c>
    </row>
    <row r="1102" spans="1:9" x14ac:dyDescent="0.35">
      <c r="A1102" t="s">
        <v>6026</v>
      </c>
      <c r="B1102" t="s">
        <v>4525</v>
      </c>
      <c r="C1102" s="7">
        <v>1.53</v>
      </c>
      <c r="D1102" s="7">
        <v>6084948</v>
      </c>
      <c r="E1102" s="7">
        <v>1.84</v>
      </c>
      <c r="F1102" s="7">
        <v>6084948</v>
      </c>
      <c r="G1102" s="7">
        <v>0</v>
      </c>
      <c r="H1102">
        <v>28</v>
      </c>
      <c r="I1102" t="s">
        <v>23</v>
      </c>
    </row>
    <row r="1103" spans="1:9" x14ac:dyDescent="0.35">
      <c r="A1103" t="s">
        <v>6149</v>
      </c>
      <c r="B1103" t="s">
        <v>4525</v>
      </c>
      <c r="C1103" s="7">
        <v>1.48</v>
      </c>
      <c r="D1103" s="7">
        <v>1032838</v>
      </c>
      <c r="E1103" s="7">
        <v>1.47</v>
      </c>
      <c r="F1103" s="7">
        <v>1032838</v>
      </c>
      <c r="G1103" s="7">
        <v>0</v>
      </c>
      <c r="H1103">
        <v>29</v>
      </c>
      <c r="I1103" t="s">
        <v>23</v>
      </c>
    </row>
    <row r="1104" spans="1:9" x14ac:dyDescent="0.35">
      <c r="A1104" t="s">
        <v>4432</v>
      </c>
      <c r="B1104" t="s">
        <v>4525</v>
      </c>
      <c r="C1104" s="7">
        <v>1.4</v>
      </c>
      <c r="D1104" s="7">
        <v>1480514</v>
      </c>
      <c r="E1104" s="7">
        <v>1.31</v>
      </c>
      <c r="F1104" s="7">
        <v>1480514</v>
      </c>
      <c r="G1104" s="7">
        <v>0</v>
      </c>
      <c r="H1104">
        <v>30</v>
      </c>
      <c r="I1104" t="s">
        <v>23</v>
      </c>
    </row>
    <row r="1105" spans="1:9" x14ac:dyDescent="0.35">
      <c r="A1105" t="s">
        <v>53</v>
      </c>
      <c r="B1105" t="s">
        <v>4525</v>
      </c>
      <c r="C1105" s="7">
        <v>1.39</v>
      </c>
      <c r="D1105" s="7">
        <v>12082508</v>
      </c>
      <c r="E1105" s="7">
        <v>1.07</v>
      </c>
      <c r="F1105" s="7">
        <v>9428983</v>
      </c>
      <c r="G1105" s="7">
        <v>2653525</v>
      </c>
      <c r="H1105">
        <v>31</v>
      </c>
      <c r="I1105" t="s">
        <v>22</v>
      </c>
    </row>
    <row r="1106" spans="1:9" x14ac:dyDescent="0.35">
      <c r="A1106" t="s">
        <v>6150</v>
      </c>
      <c r="B1106" t="s">
        <v>4525</v>
      </c>
      <c r="C1106" s="7">
        <v>1.3</v>
      </c>
      <c r="D1106" s="7">
        <v>1728391</v>
      </c>
      <c r="E1106" s="7">
        <v>1.43</v>
      </c>
      <c r="F1106" s="7">
        <v>1728391</v>
      </c>
      <c r="G1106" s="7">
        <v>0</v>
      </c>
      <c r="H1106">
        <v>32</v>
      </c>
      <c r="I1106" t="s">
        <v>23</v>
      </c>
    </row>
    <row r="1107" spans="1:9" x14ac:dyDescent="0.35">
      <c r="A1107" t="s">
        <v>6151</v>
      </c>
      <c r="B1107" t="s">
        <v>4525</v>
      </c>
      <c r="C1107" s="7">
        <v>1.29</v>
      </c>
      <c r="D1107" s="7">
        <v>117519</v>
      </c>
      <c r="E1107" s="7">
        <v>1.28</v>
      </c>
      <c r="F1107" s="7">
        <v>117519</v>
      </c>
      <c r="G1107" s="7">
        <v>0</v>
      </c>
      <c r="H1107">
        <v>33</v>
      </c>
      <c r="I1107" t="s">
        <v>23</v>
      </c>
    </row>
    <row r="1108" spans="1:9" x14ac:dyDescent="0.35">
      <c r="A1108" t="s">
        <v>6089</v>
      </c>
      <c r="B1108" t="s">
        <v>4525</v>
      </c>
      <c r="C1108" s="7">
        <v>1.27</v>
      </c>
      <c r="D1108" s="7">
        <v>2527778</v>
      </c>
      <c r="E1108" s="7">
        <v>1.32</v>
      </c>
      <c r="F1108" s="7">
        <v>2527778</v>
      </c>
      <c r="G1108" s="7">
        <v>0</v>
      </c>
      <c r="H1108">
        <v>34</v>
      </c>
      <c r="I1108" t="s">
        <v>23</v>
      </c>
    </row>
    <row r="1109" spans="1:9" x14ac:dyDescent="0.35">
      <c r="A1109" t="s">
        <v>4528</v>
      </c>
      <c r="B1109" t="s">
        <v>4525</v>
      </c>
      <c r="C1109" s="7">
        <v>1.25</v>
      </c>
      <c r="D1109" s="7">
        <v>850000</v>
      </c>
      <c r="E1109" s="7">
        <v>1.27</v>
      </c>
      <c r="F1109" s="7">
        <v>900000</v>
      </c>
      <c r="G1109" s="7">
        <v>-50000</v>
      </c>
      <c r="H1109">
        <v>35</v>
      </c>
      <c r="I1109" t="s">
        <v>25</v>
      </c>
    </row>
    <row r="1110" spans="1:9" x14ac:dyDescent="0.35">
      <c r="A1110" t="s">
        <v>6152</v>
      </c>
      <c r="B1110" t="s">
        <v>4525</v>
      </c>
      <c r="C1110" s="7">
        <v>1.22</v>
      </c>
      <c r="D1110" s="7">
        <v>400000</v>
      </c>
      <c r="E1110" s="7">
        <v>1.41</v>
      </c>
      <c r="F1110" s="7">
        <v>400000</v>
      </c>
      <c r="G1110" s="7">
        <v>0</v>
      </c>
      <c r="H1110">
        <v>36</v>
      </c>
      <c r="I1110" t="s">
        <v>23</v>
      </c>
    </row>
    <row r="1111" spans="1:9" x14ac:dyDescent="0.35">
      <c r="A1111" t="s">
        <v>5949</v>
      </c>
      <c r="B1111" t="s">
        <v>4525</v>
      </c>
      <c r="C1111" s="7">
        <v>0.98</v>
      </c>
      <c r="D1111" s="7">
        <v>700000</v>
      </c>
      <c r="E1111" s="7">
        <v>1.07</v>
      </c>
      <c r="F1111" s="7">
        <v>700000</v>
      </c>
      <c r="G1111" s="7">
        <v>0</v>
      </c>
      <c r="H1111">
        <v>37</v>
      </c>
      <c r="I1111" t="s">
        <v>23</v>
      </c>
    </row>
    <row r="1112" spans="1:9" x14ac:dyDescent="0.35">
      <c r="A1112" t="s">
        <v>5974</v>
      </c>
      <c r="B1112" t="s">
        <v>4525</v>
      </c>
      <c r="C1112" s="7">
        <v>0.95</v>
      </c>
      <c r="D1112" s="7">
        <v>806895</v>
      </c>
      <c r="E1112" s="7">
        <v>1.03</v>
      </c>
      <c r="F1112" s="7">
        <v>806895</v>
      </c>
      <c r="G1112" s="7">
        <v>0</v>
      </c>
      <c r="H1112">
        <v>38</v>
      </c>
      <c r="I1112" t="s">
        <v>23</v>
      </c>
    </row>
    <row r="1113" spans="1:9" x14ac:dyDescent="0.35">
      <c r="A1113" t="s">
        <v>6153</v>
      </c>
      <c r="B1113" t="s">
        <v>4525</v>
      </c>
      <c r="C1113" s="7">
        <v>0.9</v>
      </c>
      <c r="D1113" s="7">
        <v>650000</v>
      </c>
      <c r="E1113" s="7">
        <v>1.08</v>
      </c>
      <c r="F1113" s="7">
        <v>650000</v>
      </c>
      <c r="G1113" s="7">
        <v>0</v>
      </c>
      <c r="H1113">
        <v>39</v>
      </c>
      <c r="I1113" t="s">
        <v>23</v>
      </c>
    </row>
    <row r="1114" spans="1:9" x14ac:dyDescent="0.35">
      <c r="A1114" t="s">
        <v>6154</v>
      </c>
      <c r="B1114" t="s">
        <v>4525</v>
      </c>
      <c r="C1114" s="7">
        <v>0.86</v>
      </c>
      <c r="D1114" s="7">
        <v>400428</v>
      </c>
      <c r="E1114" s="7">
        <v>0.83</v>
      </c>
      <c r="F1114" s="7">
        <v>400428</v>
      </c>
      <c r="G1114" s="7">
        <v>0</v>
      </c>
      <c r="H1114">
        <v>40</v>
      </c>
      <c r="I1114" t="s">
        <v>23</v>
      </c>
    </row>
    <row r="1115" spans="1:9" x14ac:dyDescent="0.35">
      <c r="A1115" t="s">
        <v>4529</v>
      </c>
      <c r="B1115" t="s">
        <v>4525</v>
      </c>
      <c r="C1115" s="7">
        <v>0.77</v>
      </c>
      <c r="D1115" s="7">
        <v>879586</v>
      </c>
      <c r="E1115" s="7">
        <v>0.65</v>
      </c>
      <c r="F1115" s="7">
        <v>784586</v>
      </c>
      <c r="G1115" s="7">
        <v>95000</v>
      </c>
      <c r="H1115">
        <v>41</v>
      </c>
      <c r="I1115" t="s">
        <v>22</v>
      </c>
    </row>
    <row r="1116" spans="1:9" x14ac:dyDescent="0.35">
      <c r="A1116" t="s">
        <v>6155</v>
      </c>
      <c r="B1116" t="s">
        <v>4525</v>
      </c>
      <c r="C1116" s="7">
        <v>0.7</v>
      </c>
      <c r="D1116" s="7">
        <v>206034</v>
      </c>
      <c r="E1116" s="7">
        <v>0.7</v>
      </c>
      <c r="F1116" s="7">
        <v>206034</v>
      </c>
      <c r="G1116" s="7">
        <v>0</v>
      </c>
      <c r="H1116">
        <v>42</v>
      </c>
      <c r="I1116" t="s">
        <v>23</v>
      </c>
    </row>
    <row r="1117" spans="1:9" x14ac:dyDescent="0.35">
      <c r="A1117" t="s">
        <v>4482</v>
      </c>
      <c r="B1117" t="s">
        <v>4525</v>
      </c>
      <c r="C1117" s="7">
        <v>0.7</v>
      </c>
      <c r="D1117" s="7">
        <v>2856784</v>
      </c>
      <c r="E1117" s="7">
        <v>1.32</v>
      </c>
      <c r="F1117" s="7">
        <v>5170576</v>
      </c>
      <c r="G1117" s="7">
        <v>-2313792</v>
      </c>
      <c r="H1117">
        <v>43</v>
      </c>
      <c r="I1117" t="s">
        <v>25</v>
      </c>
    </row>
    <row r="1118" spans="1:9" x14ac:dyDescent="0.35">
      <c r="A1118" t="s">
        <v>4485</v>
      </c>
      <c r="B1118" t="s">
        <v>4525</v>
      </c>
      <c r="C1118" s="7">
        <v>0.61</v>
      </c>
      <c r="D1118" s="7">
        <v>5000000</v>
      </c>
      <c r="E1118" s="7">
        <v>0</v>
      </c>
      <c r="F1118" s="7">
        <v>0</v>
      </c>
      <c r="G1118" s="7">
        <v>5000000</v>
      </c>
      <c r="H1118">
        <v>44</v>
      </c>
      <c r="I1118" t="s">
        <v>32</v>
      </c>
    </row>
    <row r="1119" spans="1:9" x14ac:dyDescent="0.35">
      <c r="A1119" t="s">
        <v>6156</v>
      </c>
      <c r="B1119" t="s">
        <v>4525</v>
      </c>
      <c r="C1119" s="7">
        <v>0.6</v>
      </c>
      <c r="D1119" s="7">
        <v>100837</v>
      </c>
      <c r="E1119" s="7">
        <v>0.63</v>
      </c>
      <c r="F1119" s="7">
        <v>100837</v>
      </c>
      <c r="G1119" s="7">
        <v>0</v>
      </c>
      <c r="H1119">
        <v>45</v>
      </c>
      <c r="I1119" t="s">
        <v>23</v>
      </c>
    </row>
    <row r="1120" spans="1:9" x14ac:dyDescent="0.35">
      <c r="A1120" t="s">
        <v>6157</v>
      </c>
      <c r="B1120" t="s">
        <v>4525</v>
      </c>
      <c r="C1120" s="7">
        <v>0.55000000000000004</v>
      </c>
      <c r="D1120" s="7">
        <v>6785449</v>
      </c>
      <c r="E1120" s="7">
        <v>0.5</v>
      </c>
      <c r="F1120" s="7">
        <v>6785449</v>
      </c>
      <c r="G1120" s="7">
        <v>0</v>
      </c>
      <c r="H1120">
        <v>46</v>
      </c>
      <c r="I1120" t="s">
        <v>23</v>
      </c>
    </row>
    <row r="1121" spans="1:9" x14ac:dyDescent="0.35">
      <c r="A1121" t="s">
        <v>6046</v>
      </c>
      <c r="B1121" t="s">
        <v>4525</v>
      </c>
      <c r="C1121" s="7">
        <v>0.53</v>
      </c>
      <c r="D1121" s="7">
        <v>4735620</v>
      </c>
      <c r="E1121" s="7">
        <v>0.54</v>
      </c>
      <c r="F1121" s="7">
        <v>4735620</v>
      </c>
      <c r="G1121" s="7">
        <v>0</v>
      </c>
      <c r="H1121">
        <v>47</v>
      </c>
      <c r="I1121" t="s">
        <v>23</v>
      </c>
    </row>
    <row r="1122" spans="1:9" x14ac:dyDescent="0.35">
      <c r="A1122" t="s">
        <v>6158</v>
      </c>
      <c r="B1122" t="s">
        <v>4525</v>
      </c>
      <c r="C1122" s="7">
        <v>0.53</v>
      </c>
      <c r="D1122" s="7">
        <v>750551</v>
      </c>
      <c r="E1122" s="7">
        <v>0.47</v>
      </c>
      <c r="F1122" s="7">
        <v>750551</v>
      </c>
      <c r="G1122" s="7">
        <v>0</v>
      </c>
      <c r="H1122">
        <v>48</v>
      </c>
      <c r="I1122" t="s">
        <v>23</v>
      </c>
    </row>
    <row r="1123" spans="1:9" x14ac:dyDescent="0.35">
      <c r="A1123" t="s">
        <v>6159</v>
      </c>
      <c r="B1123" t="s">
        <v>4525</v>
      </c>
      <c r="C1123" s="7">
        <v>0.52</v>
      </c>
      <c r="D1123" s="7">
        <v>811786</v>
      </c>
      <c r="E1123" s="7">
        <v>0.43</v>
      </c>
      <c r="F1123" s="7">
        <v>811786</v>
      </c>
      <c r="G1123" s="7">
        <v>0</v>
      </c>
      <c r="H1123">
        <v>49</v>
      </c>
      <c r="I1123" t="s">
        <v>23</v>
      </c>
    </row>
    <row r="1124" spans="1:9" x14ac:dyDescent="0.35">
      <c r="A1124" t="s">
        <v>4430</v>
      </c>
      <c r="B1124" t="s">
        <v>4525</v>
      </c>
      <c r="C1124" s="7">
        <v>0.51</v>
      </c>
      <c r="D1124" s="7">
        <v>170898</v>
      </c>
      <c r="E1124" s="7">
        <v>0.53</v>
      </c>
      <c r="F1124" s="7">
        <v>170898</v>
      </c>
      <c r="G1124" s="7">
        <v>0</v>
      </c>
      <c r="H1124">
        <v>50</v>
      </c>
      <c r="I1124" t="s">
        <v>23</v>
      </c>
    </row>
    <row r="1125" spans="1:9" x14ac:dyDescent="0.35">
      <c r="A1125" t="s">
        <v>4530</v>
      </c>
      <c r="B1125" t="s">
        <v>4525</v>
      </c>
      <c r="C1125" s="7">
        <v>0.48</v>
      </c>
      <c r="D1125" s="7">
        <v>6000000</v>
      </c>
      <c r="E1125" s="7">
        <v>0.38</v>
      </c>
      <c r="F1125" s="7">
        <v>5000000</v>
      </c>
      <c r="G1125" s="7">
        <v>1000000</v>
      </c>
      <c r="H1125">
        <v>51</v>
      </c>
      <c r="I1125" t="s">
        <v>22</v>
      </c>
    </row>
    <row r="1126" spans="1:9" x14ac:dyDescent="0.35">
      <c r="A1126" t="s">
        <v>6160</v>
      </c>
      <c r="B1126" t="s">
        <v>4525</v>
      </c>
      <c r="C1126" s="7">
        <v>0.45</v>
      </c>
      <c r="D1126" s="7">
        <v>400000</v>
      </c>
      <c r="E1126" s="7">
        <v>0.46</v>
      </c>
      <c r="F1126" s="7">
        <v>400000</v>
      </c>
      <c r="G1126" s="7">
        <v>0</v>
      </c>
      <c r="H1126">
        <v>52</v>
      </c>
      <c r="I1126" t="s">
        <v>23</v>
      </c>
    </row>
    <row r="1127" spans="1:9" x14ac:dyDescent="0.35">
      <c r="A1127" t="s">
        <v>6161</v>
      </c>
      <c r="B1127" t="s">
        <v>4525</v>
      </c>
      <c r="C1127" s="7">
        <v>0.42</v>
      </c>
      <c r="D1127" s="7">
        <v>3967687</v>
      </c>
      <c r="E1127" s="7">
        <v>0.46</v>
      </c>
      <c r="F1127" s="7">
        <v>3967687</v>
      </c>
      <c r="G1127" s="7">
        <v>0</v>
      </c>
      <c r="H1127">
        <v>53</v>
      </c>
      <c r="I1127" t="s">
        <v>23</v>
      </c>
    </row>
    <row r="1128" spans="1:9" x14ac:dyDescent="0.35">
      <c r="A1128" t="s">
        <v>42</v>
      </c>
      <c r="B1128" t="s">
        <v>4525</v>
      </c>
      <c r="C1128" s="7">
        <v>0.39</v>
      </c>
      <c r="D1128" s="7">
        <v>100000</v>
      </c>
      <c r="E1128" s="7">
        <v>0.6</v>
      </c>
      <c r="F1128" s="7">
        <v>150000</v>
      </c>
      <c r="G1128" s="7">
        <v>-50000</v>
      </c>
      <c r="H1128">
        <v>54</v>
      </c>
      <c r="I1128" t="s">
        <v>25</v>
      </c>
    </row>
    <row r="1129" spans="1:9" x14ac:dyDescent="0.35">
      <c r="A1129" t="s">
        <v>6162</v>
      </c>
      <c r="B1129" t="s">
        <v>4525</v>
      </c>
      <c r="C1129" s="7">
        <v>0.28999999999999998</v>
      </c>
      <c r="D1129" s="7">
        <v>933664</v>
      </c>
      <c r="E1129" s="7">
        <v>0.28999999999999998</v>
      </c>
      <c r="F1129" s="7">
        <v>933664</v>
      </c>
      <c r="G1129" s="7">
        <v>0</v>
      </c>
      <c r="H1129">
        <v>55</v>
      </c>
      <c r="I1129" t="s">
        <v>23</v>
      </c>
    </row>
    <row r="1130" spans="1:9" x14ac:dyDescent="0.35">
      <c r="A1130" t="s">
        <v>41</v>
      </c>
      <c r="B1130" t="s">
        <v>4525</v>
      </c>
      <c r="C1130" s="7">
        <v>0.27</v>
      </c>
      <c r="D1130" s="7">
        <v>68032</v>
      </c>
      <c r="E1130" s="7">
        <v>0.31</v>
      </c>
      <c r="F1130" s="7">
        <v>68032</v>
      </c>
      <c r="G1130" s="7">
        <v>0</v>
      </c>
      <c r="H1130">
        <v>56</v>
      </c>
      <c r="I1130" t="s">
        <v>23</v>
      </c>
    </row>
    <row r="1131" spans="1:9" x14ac:dyDescent="0.35">
      <c r="A1131" t="s">
        <v>6163</v>
      </c>
      <c r="B1131" t="s">
        <v>4525</v>
      </c>
      <c r="C1131" s="7">
        <v>0.26</v>
      </c>
      <c r="D1131" s="7">
        <v>156075</v>
      </c>
      <c r="E1131" s="7">
        <v>0.3</v>
      </c>
      <c r="F1131" s="7">
        <v>156075</v>
      </c>
      <c r="G1131" s="7">
        <v>0</v>
      </c>
      <c r="H1131">
        <v>57</v>
      </c>
      <c r="I1131" t="s">
        <v>23</v>
      </c>
    </row>
    <row r="1132" spans="1:9" x14ac:dyDescent="0.35">
      <c r="A1132" t="s">
        <v>6164</v>
      </c>
      <c r="B1132" t="s">
        <v>4525</v>
      </c>
      <c r="C1132" s="7">
        <v>0.25</v>
      </c>
      <c r="D1132" s="7">
        <v>65048</v>
      </c>
      <c r="E1132" s="7">
        <v>0.26</v>
      </c>
      <c r="F1132" s="7">
        <v>65048</v>
      </c>
      <c r="G1132" s="7">
        <v>0</v>
      </c>
      <c r="H1132">
        <v>58</v>
      </c>
      <c r="I1132" t="s">
        <v>23</v>
      </c>
    </row>
    <row r="1133" spans="1:9" x14ac:dyDescent="0.35">
      <c r="A1133" t="s">
        <v>6165</v>
      </c>
      <c r="B1133" t="s">
        <v>4525</v>
      </c>
      <c r="C1133" s="7">
        <v>0.18</v>
      </c>
      <c r="D1133" s="7">
        <v>714215</v>
      </c>
      <c r="E1133" s="7">
        <v>0.2</v>
      </c>
      <c r="F1133" s="7">
        <v>714215</v>
      </c>
      <c r="G1133" s="7">
        <v>0</v>
      </c>
      <c r="H1133">
        <v>59</v>
      </c>
      <c r="I1133" t="s">
        <v>23</v>
      </c>
    </row>
    <row r="1134" spans="1:9" x14ac:dyDescent="0.35">
      <c r="A1134" t="s">
        <v>4531</v>
      </c>
      <c r="B1134" t="s">
        <v>4525</v>
      </c>
      <c r="C1134" s="7">
        <v>0.15</v>
      </c>
      <c r="D1134" s="7">
        <v>700000</v>
      </c>
      <c r="E1134" s="7">
        <v>0.18</v>
      </c>
      <c r="F1134" s="7">
        <v>1075761</v>
      </c>
      <c r="G1134" s="7">
        <v>-375761</v>
      </c>
      <c r="H1134">
        <v>60</v>
      </c>
      <c r="I1134" t="s">
        <v>25</v>
      </c>
    </row>
    <row r="1135" spans="1:9" x14ac:dyDescent="0.35">
      <c r="A1135" t="s">
        <v>6166</v>
      </c>
      <c r="B1135" t="s">
        <v>4525</v>
      </c>
      <c r="C1135" s="7">
        <v>0.12</v>
      </c>
      <c r="D1135" s="7">
        <v>90600</v>
      </c>
      <c r="E1135" s="7">
        <v>0.12</v>
      </c>
      <c r="F1135" s="7">
        <v>90600</v>
      </c>
      <c r="G1135" s="7">
        <v>0</v>
      </c>
      <c r="H1135">
        <v>61</v>
      </c>
      <c r="I1135" t="s">
        <v>23</v>
      </c>
    </row>
    <row r="1136" spans="1:9" x14ac:dyDescent="0.35">
      <c r="A1136" t="s">
        <v>6167</v>
      </c>
      <c r="B1136" t="s">
        <v>4525</v>
      </c>
      <c r="C1136" s="7">
        <v>0</v>
      </c>
      <c r="D1136" s="7">
        <v>2562406</v>
      </c>
      <c r="E1136" s="7">
        <v>0</v>
      </c>
      <c r="F1136" s="7">
        <v>2562406</v>
      </c>
      <c r="G1136" s="7">
        <v>0</v>
      </c>
      <c r="H1136">
        <v>62</v>
      </c>
      <c r="I1136" t="s">
        <v>23</v>
      </c>
    </row>
    <row r="1137" spans="1:9" x14ac:dyDescent="0.35">
      <c r="A1137" t="s">
        <v>4532</v>
      </c>
      <c r="B1137" t="s">
        <v>4525</v>
      </c>
      <c r="C1137" s="7">
        <v>0</v>
      </c>
      <c r="D1137" s="7">
        <v>0</v>
      </c>
      <c r="E1137" s="7">
        <v>0</v>
      </c>
      <c r="F1137" s="7">
        <v>0</v>
      </c>
      <c r="G1137" s="7">
        <v>0</v>
      </c>
      <c r="H1137">
        <v>63</v>
      </c>
      <c r="I1137" t="s">
        <v>36</v>
      </c>
    </row>
  </sheetData>
  <autoFilter ref="A4:I1137" xr:uid="{2274038D-9B95-4154-A2F3-C366F0FB644E}"/>
  <conditionalFormatting sqref="H5:H500">
    <cfRule type="containsText" dxfId="34" priority="2" operator="containsText" text="NEW">
      <formula>NOT(ISERROR(SEARCH("NEW",H5)))</formula>
    </cfRule>
    <cfRule type="containsText" dxfId="33" priority="3" operator="containsText" text="REMOVED">
      <formula>NOT(ISERROR(SEARCH("REMOVED",H5)))</formula>
    </cfRule>
    <cfRule type="containsText" dxfId="32" priority="4" operator="containsText" text="ADDED">
      <formula>NOT(ISERROR(SEARCH("ADDED",H5)))</formula>
    </cfRule>
  </conditionalFormatting>
  <conditionalFormatting sqref="A5:A500">
    <cfRule type="expression" dxfId="31" priority="1">
      <formula>$H5="ADDED"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3D94E-A433-49CF-8D0C-CD23EA88AD99}">
  <sheetPr codeName="Sheet3"/>
  <dimension ref="A1:C18"/>
  <sheetViews>
    <sheetView showGridLines="0" workbookViewId="0">
      <selection activeCell="A20" sqref="A20"/>
    </sheetView>
  </sheetViews>
  <sheetFormatPr defaultRowHeight="14.5" x14ac:dyDescent="0.35"/>
  <cols>
    <col min="1" max="1" width="47.7265625" style="2" customWidth="1"/>
    <col min="2" max="2" width="23.54296875" style="2" customWidth="1"/>
    <col min="3" max="7" width="20" customWidth="1"/>
  </cols>
  <sheetData>
    <row r="1" spans="1:3" ht="20.5" customHeight="1" x14ac:dyDescent="0.35">
      <c r="A1" s="5"/>
      <c r="B1"/>
    </row>
    <row r="2" spans="1:3" ht="33.5" customHeight="1" thickBot="1" x14ac:dyDescent="0.4">
      <c r="A2" s="5"/>
      <c r="B2" s="6"/>
    </row>
    <row r="3" spans="1:3" ht="19" thickBot="1" x14ac:dyDescent="0.5">
      <c r="A3" s="3" t="s">
        <v>4371</v>
      </c>
      <c r="B3" s="28" t="s">
        <v>4372</v>
      </c>
      <c r="C3" s="29"/>
    </row>
    <row r="4" spans="1:3" x14ac:dyDescent="0.35">
      <c r="A4" s="4" t="s">
        <v>17</v>
      </c>
      <c r="B4" s="4" t="s">
        <v>4361</v>
      </c>
    </row>
    <row r="5" spans="1:3" x14ac:dyDescent="0.35">
      <c r="A5" s="4" t="s">
        <v>4368</v>
      </c>
      <c r="B5" s="4" t="s">
        <v>4361</v>
      </c>
    </row>
    <row r="6" spans="1:3" x14ac:dyDescent="0.35">
      <c r="A6" s="4" t="s">
        <v>4369</v>
      </c>
      <c r="B6" s="4" t="s">
        <v>4361</v>
      </c>
    </row>
    <row r="7" spans="1:3" x14ac:dyDescent="0.35">
      <c r="A7" s="4" t="s">
        <v>18</v>
      </c>
      <c r="B7" s="4" t="s">
        <v>4361</v>
      </c>
    </row>
    <row r="8" spans="1:3" x14ac:dyDescent="0.35">
      <c r="A8" s="4" t="s">
        <v>4370</v>
      </c>
      <c r="B8" s="4" t="s">
        <v>4361</v>
      </c>
    </row>
    <row r="9" spans="1:3" x14ac:dyDescent="0.35">
      <c r="A9" s="4" t="s">
        <v>20</v>
      </c>
      <c r="B9" s="4" t="s">
        <v>4362</v>
      </c>
    </row>
    <row r="10" spans="1:3" x14ac:dyDescent="0.35">
      <c r="A10" s="4" t="s">
        <v>19</v>
      </c>
      <c r="B10" s="4" t="s">
        <v>4362</v>
      </c>
    </row>
    <row r="11" spans="1:3" x14ac:dyDescent="0.35">
      <c r="A11" s="4" t="s">
        <v>4373</v>
      </c>
      <c r="B11" s="4" t="s">
        <v>4362</v>
      </c>
    </row>
    <row r="12" spans="1:3" x14ac:dyDescent="0.35">
      <c r="A12" s="4" t="s">
        <v>4374</v>
      </c>
      <c r="B12" s="4" t="s">
        <v>4362</v>
      </c>
    </row>
    <row r="13" spans="1:3" x14ac:dyDescent="0.35">
      <c r="A13" s="4" t="s">
        <v>4375</v>
      </c>
      <c r="B13" s="4" t="s">
        <v>4362</v>
      </c>
    </row>
    <row r="14" spans="1:3" x14ac:dyDescent="0.35">
      <c r="A14" s="4" t="s">
        <v>4376</v>
      </c>
      <c r="B14" s="4" t="s">
        <v>4363</v>
      </c>
    </row>
    <row r="15" spans="1:3" x14ac:dyDescent="0.35">
      <c r="A15" s="4" t="s">
        <v>4377</v>
      </c>
      <c r="B15" s="4" t="s">
        <v>4363</v>
      </c>
    </row>
    <row r="16" spans="1:3" x14ac:dyDescent="0.35">
      <c r="A16" s="4" t="s">
        <v>4378</v>
      </c>
      <c r="B16" s="4" t="s">
        <v>4363</v>
      </c>
    </row>
    <row r="17" spans="1:2" x14ac:dyDescent="0.35">
      <c r="A17" s="4" t="s">
        <v>4379</v>
      </c>
      <c r="B17" s="4" t="s">
        <v>4363</v>
      </c>
    </row>
    <row r="18" spans="1:2" x14ac:dyDescent="0.35">
      <c r="A18" s="4" t="s">
        <v>4380</v>
      </c>
      <c r="B18" s="4" t="s">
        <v>4363</v>
      </c>
    </row>
  </sheetData>
  <autoFilter ref="A3:B3" xr:uid="{0523D94E-A433-49CF-8D0C-CD23EA88AD99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E1B47-4653-47D8-9CFD-6B9326EAD16F}">
  <sheetPr codeName="Sheet6"/>
  <dimension ref="A1:H2143"/>
  <sheetViews>
    <sheetView showGridLines="0" topLeftCell="A82" workbookViewId="0">
      <selection activeCell="D10" sqref="D10"/>
    </sheetView>
  </sheetViews>
  <sheetFormatPr defaultRowHeight="14.5" x14ac:dyDescent="0.35"/>
  <cols>
    <col min="1" max="1" width="50.1796875" bestFit="1" customWidth="1"/>
    <col min="2" max="2" width="12.81640625" style="87" bestFit="1" customWidth="1"/>
    <col min="3" max="3" width="32.453125" style="67" customWidth="1"/>
    <col min="4" max="4" width="25.453125" style="95" customWidth="1"/>
    <col min="5" max="5" width="21.81640625" customWidth="1"/>
    <col min="6" max="6" width="15.81640625" customWidth="1"/>
    <col min="7" max="7" width="28.36328125" customWidth="1"/>
    <col min="8" max="8" width="12.26953125" customWidth="1"/>
    <col min="9" max="9" width="41.453125" customWidth="1"/>
    <col min="10" max="10" width="10.7265625" customWidth="1"/>
  </cols>
  <sheetData>
    <row r="1" spans="1:8" x14ac:dyDescent="0.35">
      <c r="C1"/>
      <c r="D1" s="87"/>
      <c r="E1" s="93" t="s">
        <v>181</v>
      </c>
      <c r="F1" s="23" t="s">
        <v>182</v>
      </c>
    </row>
    <row r="2" spans="1:8" ht="15" thickBot="1" x14ac:dyDescent="0.4">
      <c r="C2"/>
      <c r="D2" s="87"/>
      <c r="E2" s="94" t="s">
        <v>183</v>
      </c>
      <c r="F2" s="24"/>
    </row>
    <row r="3" spans="1:8" ht="53.5" customHeight="1" x14ac:dyDescent="0.35">
      <c r="C3" s="21"/>
      <c r="D3" s="87"/>
    </row>
    <row r="4" spans="1:8" ht="15" thickBot="1" x14ac:dyDescent="0.4">
      <c r="A4" s="79" t="s">
        <v>5906</v>
      </c>
      <c r="B4" s="88" t="s">
        <v>23</v>
      </c>
      <c r="C4"/>
      <c r="D4" s="87"/>
    </row>
    <row r="5" spans="1:8" ht="21.5" thickBot="1" x14ac:dyDescent="0.55000000000000004">
      <c r="C5" s="99" t="s">
        <v>4367</v>
      </c>
      <c r="D5" s="100"/>
      <c r="F5" s="101" t="s">
        <v>4358</v>
      </c>
      <c r="G5" s="102"/>
      <c r="H5" s="102"/>
    </row>
    <row r="6" spans="1:8" ht="16" thickBot="1" x14ac:dyDescent="0.4">
      <c r="A6" s="83" t="s">
        <v>184</v>
      </c>
      <c r="B6" s="89" t="s">
        <v>6175</v>
      </c>
      <c r="C6" s="84" t="s">
        <v>184</v>
      </c>
      <c r="D6" s="27" t="s">
        <v>4359</v>
      </c>
      <c r="F6" s="25" t="s">
        <v>4359</v>
      </c>
      <c r="G6" s="25" t="s">
        <v>184</v>
      </c>
      <c r="H6" s="26" t="s">
        <v>4360</v>
      </c>
    </row>
    <row r="7" spans="1:8" x14ac:dyDescent="0.35">
      <c r="A7" s="75" t="s">
        <v>509</v>
      </c>
      <c r="B7" s="90">
        <v>44</v>
      </c>
      <c r="C7" s="85" t="s">
        <v>509</v>
      </c>
      <c r="D7" s="95" t="str">
        <f>IFERROR(INDEX($F$6:$G$1048576,MATCH($C7,$G$6:$G$1048576,0),MATCH($D$6,$F$6:$G$6,0)),"")</f>
        <v>3MINDIA</v>
      </c>
      <c r="F7" s="2" t="s">
        <v>185</v>
      </c>
      <c r="G7" s="2" t="s">
        <v>60</v>
      </c>
      <c r="H7" s="2" t="s">
        <v>4361</v>
      </c>
    </row>
    <row r="8" spans="1:8" x14ac:dyDescent="0.35">
      <c r="A8" s="80" t="s">
        <v>1408</v>
      </c>
      <c r="B8" s="91">
        <v>85</v>
      </c>
      <c r="C8" s="85" t="s">
        <v>1408</v>
      </c>
      <c r="D8" s="95" t="str">
        <f t="shared" ref="D8:D71" si="0">IFERROR(INDEX($F$6:$G$1048576,MATCH($C8,$G$6:$G$1048576,0),MATCH($D$6,$F$6:$G$6,0)),"")</f>
        <v>AARTIPHARM</v>
      </c>
      <c r="F8" s="2" t="s">
        <v>186</v>
      </c>
      <c r="G8" s="2" t="s">
        <v>187</v>
      </c>
      <c r="H8" s="2" t="s">
        <v>4361</v>
      </c>
    </row>
    <row r="9" spans="1:8" x14ac:dyDescent="0.35">
      <c r="A9" s="80" t="s">
        <v>93</v>
      </c>
      <c r="B9" s="91">
        <v>47</v>
      </c>
      <c r="C9" s="85" t="s">
        <v>93</v>
      </c>
      <c r="D9" s="95" t="str">
        <f t="shared" si="0"/>
        <v>AAVAS</v>
      </c>
      <c r="F9" s="2" t="s">
        <v>188</v>
      </c>
      <c r="G9" s="2" t="s">
        <v>61</v>
      </c>
      <c r="H9" s="2" t="s">
        <v>4361</v>
      </c>
    </row>
    <row r="10" spans="1:8" x14ac:dyDescent="0.35">
      <c r="A10" s="80" t="s">
        <v>6060</v>
      </c>
      <c r="B10" s="91">
        <v>51</v>
      </c>
      <c r="C10" s="85" t="s">
        <v>93</v>
      </c>
      <c r="D10" s="95" t="str">
        <f t="shared" si="0"/>
        <v>AAVAS</v>
      </c>
      <c r="F10" s="2" t="s">
        <v>189</v>
      </c>
      <c r="G10" s="2" t="s">
        <v>190</v>
      </c>
      <c r="H10" s="2" t="s">
        <v>4361</v>
      </c>
    </row>
    <row r="11" spans="1:8" x14ac:dyDescent="0.35">
      <c r="A11" s="80" t="s">
        <v>6117</v>
      </c>
      <c r="B11" s="91">
        <v>62</v>
      </c>
      <c r="C11" s="85" t="s">
        <v>93</v>
      </c>
      <c r="D11" s="95" t="str">
        <f t="shared" si="0"/>
        <v>AAVAS</v>
      </c>
      <c r="F11" s="2" t="s">
        <v>191</v>
      </c>
      <c r="G11" s="2" t="s">
        <v>192</v>
      </c>
      <c r="H11" s="2" t="s">
        <v>4361</v>
      </c>
    </row>
    <row r="12" spans="1:8" x14ac:dyDescent="0.35">
      <c r="A12" s="80" t="s">
        <v>305</v>
      </c>
      <c r="B12" s="91">
        <v>28</v>
      </c>
      <c r="C12" s="85" t="s">
        <v>305</v>
      </c>
      <c r="D12" s="95" t="str">
        <f t="shared" si="0"/>
        <v>ABB</v>
      </c>
      <c r="F12" s="2" t="s">
        <v>193</v>
      </c>
      <c r="G12" s="2" t="s">
        <v>115</v>
      </c>
      <c r="H12" s="2" t="s">
        <v>4361</v>
      </c>
    </row>
    <row r="13" spans="1:8" x14ac:dyDescent="0.35">
      <c r="A13" s="80" t="s">
        <v>5940</v>
      </c>
      <c r="B13" s="91">
        <v>33</v>
      </c>
      <c r="C13" s="85" t="s">
        <v>6176</v>
      </c>
      <c r="D13" s="95" t="s">
        <v>6228</v>
      </c>
      <c r="F13" s="2" t="s">
        <v>194</v>
      </c>
      <c r="G13" s="2" t="s">
        <v>195</v>
      </c>
      <c r="H13" s="2" t="s">
        <v>4361</v>
      </c>
    </row>
    <row r="14" spans="1:8" x14ac:dyDescent="0.35">
      <c r="A14" s="80" t="s">
        <v>6085</v>
      </c>
      <c r="B14" s="91">
        <v>7</v>
      </c>
      <c r="C14" s="85" t="s">
        <v>6176</v>
      </c>
      <c r="D14" s="95" t="s">
        <v>6228</v>
      </c>
      <c r="F14" s="2" t="s">
        <v>196</v>
      </c>
      <c r="G14" s="2" t="s">
        <v>100</v>
      </c>
      <c r="H14" s="2" t="s">
        <v>4361</v>
      </c>
    </row>
    <row r="15" spans="1:8" x14ac:dyDescent="0.35">
      <c r="A15" s="80" t="s">
        <v>733</v>
      </c>
      <c r="B15" s="91">
        <v>63</v>
      </c>
      <c r="C15" s="85" t="s">
        <v>733</v>
      </c>
      <c r="D15" s="95" t="str">
        <f t="shared" si="0"/>
        <v>AETHER</v>
      </c>
      <c r="F15" s="2" t="s">
        <v>197</v>
      </c>
      <c r="G15" s="2" t="s">
        <v>27</v>
      </c>
      <c r="H15" s="2" t="s">
        <v>4361</v>
      </c>
    </row>
    <row r="16" spans="1:8" x14ac:dyDescent="0.35">
      <c r="A16" s="80" t="s">
        <v>6144</v>
      </c>
      <c r="B16" s="91">
        <v>12</v>
      </c>
      <c r="C16" s="85" t="s">
        <v>733</v>
      </c>
      <c r="D16" s="95" t="str">
        <f t="shared" si="0"/>
        <v>AETHER</v>
      </c>
      <c r="F16" s="2" t="s">
        <v>198</v>
      </c>
      <c r="G16" s="2" t="s">
        <v>103</v>
      </c>
      <c r="H16" s="2" t="s">
        <v>4361</v>
      </c>
    </row>
    <row r="17" spans="1:8" x14ac:dyDescent="0.35">
      <c r="A17" s="80" t="s">
        <v>704</v>
      </c>
      <c r="B17" s="91">
        <v>78</v>
      </c>
      <c r="C17" s="85" t="s">
        <v>704</v>
      </c>
      <c r="D17" s="95" t="str">
        <f t="shared" si="0"/>
        <v>AFFLE</v>
      </c>
      <c r="F17" s="2" t="s">
        <v>199</v>
      </c>
      <c r="G17" s="2" t="s">
        <v>200</v>
      </c>
      <c r="H17" s="2" t="s">
        <v>4361</v>
      </c>
    </row>
    <row r="18" spans="1:8" x14ac:dyDescent="0.35">
      <c r="A18" s="80" t="s">
        <v>172</v>
      </c>
      <c r="B18" s="91">
        <v>75</v>
      </c>
      <c r="C18" s="85" t="s">
        <v>172</v>
      </c>
      <c r="D18" s="95" t="str">
        <f t="shared" si="0"/>
        <v>AGSTRA</v>
      </c>
      <c r="F18" s="2" t="s">
        <v>201</v>
      </c>
      <c r="G18" s="2" t="s">
        <v>202</v>
      </c>
      <c r="H18" s="2" t="s">
        <v>4361</v>
      </c>
    </row>
    <row r="19" spans="1:8" x14ac:dyDescent="0.35">
      <c r="A19" s="80" t="s">
        <v>1191</v>
      </c>
      <c r="B19" s="91">
        <v>13</v>
      </c>
      <c r="C19" s="85" t="s">
        <v>1191</v>
      </c>
      <c r="D19" s="95" t="str">
        <f t="shared" si="0"/>
        <v>AHLUCONT</v>
      </c>
      <c r="F19" s="2" t="s">
        <v>203</v>
      </c>
      <c r="G19" s="2" t="s">
        <v>136</v>
      </c>
      <c r="H19" s="2" t="s">
        <v>4361</v>
      </c>
    </row>
    <row r="20" spans="1:8" x14ac:dyDescent="0.35">
      <c r="A20" s="80" t="s">
        <v>647</v>
      </c>
      <c r="B20" s="91">
        <v>82</v>
      </c>
      <c r="C20" s="85" t="s">
        <v>647</v>
      </c>
      <c r="D20" s="95" t="str">
        <f t="shared" si="0"/>
        <v>AJANTPHARM</v>
      </c>
      <c r="F20" s="2" t="s">
        <v>204</v>
      </c>
      <c r="G20" s="2" t="s">
        <v>98</v>
      </c>
      <c r="H20" s="2" t="s">
        <v>4361</v>
      </c>
    </row>
    <row r="21" spans="1:8" x14ac:dyDescent="0.35">
      <c r="A21" s="80" t="s">
        <v>794</v>
      </c>
      <c r="B21" s="91">
        <v>82</v>
      </c>
      <c r="C21" s="85" t="s">
        <v>794</v>
      </c>
      <c r="D21" s="95" t="str">
        <f t="shared" si="0"/>
        <v>APLLTD</v>
      </c>
      <c r="F21" s="2" t="s">
        <v>205</v>
      </c>
      <c r="G21" s="2" t="s">
        <v>206</v>
      </c>
      <c r="H21" s="2" t="s">
        <v>4361</v>
      </c>
    </row>
    <row r="22" spans="1:8" x14ac:dyDescent="0.35">
      <c r="A22" s="80" t="s">
        <v>1936</v>
      </c>
      <c r="B22" s="91">
        <v>47</v>
      </c>
      <c r="C22" s="85" t="s">
        <v>1936</v>
      </c>
      <c r="D22" s="95" t="str">
        <f t="shared" si="0"/>
        <v>ALICON</v>
      </c>
      <c r="F22" s="2" t="s">
        <v>207</v>
      </c>
      <c r="G22" s="2" t="s">
        <v>208</v>
      </c>
      <c r="H22" s="2" t="s">
        <v>4361</v>
      </c>
    </row>
    <row r="23" spans="1:8" x14ac:dyDescent="0.35">
      <c r="A23" s="80" t="s">
        <v>6036</v>
      </c>
      <c r="B23" s="91">
        <v>47</v>
      </c>
      <c r="C23" s="85" t="s">
        <v>971</v>
      </c>
      <c r="D23" s="95" t="str">
        <f t="shared" si="0"/>
        <v>AMBER</v>
      </c>
      <c r="F23" s="2" t="s">
        <v>209</v>
      </c>
      <c r="G23" s="2" t="s">
        <v>210</v>
      </c>
      <c r="H23" s="2" t="s">
        <v>4361</v>
      </c>
    </row>
    <row r="24" spans="1:8" x14ac:dyDescent="0.35">
      <c r="A24" s="80" t="s">
        <v>301</v>
      </c>
      <c r="B24" s="91">
        <v>91</v>
      </c>
      <c r="C24" s="85" t="s">
        <v>301</v>
      </c>
      <c r="D24" s="95" t="str">
        <f t="shared" si="0"/>
        <v>AMBUJACEM</v>
      </c>
      <c r="F24" s="2" t="s">
        <v>211</v>
      </c>
      <c r="G24" s="2" t="s">
        <v>212</v>
      </c>
      <c r="H24" s="2" t="s">
        <v>4361</v>
      </c>
    </row>
    <row r="25" spans="1:8" x14ac:dyDescent="0.35">
      <c r="A25" s="80" t="s">
        <v>5979</v>
      </c>
      <c r="B25" s="91">
        <v>68</v>
      </c>
      <c r="C25" s="85" t="s">
        <v>301</v>
      </c>
      <c r="D25" s="95" t="str">
        <f t="shared" si="0"/>
        <v>AMBUJACEM</v>
      </c>
      <c r="F25" s="2" t="s">
        <v>213</v>
      </c>
      <c r="G25" s="2" t="s">
        <v>95</v>
      </c>
      <c r="H25" s="2" t="s">
        <v>4361</v>
      </c>
    </row>
    <row r="26" spans="1:8" x14ac:dyDescent="0.35">
      <c r="A26" s="80" t="s">
        <v>6068</v>
      </c>
      <c r="B26" s="91">
        <v>76</v>
      </c>
      <c r="C26" s="85" t="s">
        <v>145</v>
      </c>
      <c r="D26" s="95" t="str">
        <f t="shared" si="0"/>
        <v>ANANDRATHI</v>
      </c>
      <c r="F26" s="2" t="s">
        <v>214</v>
      </c>
      <c r="G26" s="2" t="s">
        <v>215</v>
      </c>
      <c r="H26" s="2" t="s">
        <v>4361</v>
      </c>
    </row>
    <row r="27" spans="1:8" x14ac:dyDescent="0.35">
      <c r="A27" s="80" t="s">
        <v>800</v>
      </c>
      <c r="B27" s="91">
        <v>152</v>
      </c>
      <c r="C27" s="85" t="s">
        <v>800</v>
      </c>
      <c r="D27" s="95" t="str">
        <f t="shared" si="0"/>
        <v>ANGELONE</v>
      </c>
      <c r="F27" s="2" t="s">
        <v>216</v>
      </c>
      <c r="G27" s="2" t="s">
        <v>217</v>
      </c>
      <c r="H27" s="2" t="s">
        <v>4361</v>
      </c>
    </row>
    <row r="28" spans="1:8" x14ac:dyDescent="0.35">
      <c r="A28" s="80" t="s">
        <v>806</v>
      </c>
      <c r="B28" s="91">
        <v>6</v>
      </c>
      <c r="C28" s="85" t="s">
        <v>806</v>
      </c>
      <c r="D28" s="95" t="str">
        <f t="shared" si="0"/>
        <v>APARINDS</v>
      </c>
      <c r="F28" s="2" t="s">
        <v>218</v>
      </c>
      <c r="G28" s="2" t="s">
        <v>73</v>
      </c>
      <c r="H28" s="2" t="s">
        <v>4361</v>
      </c>
    </row>
    <row r="29" spans="1:8" x14ac:dyDescent="0.35">
      <c r="A29" s="80" t="s">
        <v>4470</v>
      </c>
      <c r="B29" s="91">
        <v>33</v>
      </c>
      <c r="C29" s="85" t="s">
        <v>453</v>
      </c>
      <c r="D29" s="95" t="str">
        <f t="shared" si="0"/>
        <v>APLAPOLLO</v>
      </c>
      <c r="F29" s="2" t="s">
        <v>219</v>
      </c>
      <c r="G29" s="2" t="s">
        <v>220</v>
      </c>
      <c r="H29" s="2" t="s">
        <v>4361</v>
      </c>
    </row>
    <row r="30" spans="1:8" x14ac:dyDescent="0.35">
      <c r="A30" s="80" t="s">
        <v>6035</v>
      </c>
      <c r="B30" s="91">
        <v>46</v>
      </c>
      <c r="C30" s="85" t="s">
        <v>323</v>
      </c>
      <c r="D30" s="95" t="str">
        <f t="shared" si="0"/>
        <v>APOLLOHOSP</v>
      </c>
      <c r="F30" s="2" t="s">
        <v>221</v>
      </c>
      <c r="G30" s="2" t="s">
        <v>222</v>
      </c>
      <c r="H30" s="2" t="s">
        <v>4361</v>
      </c>
    </row>
    <row r="31" spans="1:8" x14ac:dyDescent="0.35">
      <c r="A31" s="80" t="s">
        <v>153</v>
      </c>
      <c r="B31" s="91">
        <v>44</v>
      </c>
      <c r="C31" s="85" t="s">
        <v>153</v>
      </c>
      <c r="D31" s="95" t="str">
        <f t="shared" si="0"/>
        <v>APOLLO</v>
      </c>
      <c r="F31" s="2" t="s">
        <v>223</v>
      </c>
      <c r="G31" s="2" t="s">
        <v>224</v>
      </c>
      <c r="H31" s="2" t="s">
        <v>4361</v>
      </c>
    </row>
    <row r="32" spans="1:8" x14ac:dyDescent="0.35">
      <c r="A32" s="80" t="s">
        <v>6059</v>
      </c>
      <c r="B32" s="91">
        <v>45</v>
      </c>
      <c r="C32" s="85" t="s">
        <v>1490</v>
      </c>
      <c r="D32" s="95" t="str">
        <f t="shared" si="0"/>
        <v>APOLLOPIPE</v>
      </c>
      <c r="F32" s="2" t="s">
        <v>225</v>
      </c>
      <c r="G32" s="2" t="s">
        <v>226</v>
      </c>
      <c r="H32" s="2" t="s">
        <v>4361</v>
      </c>
    </row>
    <row r="33" spans="1:8" x14ac:dyDescent="0.35">
      <c r="A33" s="80" t="s">
        <v>108</v>
      </c>
      <c r="B33" s="91">
        <v>146</v>
      </c>
      <c r="C33" s="85" t="s">
        <v>108</v>
      </c>
      <c r="D33" s="95" t="str">
        <f t="shared" si="0"/>
        <v>ACI</v>
      </c>
      <c r="F33" s="2" t="s">
        <v>227</v>
      </c>
      <c r="G33" s="2" t="s">
        <v>112</v>
      </c>
      <c r="H33" s="2" t="s">
        <v>4361</v>
      </c>
    </row>
    <row r="34" spans="1:8" x14ac:dyDescent="0.35">
      <c r="A34" s="80" t="s">
        <v>6008</v>
      </c>
      <c r="B34" s="91">
        <v>67</v>
      </c>
      <c r="C34" s="85" t="s">
        <v>6192</v>
      </c>
      <c r="D34" s="95" t="s">
        <v>874</v>
      </c>
      <c r="F34" s="2" t="s">
        <v>228</v>
      </c>
      <c r="G34" s="2" t="s">
        <v>229</v>
      </c>
      <c r="H34" s="2" t="s">
        <v>4361</v>
      </c>
    </row>
    <row r="35" spans="1:8" x14ac:dyDescent="0.35">
      <c r="A35" s="80" t="s">
        <v>5987</v>
      </c>
      <c r="B35" s="91">
        <v>12</v>
      </c>
      <c r="C35" s="85" t="s">
        <v>1229</v>
      </c>
      <c r="D35" s="95" t="str">
        <f t="shared" si="0"/>
        <v>ARVINDFASN</v>
      </c>
      <c r="F35" s="2" t="s">
        <v>230</v>
      </c>
      <c r="G35" s="2" t="s">
        <v>113</v>
      </c>
      <c r="H35" s="2" t="s">
        <v>4361</v>
      </c>
    </row>
    <row r="36" spans="1:8" x14ac:dyDescent="0.35">
      <c r="A36" s="80" t="s">
        <v>749</v>
      </c>
      <c r="B36" s="91">
        <v>118</v>
      </c>
      <c r="C36" s="85" t="s">
        <v>749</v>
      </c>
      <c r="D36" s="95" t="str">
        <f t="shared" si="0"/>
        <v>ASAHIINDIA</v>
      </c>
      <c r="F36" s="2" t="s">
        <v>231</v>
      </c>
      <c r="G36" s="2" t="s">
        <v>232</v>
      </c>
      <c r="H36" s="2" t="s">
        <v>4361</v>
      </c>
    </row>
    <row r="37" spans="1:8" x14ac:dyDescent="0.35">
      <c r="A37" s="80" t="s">
        <v>1504</v>
      </c>
      <c r="B37" s="91">
        <v>163</v>
      </c>
      <c r="C37" s="85" t="s">
        <v>1504</v>
      </c>
      <c r="D37" s="95" t="str">
        <f t="shared" si="0"/>
        <v>ASHOKA</v>
      </c>
      <c r="F37" s="2" t="s">
        <v>233</v>
      </c>
      <c r="G37" s="2" t="s">
        <v>66</v>
      </c>
      <c r="H37" s="2" t="s">
        <v>4361</v>
      </c>
    </row>
    <row r="38" spans="1:8" x14ac:dyDescent="0.35">
      <c r="A38" s="80" t="s">
        <v>1362</v>
      </c>
      <c r="B38" s="91">
        <v>153</v>
      </c>
      <c r="C38" s="85" t="s">
        <v>1362</v>
      </c>
      <c r="D38" s="95" t="str">
        <f t="shared" si="0"/>
        <v>ASTEC</v>
      </c>
      <c r="F38" s="2" t="s">
        <v>234</v>
      </c>
      <c r="G38" s="2" t="s">
        <v>235</v>
      </c>
      <c r="H38" s="2" t="s">
        <v>4361</v>
      </c>
    </row>
    <row r="39" spans="1:8" x14ac:dyDescent="0.35">
      <c r="A39" s="80" t="s">
        <v>5994</v>
      </c>
      <c r="B39" s="91">
        <v>26</v>
      </c>
      <c r="C39" s="85" t="s">
        <v>725</v>
      </c>
      <c r="D39" s="95" t="str">
        <f t="shared" si="0"/>
        <v>ASTERDM</v>
      </c>
      <c r="F39" s="2" t="s">
        <v>236</v>
      </c>
      <c r="G39" s="2" t="s">
        <v>237</v>
      </c>
      <c r="H39" s="2" t="s">
        <v>4361</v>
      </c>
    </row>
    <row r="40" spans="1:8" x14ac:dyDescent="0.35">
      <c r="A40" s="80" t="s">
        <v>1559</v>
      </c>
      <c r="B40" s="91">
        <v>131</v>
      </c>
      <c r="C40" s="85" t="s">
        <v>1559</v>
      </c>
      <c r="D40" s="95" t="str">
        <f t="shared" si="0"/>
        <v>ASTRAMICRO</v>
      </c>
      <c r="F40" s="2" t="s">
        <v>238</v>
      </c>
      <c r="G40" s="2" t="s">
        <v>239</v>
      </c>
      <c r="H40" s="2" t="s">
        <v>4361</v>
      </c>
    </row>
    <row r="41" spans="1:8" x14ac:dyDescent="0.35">
      <c r="A41" s="80" t="s">
        <v>404</v>
      </c>
      <c r="B41" s="91">
        <v>3</v>
      </c>
      <c r="C41" s="85" t="s">
        <v>404</v>
      </c>
      <c r="D41" s="95" t="str">
        <f t="shared" si="0"/>
        <v>AUBANK</v>
      </c>
      <c r="F41" s="2" t="s">
        <v>240</v>
      </c>
      <c r="G41" s="2" t="s">
        <v>241</v>
      </c>
      <c r="H41" s="2" t="s">
        <v>4361</v>
      </c>
    </row>
    <row r="42" spans="1:8" x14ac:dyDescent="0.35">
      <c r="A42" s="80" t="s">
        <v>6022</v>
      </c>
      <c r="B42" s="91">
        <v>61</v>
      </c>
      <c r="C42" s="85" t="s">
        <v>404</v>
      </c>
      <c r="D42" s="95" t="str">
        <f t="shared" si="0"/>
        <v>AUBANK</v>
      </c>
      <c r="F42" s="2" t="s">
        <v>242</v>
      </c>
      <c r="G42" s="2" t="s">
        <v>243</v>
      </c>
      <c r="H42" s="2" t="s">
        <v>4361</v>
      </c>
    </row>
    <row r="43" spans="1:8" x14ac:dyDescent="0.35">
      <c r="A43" s="80" t="s">
        <v>1247</v>
      </c>
      <c r="B43" s="91">
        <v>88</v>
      </c>
      <c r="C43" s="85" t="s">
        <v>1247</v>
      </c>
      <c r="D43" s="95" t="str">
        <f t="shared" si="0"/>
        <v>AUTOAXLES</v>
      </c>
      <c r="F43" s="2" t="s">
        <v>244</v>
      </c>
      <c r="G43" s="2" t="s">
        <v>245</v>
      </c>
      <c r="H43" s="2" t="s">
        <v>4361</v>
      </c>
    </row>
    <row r="44" spans="1:8" x14ac:dyDescent="0.35">
      <c r="A44" s="80" t="s">
        <v>6075</v>
      </c>
      <c r="B44" s="91">
        <v>60</v>
      </c>
      <c r="C44" s="85" t="s">
        <v>6075</v>
      </c>
      <c r="D44" s="95" t="s">
        <v>6229</v>
      </c>
      <c r="F44" s="2" t="s">
        <v>246</v>
      </c>
      <c r="G44" s="2" t="s">
        <v>247</v>
      </c>
      <c r="H44" s="2" t="s">
        <v>4361</v>
      </c>
    </row>
    <row r="45" spans="1:8" x14ac:dyDescent="0.35">
      <c r="A45" s="80" t="s">
        <v>5943</v>
      </c>
      <c r="B45" s="91">
        <v>36</v>
      </c>
      <c r="C45" s="85" t="s">
        <v>217</v>
      </c>
      <c r="D45" s="95" t="str">
        <f t="shared" si="0"/>
        <v>DMART</v>
      </c>
      <c r="F45" s="2" t="s">
        <v>248</v>
      </c>
      <c r="G45" s="2" t="s">
        <v>249</v>
      </c>
      <c r="H45" s="2" t="s">
        <v>4361</v>
      </c>
    </row>
    <row r="46" spans="1:8" x14ac:dyDescent="0.35">
      <c r="A46" s="80" t="s">
        <v>4404</v>
      </c>
      <c r="B46" s="91">
        <v>27</v>
      </c>
      <c r="C46" s="85" t="s">
        <v>217</v>
      </c>
      <c r="D46" s="95" t="str">
        <f t="shared" si="0"/>
        <v>DMART</v>
      </c>
      <c r="F46" s="2" t="s">
        <v>250</v>
      </c>
      <c r="G46" s="2" t="s">
        <v>251</v>
      </c>
      <c r="H46" s="2" t="s">
        <v>4361</v>
      </c>
    </row>
    <row r="47" spans="1:8" x14ac:dyDescent="0.35">
      <c r="A47" s="80" t="s">
        <v>210</v>
      </c>
      <c r="B47" s="91">
        <v>28</v>
      </c>
      <c r="C47" s="85" t="s">
        <v>210</v>
      </c>
      <c r="D47" s="95" t="str">
        <f t="shared" si="0"/>
        <v>AXISBANK</v>
      </c>
      <c r="F47" s="2" t="s">
        <v>252</v>
      </c>
      <c r="G47" s="2" t="s">
        <v>253</v>
      </c>
      <c r="H47" s="2" t="s">
        <v>4361</v>
      </c>
    </row>
    <row r="48" spans="1:8" x14ac:dyDescent="0.35">
      <c r="A48" s="80" t="s">
        <v>4392</v>
      </c>
      <c r="B48" s="91">
        <v>62</v>
      </c>
      <c r="C48" s="85" t="s">
        <v>210</v>
      </c>
      <c r="D48" s="95" t="str">
        <f t="shared" si="0"/>
        <v>AXISBANK</v>
      </c>
      <c r="F48" s="2" t="s">
        <v>254</v>
      </c>
      <c r="G48" s="2" t="s">
        <v>255</v>
      </c>
      <c r="H48" s="2" t="s">
        <v>4361</v>
      </c>
    </row>
    <row r="49" spans="1:8" x14ac:dyDescent="0.35">
      <c r="A49" s="80" t="s">
        <v>5935</v>
      </c>
      <c r="B49" s="91">
        <v>28</v>
      </c>
      <c r="C49" s="85" t="s">
        <v>257</v>
      </c>
      <c r="D49" s="95" t="str">
        <f t="shared" si="0"/>
        <v>BAJAJ-AUTO</v>
      </c>
      <c r="F49" s="2" t="s">
        <v>256</v>
      </c>
      <c r="G49" s="2" t="s">
        <v>257</v>
      </c>
      <c r="H49" s="2" t="s">
        <v>4361</v>
      </c>
    </row>
    <row r="50" spans="1:8" x14ac:dyDescent="0.35">
      <c r="A50" s="80" t="s">
        <v>5971</v>
      </c>
      <c r="B50" s="91">
        <v>55</v>
      </c>
      <c r="C50" s="85" t="s">
        <v>257</v>
      </c>
      <c r="D50" s="95" t="str">
        <f t="shared" si="0"/>
        <v>BAJAJ-AUTO</v>
      </c>
      <c r="F50" s="2" t="s">
        <v>258</v>
      </c>
      <c r="G50" s="2" t="s">
        <v>259</v>
      </c>
      <c r="H50" s="2" t="s">
        <v>4361</v>
      </c>
    </row>
    <row r="51" spans="1:8" x14ac:dyDescent="0.35">
      <c r="A51" s="80" t="s">
        <v>1480</v>
      </c>
      <c r="B51" s="91">
        <v>89</v>
      </c>
      <c r="C51" s="85" t="s">
        <v>1480</v>
      </c>
      <c r="D51" s="95" t="str">
        <f t="shared" si="0"/>
        <v>BAJAJCON</v>
      </c>
      <c r="F51" s="2" t="s">
        <v>260</v>
      </c>
      <c r="G51" s="2" t="s">
        <v>261</v>
      </c>
      <c r="H51" s="2" t="s">
        <v>4361</v>
      </c>
    </row>
    <row r="52" spans="1:8" x14ac:dyDescent="0.35">
      <c r="A52" s="80" t="s">
        <v>720</v>
      </c>
      <c r="B52" s="91">
        <v>15</v>
      </c>
      <c r="C52" s="85" t="s">
        <v>720</v>
      </c>
      <c r="D52" s="95" t="str">
        <f t="shared" si="0"/>
        <v>BAJAJELEC</v>
      </c>
      <c r="F52" s="2" t="s">
        <v>262</v>
      </c>
      <c r="G52" s="2" t="s">
        <v>263</v>
      </c>
      <c r="H52" s="2" t="s">
        <v>4361</v>
      </c>
    </row>
    <row r="53" spans="1:8" x14ac:dyDescent="0.35">
      <c r="A53" s="80" t="s">
        <v>6030</v>
      </c>
      <c r="B53" s="91">
        <v>37</v>
      </c>
      <c r="C53" s="85" t="s">
        <v>407</v>
      </c>
      <c r="D53" s="95" t="str">
        <f t="shared" si="0"/>
        <v>BALKRISIND</v>
      </c>
      <c r="F53" s="2" t="s">
        <v>264</v>
      </c>
      <c r="G53" s="2" t="s">
        <v>265</v>
      </c>
      <c r="H53" s="2" t="s">
        <v>4361</v>
      </c>
    </row>
    <row r="54" spans="1:8" x14ac:dyDescent="0.35">
      <c r="A54" s="80" t="s">
        <v>6094</v>
      </c>
      <c r="B54" s="91">
        <v>24</v>
      </c>
      <c r="C54" s="85" t="s">
        <v>407</v>
      </c>
      <c r="D54" s="95" t="str">
        <f t="shared" si="0"/>
        <v>BALKRISIND</v>
      </c>
      <c r="F54" s="2" t="s">
        <v>266</v>
      </c>
      <c r="G54" s="2" t="s">
        <v>267</v>
      </c>
      <c r="H54" s="2" t="s">
        <v>4361</v>
      </c>
    </row>
    <row r="55" spans="1:8" x14ac:dyDescent="0.35">
      <c r="A55" s="80" t="s">
        <v>165</v>
      </c>
      <c r="B55" s="91">
        <v>54</v>
      </c>
      <c r="C55" s="85" t="s">
        <v>165</v>
      </c>
      <c r="D55" s="95" t="str">
        <f t="shared" si="0"/>
        <v>BALRAMCHIN</v>
      </c>
      <c r="F55" s="2" t="s">
        <v>268</v>
      </c>
      <c r="G55" s="2" t="s">
        <v>269</v>
      </c>
      <c r="H55" s="2" t="s">
        <v>4361</v>
      </c>
    </row>
    <row r="56" spans="1:8" x14ac:dyDescent="0.35">
      <c r="A56" s="80" t="s">
        <v>118</v>
      </c>
      <c r="B56" s="91">
        <v>37</v>
      </c>
      <c r="C56" s="85" t="s">
        <v>118</v>
      </c>
      <c r="D56" s="95" t="str">
        <f t="shared" si="0"/>
        <v>BANKBARODA</v>
      </c>
      <c r="F56" s="2" t="s">
        <v>270</v>
      </c>
      <c r="G56" s="2" t="s">
        <v>271</v>
      </c>
      <c r="H56" s="2" t="s">
        <v>4361</v>
      </c>
    </row>
    <row r="57" spans="1:8" x14ac:dyDescent="0.35">
      <c r="A57" s="80" t="s">
        <v>6010</v>
      </c>
      <c r="B57" s="91">
        <v>51</v>
      </c>
      <c r="C57" s="85" t="s">
        <v>6010</v>
      </c>
      <c r="D57" s="95" t="s">
        <v>1419</v>
      </c>
      <c r="F57" s="2" t="s">
        <v>272</v>
      </c>
      <c r="G57" s="2" t="s">
        <v>273</v>
      </c>
      <c r="H57" s="2" t="s">
        <v>4361</v>
      </c>
    </row>
    <row r="58" spans="1:8" x14ac:dyDescent="0.35">
      <c r="A58" s="80" t="s">
        <v>604</v>
      </c>
      <c r="B58" s="91">
        <v>87</v>
      </c>
      <c r="C58" s="85" t="s">
        <v>604</v>
      </c>
      <c r="D58" s="95" t="str">
        <f t="shared" si="0"/>
        <v>BATAINDIA</v>
      </c>
      <c r="F58" s="2" t="s">
        <v>274</v>
      </c>
      <c r="G58" s="2" t="s">
        <v>275</v>
      </c>
      <c r="H58" s="2" t="s">
        <v>4361</v>
      </c>
    </row>
    <row r="59" spans="1:8" x14ac:dyDescent="0.35">
      <c r="A59" s="80" t="s">
        <v>4502</v>
      </c>
      <c r="B59" s="91">
        <v>57</v>
      </c>
      <c r="C59" s="85" t="s">
        <v>4502</v>
      </c>
      <c r="D59" s="95" t="s">
        <v>4535</v>
      </c>
      <c r="F59" s="2" t="s">
        <v>276</v>
      </c>
      <c r="G59" s="2" t="s">
        <v>277</v>
      </c>
      <c r="H59" s="2" t="s">
        <v>4361</v>
      </c>
    </row>
    <row r="60" spans="1:8" x14ac:dyDescent="0.35">
      <c r="A60" s="80" t="s">
        <v>6067</v>
      </c>
      <c r="B60" s="91">
        <v>75</v>
      </c>
      <c r="C60" s="85" t="s">
        <v>6193</v>
      </c>
      <c r="D60" s="95" t="s">
        <v>6230</v>
      </c>
      <c r="F60" s="2" t="s">
        <v>278</v>
      </c>
      <c r="G60" s="2" t="s">
        <v>97</v>
      </c>
      <c r="H60" s="2" t="s">
        <v>4361</v>
      </c>
    </row>
    <row r="61" spans="1:8" x14ac:dyDescent="0.35">
      <c r="A61" s="80" t="s">
        <v>1050</v>
      </c>
      <c r="B61" s="91">
        <v>32</v>
      </c>
      <c r="C61" s="85" t="s">
        <v>1050</v>
      </c>
      <c r="D61" s="95" t="str">
        <f t="shared" si="0"/>
        <v>BEML</v>
      </c>
      <c r="F61" s="2" t="s">
        <v>279</v>
      </c>
      <c r="G61" s="2" t="s">
        <v>280</v>
      </c>
      <c r="H61" s="2" t="s">
        <v>4361</v>
      </c>
    </row>
    <row r="62" spans="1:8" x14ac:dyDescent="0.35">
      <c r="A62" s="80" t="s">
        <v>6133</v>
      </c>
      <c r="B62" s="91">
        <v>33</v>
      </c>
      <c r="C62" s="85" t="s">
        <v>6133</v>
      </c>
      <c r="D62" s="95" t="s">
        <v>6231</v>
      </c>
      <c r="F62" s="2" t="s">
        <v>281</v>
      </c>
      <c r="G62" s="2" t="s">
        <v>72</v>
      </c>
      <c r="H62" s="2" t="s">
        <v>4361</v>
      </c>
    </row>
    <row r="63" spans="1:8" x14ac:dyDescent="0.35">
      <c r="A63" s="80" t="s">
        <v>307</v>
      </c>
      <c r="B63" s="91">
        <v>47</v>
      </c>
      <c r="C63" s="85" t="s">
        <v>307</v>
      </c>
      <c r="D63" s="95" t="str">
        <f t="shared" si="0"/>
        <v>BEL</v>
      </c>
      <c r="F63" s="2" t="s">
        <v>282</v>
      </c>
      <c r="G63" s="2" t="s">
        <v>118</v>
      </c>
      <c r="H63" s="2" t="s">
        <v>4361</v>
      </c>
    </row>
    <row r="64" spans="1:8" x14ac:dyDescent="0.35">
      <c r="A64" s="80" t="s">
        <v>4464</v>
      </c>
      <c r="B64" s="91">
        <v>55</v>
      </c>
      <c r="C64" s="85" t="s">
        <v>422</v>
      </c>
      <c r="D64" s="95" t="str">
        <f t="shared" si="0"/>
        <v>BHARATFORG</v>
      </c>
      <c r="F64" s="2" t="s">
        <v>283</v>
      </c>
      <c r="G64" s="2" t="s">
        <v>284</v>
      </c>
      <c r="H64" s="2" t="s">
        <v>4361</v>
      </c>
    </row>
    <row r="65" spans="1:8" x14ac:dyDescent="0.35">
      <c r="A65" s="80" t="s">
        <v>527</v>
      </c>
      <c r="B65" s="91">
        <v>83</v>
      </c>
      <c r="C65" s="85" t="s">
        <v>527</v>
      </c>
      <c r="D65" s="95" t="str">
        <f t="shared" si="0"/>
        <v>BHEL</v>
      </c>
      <c r="F65" s="2" t="s">
        <v>285</v>
      </c>
      <c r="G65" s="2" t="s">
        <v>286</v>
      </c>
      <c r="H65" s="2" t="s">
        <v>4361</v>
      </c>
    </row>
    <row r="66" spans="1:8" x14ac:dyDescent="0.35">
      <c r="A66" s="80" t="s">
        <v>5955</v>
      </c>
      <c r="B66" s="91">
        <v>21</v>
      </c>
      <c r="C66" s="85" t="s">
        <v>291</v>
      </c>
      <c r="D66" s="95" t="str">
        <f t="shared" si="0"/>
        <v>BPCL</v>
      </c>
      <c r="F66" s="2" t="s">
        <v>287</v>
      </c>
      <c r="G66" s="2" t="s">
        <v>81</v>
      </c>
      <c r="H66" s="2" t="s">
        <v>4361</v>
      </c>
    </row>
    <row r="67" spans="1:8" x14ac:dyDescent="0.35">
      <c r="A67" s="80" t="s">
        <v>169</v>
      </c>
      <c r="B67" s="91">
        <v>72</v>
      </c>
      <c r="C67" s="85" t="s">
        <v>169</v>
      </c>
      <c r="D67" s="95" t="str">
        <f t="shared" si="0"/>
        <v>BHARATRAS</v>
      </c>
      <c r="F67" s="2" t="s">
        <v>288</v>
      </c>
      <c r="G67" s="2" t="s">
        <v>289</v>
      </c>
      <c r="H67" s="2" t="s">
        <v>4361</v>
      </c>
    </row>
    <row r="68" spans="1:8" x14ac:dyDescent="0.35">
      <c r="A68" s="80" t="s">
        <v>6114</v>
      </c>
      <c r="B68" s="91">
        <v>58</v>
      </c>
      <c r="C68" s="85" t="s">
        <v>169</v>
      </c>
      <c r="D68" s="95" t="str">
        <f t="shared" si="0"/>
        <v>BHARATRAS</v>
      </c>
      <c r="F68" s="2" t="s">
        <v>290</v>
      </c>
      <c r="G68" s="2" t="s">
        <v>291</v>
      </c>
      <c r="H68" s="2" t="s">
        <v>4361</v>
      </c>
    </row>
    <row r="69" spans="1:8" x14ac:dyDescent="0.35">
      <c r="A69" s="80" t="s">
        <v>64</v>
      </c>
      <c r="B69" s="91">
        <v>4</v>
      </c>
      <c r="C69" s="85" t="s">
        <v>64</v>
      </c>
      <c r="D69" s="95" t="str">
        <f t="shared" si="0"/>
        <v>BIKAJI</v>
      </c>
      <c r="F69" s="2" t="s">
        <v>292</v>
      </c>
      <c r="G69" s="2" t="s">
        <v>293</v>
      </c>
      <c r="H69" s="2" t="s">
        <v>4361</v>
      </c>
    </row>
    <row r="70" spans="1:8" x14ac:dyDescent="0.35">
      <c r="A70" s="80" t="s">
        <v>933</v>
      </c>
      <c r="B70" s="91">
        <v>28</v>
      </c>
      <c r="C70" s="85" t="s">
        <v>933</v>
      </c>
      <c r="D70" s="95" t="str">
        <f t="shared" si="0"/>
        <v>BIRLACORPN</v>
      </c>
      <c r="F70" s="2" t="s">
        <v>294</v>
      </c>
      <c r="G70" s="2" t="s">
        <v>295</v>
      </c>
      <c r="H70" s="2" t="s">
        <v>4361</v>
      </c>
    </row>
    <row r="71" spans="1:8" x14ac:dyDescent="0.35">
      <c r="A71" s="80" t="s">
        <v>5977</v>
      </c>
      <c r="B71" s="91">
        <v>64</v>
      </c>
      <c r="C71" s="85" t="s">
        <v>933</v>
      </c>
      <c r="D71" s="95" t="str">
        <f t="shared" si="0"/>
        <v>BIRLACORPN</v>
      </c>
      <c r="F71" s="2" t="s">
        <v>296</v>
      </c>
      <c r="G71" s="2" t="s">
        <v>297</v>
      </c>
      <c r="H71" s="2" t="s">
        <v>4361</v>
      </c>
    </row>
    <row r="72" spans="1:8" x14ac:dyDescent="0.35">
      <c r="A72" s="80" t="s">
        <v>4382</v>
      </c>
      <c r="B72" s="91">
        <v>4</v>
      </c>
      <c r="C72" s="85" t="s">
        <v>4382</v>
      </c>
      <c r="D72" s="95" t="str">
        <f t="shared" ref="D72:D134" si="1">IFERROR(INDEX($F$6:$G$1048576,MATCH($C72,$G$6:$G$1048576,0),MATCH($D$6,$F$6:$G$6,0)),"")</f>
        <v>BSOFT</v>
      </c>
      <c r="F72" s="2" t="s">
        <v>298</v>
      </c>
      <c r="G72" s="2" t="s">
        <v>299</v>
      </c>
      <c r="H72" s="2" t="s">
        <v>4361</v>
      </c>
    </row>
    <row r="73" spans="1:8" x14ac:dyDescent="0.35">
      <c r="A73" s="80" t="s">
        <v>666</v>
      </c>
      <c r="B73" s="91">
        <v>174</v>
      </c>
      <c r="C73" s="85" t="s">
        <v>666</v>
      </c>
      <c r="D73" s="95" t="str">
        <f t="shared" si="1"/>
        <v>BLUEDART</v>
      </c>
      <c r="F73" s="2" t="s">
        <v>300</v>
      </c>
      <c r="G73" s="2" t="s">
        <v>301</v>
      </c>
      <c r="H73" s="2" t="s">
        <v>4361</v>
      </c>
    </row>
    <row r="74" spans="1:8" x14ac:dyDescent="0.35">
      <c r="A74" s="80" t="s">
        <v>174</v>
      </c>
      <c r="B74" s="91">
        <v>77</v>
      </c>
      <c r="C74" s="85" t="s">
        <v>174</v>
      </c>
      <c r="D74" s="95" t="str">
        <f t="shared" si="1"/>
        <v>BLUESTARCO</v>
      </c>
      <c r="F74" s="2" t="s">
        <v>302</v>
      </c>
      <c r="G74" s="2" t="s">
        <v>303</v>
      </c>
      <c r="H74" s="2" t="s">
        <v>4361</v>
      </c>
    </row>
    <row r="75" spans="1:8" x14ac:dyDescent="0.35">
      <c r="A75" s="80" t="s">
        <v>4449</v>
      </c>
      <c r="B75" s="91">
        <v>63</v>
      </c>
      <c r="C75" s="85" t="s">
        <v>174</v>
      </c>
      <c r="D75" s="95" t="str">
        <f t="shared" si="1"/>
        <v>BLUESTARCO</v>
      </c>
      <c r="F75" s="2" t="s">
        <v>304</v>
      </c>
      <c r="G75" s="2" t="s">
        <v>305</v>
      </c>
      <c r="H75" s="2" t="s">
        <v>4361</v>
      </c>
    </row>
    <row r="76" spans="1:8" x14ac:dyDescent="0.35">
      <c r="A76" s="80" t="s">
        <v>87</v>
      </c>
      <c r="B76" s="91">
        <v>14</v>
      </c>
      <c r="C76" s="85" t="s">
        <v>87</v>
      </c>
      <c r="D76" s="95" t="str">
        <f t="shared" si="1"/>
        <v>BOSCHLTD</v>
      </c>
      <c r="F76" s="2" t="s">
        <v>306</v>
      </c>
      <c r="G76" s="2" t="s">
        <v>307</v>
      </c>
      <c r="H76" s="2" t="s">
        <v>4361</v>
      </c>
    </row>
    <row r="77" spans="1:8" x14ac:dyDescent="0.35">
      <c r="A77" s="80" t="s">
        <v>753</v>
      </c>
      <c r="B77" s="91">
        <v>127</v>
      </c>
      <c r="C77" s="85" t="s">
        <v>753</v>
      </c>
      <c r="D77" s="95" t="str">
        <f t="shared" si="1"/>
        <v>BRIGADE</v>
      </c>
      <c r="F77" s="2" t="s">
        <v>308</v>
      </c>
      <c r="G77" s="2" t="s">
        <v>309</v>
      </c>
      <c r="H77" s="2" t="s">
        <v>4361</v>
      </c>
    </row>
    <row r="78" spans="1:8" x14ac:dyDescent="0.35">
      <c r="A78" s="80" t="s">
        <v>5991</v>
      </c>
      <c r="B78" s="91">
        <v>17</v>
      </c>
      <c r="C78" s="85" t="s">
        <v>753</v>
      </c>
      <c r="D78" s="95" t="str">
        <f t="shared" si="1"/>
        <v>BRIGADE</v>
      </c>
      <c r="F78" s="2" t="s">
        <v>310</v>
      </c>
      <c r="G78" s="2" t="s">
        <v>311</v>
      </c>
      <c r="H78" s="2" t="s">
        <v>4361</v>
      </c>
    </row>
    <row r="79" spans="1:8" x14ac:dyDescent="0.35">
      <c r="A79" s="80" t="s">
        <v>6000</v>
      </c>
      <c r="B79" s="91">
        <v>35</v>
      </c>
      <c r="C79" s="85" t="s">
        <v>1535</v>
      </c>
      <c r="D79" s="95" t="str">
        <f t="shared" si="1"/>
        <v>CAMLINFINE</v>
      </c>
      <c r="F79" s="2" t="s">
        <v>312</v>
      </c>
      <c r="G79" s="2" t="s">
        <v>313</v>
      </c>
      <c r="H79" s="2" t="s">
        <v>4361</v>
      </c>
    </row>
    <row r="80" spans="1:8" x14ac:dyDescent="0.35">
      <c r="A80" s="80" t="s">
        <v>783</v>
      </c>
      <c r="B80" s="91">
        <v>191</v>
      </c>
      <c r="C80" s="85" t="s">
        <v>783</v>
      </c>
      <c r="D80" s="95" t="str">
        <f t="shared" si="1"/>
        <v>CAMPUS</v>
      </c>
      <c r="F80" s="2" t="s">
        <v>314</v>
      </c>
      <c r="G80" s="2" t="s">
        <v>315</v>
      </c>
      <c r="H80" s="2" t="s">
        <v>4361</v>
      </c>
    </row>
    <row r="81" spans="1:8" x14ac:dyDescent="0.35">
      <c r="A81" s="80" t="s">
        <v>920</v>
      </c>
      <c r="B81" s="91">
        <v>129</v>
      </c>
      <c r="C81" s="85" t="s">
        <v>920</v>
      </c>
      <c r="D81" s="95" t="str">
        <f t="shared" si="1"/>
        <v>CANFINHOME</v>
      </c>
      <c r="F81" s="2" t="s">
        <v>316</v>
      </c>
      <c r="G81" s="2" t="s">
        <v>317</v>
      </c>
      <c r="H81" s="2" t="s">
        <v>4361</v>
      </c>
    </row>
    <row r="82" spans="1:8" x14ac:dyDescent="0.35">
      <c r="A82" s="80" t="s">
        <v>2106</v>
      </c>
      <c r="B82" s="91">
        <v>181</v>
      </c>
      <c r="C82" s="85" t="s">
        <v>2106</v>
      </c>
      <c r="D82" s="95" t="str">
        <f t="shared" si="1"/>
        <v>CAPACITE</v>
      </c>
      <c r="F82" s="2" t="s">
        <v>318</v>
      </c>
      <c r="G82" s="2" t="s">
        <v>319</v>
      </c>
      <c r="H82" s="2" t="s">
        <v>4361</v>
      </c>
    </row>
    <row r="83" spans="1:8" x14ac:dyDescent="0.35">
      <c r="A83" s="80" t="s">
        <v>596</v>
      </c>
      <c r="B83" s="91">
        <v>28</v>
      </c>
      <c r="C83" s="85" t="s">
        <v>596</v>
      </c>
      <c r="D83" s="95" t="str">
        <f t="shared" si="1"/>
        <v>CARBORUNIV</v>
      </c>
      <c r="F83" s="2" t="s">
        <v>320</v>
      </c>
      <c r="G83" s="2" t="s">
        <v>321</v>
      </c>
      <c r="H83" s="2" t="s">
        <v>4361</v>
      </c>
    </row>
    <row r="84" spans="1:8" x14ac:dyDescent="0.35">
      <c r="A84" s="80" t="s">
        <v>6053</v>
      </c>
      <c r="B84" s="91">
        <v>6</v>
      </c>
      <c r="C84" s="85" t="s">
        <v>596</v>
      </c>
      <c r="D84" s="95" t="str">
        <f t="shared" si="1"/>
        <v>CARBORUNIV</v>
      </c>
      <c r="F84" s="2" t="s">
        <v>322</v>
      </c>
      <c r="G84" s="2" t="s">
        <v>323</v>
      </c>
      <c r="H84" s="2" t="s">
        <v>4361</v>
      </c>
    </row>
    <row r="85" spans="1:8" x14ac:dyDescent="0.35">
      <c r="A85" s="80" t="s">
        <v>1567</v>
      </c>
      <c r="B85" s="91">
        <v>100</v>
      </c>
      <c r="C85" s="85" t="s">
        <v>1567</v>
      </c>
      <c r="D85" s="95" t="str">
        <f t="shared" si="1"/>
        <v>CARERATING</v>
      </c>
      <c r="F85" s="2" t="s">
        <v>324</v>
      </c>
      <c r="G85" s="2" t="s">
        <v>325</v>
      </c>
      <c r="H85" s="2" t="s">
        <v>4361</v>
      </c>
    </row>
    <row r="86" spans="1:8" x14ac:dyDescent="0.35">
      <c r="A86" s="80" t="s">
        <v>751</v>
      </c>
      <c r="B86" s="91">
        <v>130</v>
      </c>
      <c r="C86" s="85" t="s">
        <v>751</v>
      </c>
      <c r="D86" s="95" t="str">
        <f t="shared" si="1"/>
        <v>CASTROLIND</v>
      </c>
      <c r="F86" s="2" t="s">
        <v>326</v>
      </c>
      <c r="G86" s="2" t="s">
        <v>87</v>
      </c>
      <c r="H86" s="2" t="s">
        <v>4361</v>
      </c>
    </row>
    <row r="87" spans="1:8" x14ac:dyDescent="0.35">
      <c r="A87" s="80" t="s">
        <v>898</v>
      </c>
      <c r="B87" s="91">
        <v>7</v>
      </c>
      <c r="C87" s="85" t="s">
        <v>898</v>
      </c>
      <c r="D87" s="95" t="str">
        <f t="shared" si="1"/>
        <v>CCL</v>
      </c>
      <c r="F87" s="2" t="s">
        <v>327</v>
      </c>
      <c r="G87" s="2" t="s">
        <v>328</v>
      </c>
      <c r="H87" s="2" t="s">
        <v>4361</v>
      </c>
    </row>
    <row r="88" spans="1:8" x14ac:dyDescent="0.35">
      <c r="A88" s="80" t="s">
        <v>6109</v>
      </c>
      <c r="B88" s="91">
        <v>53</v>
      </c>
      <c r="C88" s="85" t="s">
        <v>6194</v>
      </c>
      <c r="D88" s="95" t="s">
        <v>808</v>
      </c>
      <c r="F88" s="2" t="s">
        <v>329</v>
      </c>
      <c r="G88" s="2" t="s">
        <v>330</v>
      </c>
      <c r="H88" s="2" t="s">
        <v>4361</v>
      </c>
    </row>
    <row r="89" spans="1:8" x14ac:dyDescent="0.35">
      <c r="A89" s="80" t="s">
        <v>809</v>
      </c>
      <c r="B89" s="91">
        <v>52</v>
      </c>
      <c r="C89" s="85" t="s">
        <v>809</v>
      </c>
      <c r="D89" s="95" t="str">
        <f t="shared" si="1"/>
        <v>CDSL</v>
      </c>
      <c r="F89" s="2" t="s">
        <v>331</v>
      </c>
      <c r="G89" s="2" t="s">
        <v>332</v>
      </c>
      <c r="H89" s="2" t="s">
        <v>4361</v>
      </c>
    </row>
    <row r="90" spans="1:8" x14ac:dyDescent="0.35">
      <c r="A90" s="80" t="s">
        <v>775</v>
      </c>
      <c r="B90" s="91">
        <v>192</v>
      </c>
      <c r="C90" s="85" t="s">
        <v>775</v>
      </c>
      <c r="D90" s="95" t="str">
        <f t="shared" si="1"/>
        <v>CENTURYPLY</v>
      </c>
      <c r="F90" s="2" t="s">
        <v>333</v>
      </c>
      <c r="G90" s="2" t="s">
        <v>101</v>
      </c>
      <c r="H90" s="2" t="s">
        <v>4361</v>
      </c>
    </row>
    <row r="91" spans="1:8" x14ac:dyDescent="0.35">
      <c r="A91" s="80" t="s">
        <v>143</v>
      </c>
      <c r="B91" s="91">
        <v>57</v>
      </c>
      <c r="C91" s="85" t="s">
        <v>143</v>
      </c>
      <c r="D91" s="95" t="str">
        <f t="shared" si="1"/>
        <v>CENTURYTEX</v>
      </c>
      <c r="F91" s="2" t="s">
        <v>334</v>
      </c>
      <c r="G91" s="2" t="s">
        <v>335</v>
      </c>
      <c r="H91" s="2" t="s">
        <v>4361</v>
      </c>
    </row>
    <row r="92" spans="1:8" x14ac:dyDescent="0.35">
      <c r="A92" s="80" t="s">
        <v>747</v>
      </c>
      <c r="B92" s="91">
        <v>98</v>
      </c>
      <c r="C92" s="85" t="s">
        <v>747</v>
      </c>
      <c r="D92" s="95" t="str">
        <f t="shared" si="1"/>
        <v>CHAMBLFERT</v>
      </c>
      <c r="F92" s="2" t="s">
        <v>336</v>
      </c>
      <c r="G92" s="2" t="s">
        <v>337</v>
      </c>
      <c r="H92" s="2" t="s">
        <v>4361</v>
      </c>
    </row>
    <row r="93" spans="1:8" x14ac:dyDescent="0.35">
      <c r="A93" s="80" t="s">
        <v>1018</v>
      </c>
      <c r="B93" s="91">
        <v>16</v>
      </c>
      <c r="C93" s="85" t="s">
        <v>1018</v>
      </c>
      <c r="D93" s="95" t="str">
        <f t="shared" si="1"/>
        <v>CHEMPLASTS</v>
      </c>
      <c r="F93" s="2" t="s">
        <v>338</v>
      </c>
      <c r="G93" s="2" t="s">
        <v>339</v>
      </c>
      <c r="H93" s="2" t="s">
        <v>4361</v>
      </c>
    </row>
    <row r="94" spans="1:8" x14ac:dyDescent="0.35">
      <c r="A94" s="80" t="s">
        <v>781</v>
      </c>
      <c r="B94" s="91">
        <v>2</v>
      </c>
      <c r="C94" s="85" t="s">
        <v>781</v>
      </c>
      <c r="D94" s="95" t="str">
        <f t="shared" si="1"/>
        <v>CHOLAHLDNG</v>
      </c>
      <c r="F94" s="2" t="s">
        <v>340</v>
      </c>
      <c r="G94" s="2" t="s">
        <v>122</v>
      </c>
      <c r="H94" s="2" t="s">
        <v>4361</v>
      </c>
    </row>
    <row r="95" spans="1:8" x14ac:dyDescent="0.35">
      <c r="A95" s="80" t="s">
        <v>5982</v>
      </c>
      <c r="B95" s="91">
        <v>6</v>
      </c>
      <c r="C95" s="85" t="s">
        <v>781</v>
      </c>
      <c r="D95" s="95" t="str">
        <f t="shared" si="1"/>
        <v>CHOLAHLDNG</v>
      </c>
      <c r="F95" s="2" t="s">
        <v>341</v>
      </c>
      <c r="G95" s="2" t="s">
        <v>65</v>
      </c>
      <c r="H95" s="2" t="s">
        <v>4361</v>
      </c>
    </row>
    <row r="96" spans="1:8" x14ac:dyDescent="0.35">
      <c r="A96" s="80" t="s">
        <v>6143</v>
      </c>
      <c r="B96" s="91">
        <v>11</v>
      </c>
      <c r="C96" s="85" t="s">
        <v>6195</v>
      </c>
      <c r="D96" s="95" t="s">
        <v>318</v>
      </c>
      <c r="F96" s="2" t="s">
        <v>342</v>
      </c>
      <c r="G96" s="2" t="s">
        <v>343</v>
      </c>
      <c r="H96" s="2" t="s">
        <v>4361</v>
      </c>
    </row>
    <row r="97" spans="1:8" x14ac:dyDescent="0.35">
      <c r="A97" s="80" t="s">
        <v>6082</v>
      </c>
      <c r="B97" s="91">
        <v>2</v>
      </c>
      <c r="C97" s="85" t="s">
        <v>6196</v>
      </c>
      <c r="D97" s="95" t="s">
        <v>318</v>
      </c>
      <c r="F97" s="2" t="s">
        <v>344</v>
      </c>
      <c r="G97" s="2" t="s">
        <v>345</v>
      </c>
      <c r="H97" s="2" t="s">
        <v>4361</v>
      </c>
    </row>
    <row r="98" spans="1:8" x14ac:dyDescent="0.35">
      <c r="A98" s="80" t="s">
        <v>5928</v>
      </c>
      <c r="B98" s="91">
        <v>19</v>
      </c>
      <c r="C98" s="85" t="s">
        <v>6177</v>
      </c>
      <c r="D98" s="95" t="s">
        <v>318</v>
      </c>
      <c r="F98" s="2" t="s">
        <v>346</v>
      </c>
      <c r="G98" s="2" t="s">
        <v>347</v>
      </c>
      <c r="H98" s="2" t="s">
        <v>4361</v>
      </c>
    </row>
    <row r="99" spans="1:8" x14ac:dyDescent="0.35">
      <c r="A99" s="80" t="s">
        <v>5912</v>
      </c>
      <c r="B99" s="91">
        <v>60</v>
      </c>
      <c r="C99" s="85" t="s">
        <v>319</v>
      </c>
      <c r="D99" s="95" t="str">
        <f t="shared" si="1"/>
        <v>CHOLAFIN</v>
      </c>
      <c r="F99" s="2" t="s">
        <v>348</v>
      </c>
      <c r="G99" s="2" t="s">
        <v>349</v>
      </c>
      <c r="H99" s="2" t="s">
        <v>4361</v>
      </c>
    </row>
    <row r="100" spans="1:8" x14ac:dyDescent="0.35">
      <c r="A100" s="80" t="s">
        <v>5972</v>
      </c>
      <c r="B100" s="91">
        <v>57</v>
      </c>
      <c r="C100" s="85" t="s">
        <v>299</v>
      </c>
      <c r="D100" s="95" t="str">
        <f t="shared" si="1"/>
        <v>CIPLA</v>
      </c>
      <c r="F100" s="2" t="s">
        <v>350</v>
      </c>
      <c r="G100" s="2" t="s">
        <v>351</v>
      </c>
      <c r="H100" s="2" t="s">
        <v>4361</v>
      </c>
    </row>
    <row r="101" spans="1:8" x14ac:dyDescent="0.35">
      <c r="A101" s="80" t="s">
        <v>815</v>
      </c>
      <c r="B101" s="91">
        <v>19</v>
      </c>
      <c r="C101" s="85" t="s">
        <v>815</v>
      </c>
      <c r="D101" s="95" t="str">
        <f t="shared" si="1"/>
        <v>CUB</v>
      </c>
      <c r="F101" s="2" t="s">
        <v>352</v>
      </c>
      <c r="G101" s="2" t="s">
        <v>353</v>
      </c>
      <c r="H101" s="2" t="s">
        <v>4361</v>
      </c>
    </row>
    <row r="102" spans="1:8" x14ac:dyDescent="0.35">
      <c r="A102" s="80" t="s">
        <v>6046</v>
      </c>
      <c r="B102" s="91">
        <v>64</v>
      </c>
      <c r="C102" s="85" t="s">
        <v>815</v>
      </c>
      <c r="D102" s="95" t="str">
        <f t="shared" si="1"/>
        <v>CUB</v>
      </c>
      <c r="F102" s="2" t="s">
        <v>354</v>
      </c>
      <c r="G102" s="2" t="s">
        <v>355</v>
      </c>
      <c r="H102" s="2" t="s">
        <v>4361</v>
      </c>
    </row>
    <row r="103" spans="1:8" x14ac:dyDescent="0.35">
      <c r="A103" s="80" t="s">
        <v>6069</v>
      </c>
      <c r="B103" s="91">
        <v>77</v>
      </c>
      <c r="C103" s="85" t="s">
        <v>691</v>
      </c>
      <c r="D103" s="95" t="str">
        <f t="shared" si="1"/>
        <v>CLEAN</v>
      </c>
      <c r="F103" s="2" t="s">
        <v>356</v>
      </c>
      <c r="G103" s="2" t="s">
        <v>357</v>
      </c>
      <c r="H103" s="2" t="s">
        <v>4361</v>
      </c>
    </row>
    <row r="104" spans="1:8" x14ac:dyDescent="0.35">
      <c r="A104" s="80" t="s">
        <v>6113</v>
      </c>
      <c r="B104" s="91">
        <v>57</v>
      </c>
      <c r="C104" s="85" t="s">
        <v>691</v>
      </c>
      <c r="D104" s="95" t="str">
        <f t="shared" si="1"/>
        <v>CLEAN</v>
      </c>
      <c r="F104" s="2" t="s">
        <v>358</v>
      </c>
      <c r="G104" s="2" t="s">
        <v>359</v>
      </c>
      <c r="H104" s="2" t="s">
        <v>4361</v>
      </c>
    </row>
    <row r="105" spans="1:8" x14ac:dyDescent="0.35">
      <c r="A105" s="80" t="s">
        <v>241</v>
      </c>
      <c r="B105" s="91">
        <v>147</v>
      </c>
      <c r="C105" s="85" t="s">
        <v>241</v>
      </c>
      <c r="D105" s="95" t="str">
        <f t="shared" si="1"/>
        <v>COALINDIA</v>
      </c>
      <c r="F105" s="2" t="s">
        <v>360</v>
      </c>
      <c r="G105" s="2" t="s">
        <v>361</v>
      </c>
      <c r="H105" s="2" t="s">
        <v>4361</v>
      </c>
    </row>
    <row r="106" spans="1:8" x14ac:dyDescent="0.35">
      <c r="A106" s="80" t="s">
        <v>6119</v>
      </c>
      <c r="B106" s="91">
        <v>9</v>
      </c>
      <c r="C106" s="85" t="s">
        <v>241</v>
      </c>
      <c r="D106" s="95" t="str">
        <f t="shared" si="1"/>
        <v>COALINDIA</v>
      </c>
      <c r="F106" s="2" t="s">
        <v>362</v>
      </c>
      <c r="G106" s="2" t="s">
        <v>363</v>
      </c>
      <c r="H106" s="2" t="s">
        <v>4361</v>
      </c>
    </row>
    <row r="107" spans="1:8" x14ac:dyDescent="0.35">
      <c r="A107" s="80" t="s">
        <v>538</v>
      </c>
      <c r="B107" s="91">
        <v>66</v>
      </c>
      <c r="C107" s="85" t="s">
        <v>538</v>
      </c>
      <c r="D107" s="95" t="str">
        <f t="shared" si="1"/>
        <v>COFORGE</v>
      </c>
      <c r="F107" s="2" t="s">
        <v>364</v>
      </c>
      <c r="G107" s="2" t="s">
        <v>365</v>
      </c>
      <c r="H107" s="2" t="s">
        <v>4361</v>
      </c>
    </row>
    <row r="108" spans="1:8" x14ac:dyDescent="0.35">
      <c r="A108" s="80" t="s">
        <v>6100</v>
      </c>
      <c r="B108" s="91">
        <v>37</v>
      </c>
      <c r="C108" s="85" t="s">
        <v>538</v>
      </c>
      <c r="D108" s="95" t="str">
        <f t="shared" si="1"/>
        <v>COFORGE</v>
      </c>
      <c r="F108" s="2" t="s">
        <v>366</v>
      </c>
      <c r="G108" s="2" t="s">
        <v>75</v>
      </c>
      <c r="H108" s="2" t="s">
        <v>4361</v>
      </c>
    </row>
    <row r="109" spans="1:8" x14ac:dyDescent="0.35">
      <c r="A109" s="80" t="s">
        <v>5966</v>
      </c>
      <c r="B109" s="91">
        <v>47</v>
      </c>
      <c r="C109" s="85" t="s">
        <v>5966</v>
      </c>
      <c r="D109" s="95" t="s">
        <v>6232</v>
      </c>
      <c r="F109" s="2" t="s">
        <v>367</v>
      </c>
      <c r="G109" s="2" t="s">
        <v>368</v>
      </c>
      <c r="H109" s="2" t="s">
        <v>4361</v>
      </c>
    </row>
    <row r="110" spans="1:8" x14ac:dyDescent="0.35">
      <c r="A110" s="80" t="s">
        <v>785</v>
      </c>
      <c r="B110" s="91">
        <v>75</v>
      </c>
      <c r="C110" s="85" t="s">
        <v>785</v>
      </c>
      <c r="D110" s="95" t="str">
        <f t="shared" si="1"/>
        <v>CAMS</v>
      </c>
      <c r="F110" s="2" t="s">
        <v>369</v>
      </c>
      <c r="G110" s="2" t="s">
        <v>370</v>
      </c>
      <c r="H110" s="2" t="s">
        <v>4361</v>
      </c>
    </row>
    <row r="111" spans="1:8" x14ac:dyDescent="0.35">
      <c r="A111" s="80" t="s">
        <v>164</v>
      </c>
      <c r="B111" s="91">
        <v>64</v>
      </c>
      <c r="C111" s="85" t="s">
        <v>164</v>
      </c>
      <c r="D111" s="95" t="str">
        <f t="shared" si="1"/>
        <v>CONFIPET</v>
      </c>
      <c r="F111" s="2" t="s">
        <v>371</v>
      </c>
      <c r="G111" s="2" t="s">
        <v>372</v>
      </c>
      <c r="H111" s="2" t="s">
        <v>4361</v>
      </c>
    </row>
    <row r="112" spans="1:8" x14ac:dyDescent="0.35">
      <c r="A112" s="80" t="s">
        <v>431</v>
      </c>
      <c r="B112" s="91">
        <v>71</v>
      </c>
      <c r="C112" s="85" t="s">
        <v>431</v>
      </c>
      <c r="D112" s="95" t="str">
        <f t="shared" si="1"/>
        <v>CONCOR</v>
      </c>
      <c r="F112" s="2" t="s">
        <v>373</v>
      </c>
      <c r="G112" s="2" t="s">
        <v>79</v>
      </c>
      <c r="H112" s="2" t="s">
        <v>4361</v>
      </c>
    </row>
    <row r="113" spans="1:8" x14ac:dyDescent="0.35">
      <c r="A113" s="80" t="s">
        <v>6097</v>
      </c>
      <c r="B113" s="91">
        <v>30</v>
      </c>
      <c r="C113" s="85" t="s">
        <v>6197</v>
      </c>
      <c r="D113" s="95" t="str">
        <f t="shared" si="1"/>
        <v>CONCOR</v>
      </c>
      <c r="F113" s="2" t="s">
        <v>374</v>
      </c>
      <c r="G113" s="2" t="s">
        <v>375</v>
      </c>
      <c r="H113" s="2" t="s">
        <v>4361</v>
      </c>
    </row>
    <row r="114" spans="1:8" x14ac:dyDescent="0.35">
      <c r="A114" s="80" t="s">
        <v>511</v>
      </c>
      <c r="B114" s="91">
        <v>69</v>
      </c>
      <c r="C114" s="85" t="s">
        <v>511</v>
      </c>
      <c r="D114" s="95" t="str">
        <f t="shared" si="1"/>
        <v>COROMANDEL</v>
      </c>
      <c r="F114" s="2" t="s">
        <v>376</v>
      </c>
      <c r="G114" s="2" t="s">
        <v>377</v>
      </c>
      <c r="H114" s="2" t="s">
        <v>4361</v>
      </c>
    </row>
    <row r="115" spans="1:8" x14ac:dyDescent="0.35">
      <c r="A115" s="80" t="s">
        <v>6093</v>
      </c>
      <c r="B115" s="91">
        <v>23</v>
      </c>
      <c r="C115" s="85" t="s">
        <v>6198</v>
      </c>
      <c r="D115" s="95" t="str">
        <f t="shared" si="1"/>
        <v>CREDITACC</v>
      </c>
      <c r="F115" s="2" t="s">
        <v>378</v>
      </c>
      <c r="G115" s="2" t="s">
        <v>379</v>
      </c>
      <c r="H115" s="2" t="s">
        <v>4361</v>
      </c>
    </row>
    <row r="116" spans="1:8" x14ac:dyDescent="0.35">
      <c r="A116" s="80" t="s">
        <v>6110</v>
      </c>
      <c r="B116" s="91">
        <v>54</v>
      </c>
      <c r="C116" s="85" t="s">
        <v>71</v>
      </c>
      <c r="D116" s="95" t="str">
        <f t="shared" si="1"/>
        <v>CRISIL</v>
      </c>
      <c r="F116" s="2" t="s">
        <v>380</v>
      </c>
      <c r="G116" s="2" t="s">
        <v>381</v>
      </c>
      <c r="H116" s="2" t="s">
        <v>4361</v>
      </c>
    </row>
    <row r="117" spans="1:8" x14ac:dyDescent="0.35">
      <c r="A117" s="80" t="s">
        <v>598</v>
      </c>
      <c r="B117" s="91">
        <v>49</v>
      </c>
      <c r="C117" s="85" t="s">
        <v>598</v>
      </c>
      <c r="D117" s="95" t="str">
        <f t="shared" si="1"/>
        <v>CROMPTON</v>
      </c>
      <c r="F117" s="2" t="s">
        <v>382</v>
      </c>
      <c r="G117" s="2" t="s">
        <v>383</v>
      </c>
      <c r="H117" s="2" t="s">
        <v>4361</v>
      </c>
    </row>
    <row r="118" spans="1:8" x14ac:dyDescent="0.35">
      <c r="A118" s="80" t="s">
        <v>370</v>
      </c>
      <c r="B118" s="91">
        <v>36</v>
      </c>
      <c r="C118" s="85" t="s">
        <v>370</v>
      </c>
      <c r="D118" s="95" t="str">
        <f t="shared" si="1"/>
        <v>CUMMINSIND</v>
      </c>
      <c r="F118" s="2" t="s">
        <v>384</v>
      </c>
      <c r="G118" s="2" t="s">
        <v>385</v>
      </c>
      <c r="H118" s="2" t="s">
        <v>4361</v>
      </c>
    </row>
    <row r="119" spans="1:8" x14ac:dyDescent="0.35">
      <c r="A119" s="80" t="s">
        <v>5963</v>
      </c>
      <c r="B119" s="91">
        <v>39</v>
      </c>
      <c r="C119" s="85" t="s">
        <v>370</v>
      </c>
      <c r="D119" s="95" t="str">
        <f t="shared" si="1"/>
        <v>CUMMINSIND</v>
      </c>
      <c r="F119" s="2" t="s">
        <v>386</v>
      </c>
      <c r="G119" s="2" t="s">
        <v>387</v>
      </c>
      <c r="H119" s="2" t="s">
        <v>4361</v>
      </c>
    </row>
    <row r="120" spans="1:8" x14ac:dyDescent="0.35">
      <c r="A120" s="80" t="s">
        <v>745</v>
      </c>
      <c r="B120" s="91">
        <v>20</v>
      </c>
      <c r="C120" s="85" t="s">
        <v>745</v>
      </c>
      <c r="D120" s="95" t="str">
        <f t="shared" si="1"/>
        <v>CYIENT</v>
      </c>
      <c r="F120" s="2" t="s">
        <v>388</v>
      </c>
      <c r="G120" s="2" t="s">
        <v>389</v>
      </c>
      <c r="H120" s="2" t="s">
        <v>4361</v>
      </c>
    </row>
    <row r="121" spans="1:8" x14ac:dyDescent="0.35">
      <c r="A121" s="80" t="s">
        <v>4418</v>
      </c>
      <c r="B121" s="91">
        <v>63</v>
      </c>
      <c r="C121" s="85" t="s">
        <v>271</v>
      </c>
      <c r="D121" s="95" t="str">
        <f t="shared" si="1"/>
        <v>DABUR</v>
      </c>
      <c r="F121" s="2" t="s">
        <v>390</v>
      </c>
      <c r="G121" s="2" t="s">
        <v>391</v>
      </c>
      <c r="H121" s="2" t="s">
        <v>4361</v>
      </c>
    </row>
    <row r="122" spans="1:8" x14ac:dyDescent="0.35">
      <c r="A122" s="80" t="s">
        <v>120</v>
      </c>
      <c r="B122" s="91">
        <v>14</v>
      </c>
      <c r="C122" s="85" t="s">
        <v>120</v>
      </c>
      <c r="D122" s="95" t="str">
        <f t="shared" si="1"/>
        <v>DALBHARAT</v>
      </c>
      <c r="F122" s="2" t="s">
        <v>392</v>
      </c>
      <c r="G122" s="2" t="s">
        <v>121</v>
      </c>
      <c r="H122" s="2" t="s">
        <v>4361</v>
      </c>
    </row>
    <row r="123" spans="1:8" x14ac:dyDescent="0.35">
      <c r="A123" s="80" t="s">
        <v>891</v>
      </c>
      <c r="B123" s="91">
        <v>94</v>
      </c>
      <c r="C123" s="85" t="s">
        <v>891</v>
      </c>
      <c r="D123" s="95" t="str">
        <f t="shared" si="1"/>
        <v>DATAPATTNS</v>
      </c>
      <c r="F123" s="2" t="s">
        <v>393</v>
      </c>
      <c r="G123" s="2" t="s">
        <v>394</v>
      </c>
      <c r="H123" s="2" t="s">
        <v>4361</v>
      </c>
    </row>
    <row r="124" spans="1:8" x14ac:dyDescent="0.35">
      <c r="A124" s="80" t="s">
        <v>6012</v>
      </c>
      <c r="B124" s="91">
        <v>53</v>
      </c>
      <c r="C124" s="85" t="s">
        <v>1284</v>
      </c>
      <c r="D124" s="95" t="str">
        <f t="shared" si="1"/>
        <v>DCBBANK</v>
      </c>
      <c r="F124" s="2" t="s">
        <v>395</v>
      </c>
      <c r="G124" s="2" t="s">
        <v>396</v>
      </c>
      <c r="H124" s="2" t="s">
        <v>4361</v>
      </c>
    </row>
    <row r="125" spans="1:8" x14ac:dyDescent="0.35">
      <c r="A125" s="80" t="s">
        <v>929</v>
      </c>
      <c r="B125" s="91">
        <v>49</v>
      </c>
      <c r="C125" s="85" t="s">
        <v>929</v>
      </c>
      <c r="D125" s="95" t="str">
        <f t="shared" si="1"/>
        <v>DEEPAKFERT</v>
      </c>
      <c r="F125" s="2" t="s">
        <v>397</v>
      </c>
      <c r="G125" s="2" t="s">
        <v>398</v>
      </c>
      <c r="H125" s="2" t="s">
        <v>4361</v>
      </c>
    </row>
    <row r="126" spans="1:8" x14ac:dyDescent="0.35">
      <c r="A126" s="80" t="s">
        <v>517</v>
      </c>
      <c r="B126" s="91">
        <v>65</v>
      </c>
      <c r="C126" s="85" t="s">
        <v>517</v>
      </c>
      <c r="D126" s="95" t="str">
        <f t="shared" si="1"/>
        <v>DEEPAKNTR</v>
      </c>
      <c r="F126" s="2" t="s">
        <v>399</v>
      </c>
      <c r="G126" s="2" t="s">
        <v>400</v>
      </c>
      <c r="H126" s="2" t="s">
        <v>4361</v>
      </c>
    </row>
    <row r="127" spans="1:8" x14ac:dyDescent="0.35">
      <c r="A127" s="80" t="s">
        <v>616</v>
      </c>
      <c r="B127" s="91">
        <v>13</v>
      </c>
      <c r="C127" s="85" t="s">
        <v>616</v>
      </c>
      <c r="D127" s="95" t="str">
        <f t="shared" si="1"/>
        <v>DEVYANI</v>
      </c>
      <c r="F127" s="2" t="s">
        <v>401</v>
      </c>
      <c r="G127" s="2" t="s">
        <v>402</v>
      </c>
      <c r="H127" s="2" t="s">
        <v>4361</v>
      </c>
    </row>
    <row r="128" spans="1:8" x14ac:dyDescent="0.35">
      <c r="A128" s="80" t="s">
        <v>6115</v>
      </c>
      <c r="B128" s="91">
        <v>59</v>
      </c>
      <c r="C128" s="85" t="s">
        <v>616</v>
      </c>
      <c r="D128" s="95" t="str">
        <f t="shared" si="1"/>
        <v>DEVYANI</v>
      </c>
      <c r="F128" s="2" t="s">
        <v>403</v>
      </c>
      <c r="G128" s="2" t="s">
        <v>404</v>
      </c>
      <c r="H128" s="2" t="s">
        <v>4361</v>
      </c>
    </row>
    <row r="129" spans="1:8" x14ac:dyDescent="0.35">
      <c r="A129" s="80" t="s">
        <v>1533</v>
      </c>
      <c r="B129" s="91">
        <v>117</v>
      </c>
      <c r="C129" s="85" t="s">
        <v>1533</v>
      </c>
      <c r="D129" s="95" t="str">
        <f t="shared" si="1"/>
        <v>DIVGIITTS</v>
      </c>
      <c r="F129" s="2" t="s">
        <v>405</v>
      </c>
      <c r="G129" s="2" t="s">
        <v>159</v>
      </c>
      <c r="H129" s="2" t="s">
        <v>4361</v>
      </c>
    </row>
    <row r="130" spans="1:8" x14ac:dyDescent="0.35">
      <c r="A130" s="80" t="s">
        <v>289</v>
      </c>
      <c r="B130" s="91">
        <v>53</v>
      </c>
      <c r="C130" s="85" t="s">
        <v>289</v>
      </c>
      <c r="D130" s="95" t="str">
        <f t="shared" si="1"/>
        <v>DIVISLAB</v>
      </c>
      <c r="F130" s="2" t="s">
        <v>406</v>
      </c>
      <c r="G130" s="2" t="s">
        <v>407</v>
      </c>
      <c r="H130" s="2" t="s">
        <v>4361</v>
      </c>
    </row>
    <row r="131" spans="1:8" x14ac:dyDescent="0.35">
      <c r="A131" s="80" t="s">
        <v>620</v>
      </c>
      <c r="B131" s="91">
        <v>59</v>
      </c>
      <c r="C131" s="85" t="s">
        <v>620</v>
      </c>
      <c r="D131" s="95" t="str">
        <f t="shared" si="1"/>
        <v>DIXON</v>
      </c>
      <c r="F131" s="2" t="s">
        <v>408</v>
      </c>
      <c r="G131" s="2" t="s">
        <v>409</v>
      </c>
      <c r="H131" s="2" t="s">
        <v>4361</v>
      </c>
    </row>
    <row r="132" spans="1:8" x14ac:dyDescent="0.35">
      <c r="A132" s="80" t="s">
        <v>6007</v>
      </c>
      <c r="B132" s="91">
        <v>45</v>
      </c>
      <c r="C132" s="85" t="s">
        <v>620</v>
      </c>
      <c r="D132" s="95" t="str">
        <f t="shared" si="1"/>
        <v>DIXON</v>
      </c>
      <c r="F132" s="2" t="s">
        <v>410</v>
      </c>
      <c r="G132" s="2" t="s">
        <v>411</v>
      </c>
      <c r="H132" s="2" t="s">
        <v>4361</v>
      </c>
    </row>
    <row r="133" spans="1:8" x14ac:dyDescent="0.35">
      <c r="A133" s="80" t="s">
        <v>4476</v>
      </c>
      <c r="B133" s="91">
        <v>29</v>
      </c>
      <c r="C133" s="85" t="s">
        <v>6178</v>
      </c>
      <c r="D133" s="95" t="s">
        <v>619</v>
      </c>
      <c r="F133" s="2" t="s">
        <v>412</v>
      </c>
      <c r="G133" s="2" t="s">
        <v>413</v>
      </c>
      <c r="H133" s="2" t="s">
        <v>4361</v>
      </c>
    </row>
    <row r="134" spans="1:8" x14ac:dyDescent="0.35">
      <c r="A134" s="80" t="s">
        <v>6159</v>
      </c>
      <c r="B134" s="91">
        <v>49</v>
      </c>
      <c r="C134" s="85" t="s">
        <v>1356</v>
      </c>
      <c r="D134" s="95" t="str">
        <f t="shared" si="1"/>
        <v>DODLA</v>
      </c>
      <c r="F134" s="2" t="s">
        <v>414</v>
      </c>
      <c r="G134" s="2" t="s">
        <v>120</v>
      </c>
      <c r="H134" s="2" t="s">
        <v>4361</v>
      </c>
    </row>
    <row r="135" spans="1:8" x14ac:dyDescent="0.35">
      <c r="A135" s="80" t="s">
        <v>50</v>
      </c>
      <c r="B135" s="91">
        <v>40</v>
      </c>
      <c r="C135" s="85" t="s">
        <v>6199</v>
      </c>
      <c r="D135" s="95" t="s">
        <v>656</v>
      </c>
      <c r="F135" s="2" t="s">
        <v>415</v>
      </c>
      <c r="G135" s="2" t="s">
        <v>416</v>
      </c>
      <c r="H135" s="2" t="s">
        <v>4361</v>
      </c>
    </row>
    <row r="136" spans="1:8" x14ac:dyDescent="0.35">
      <c r="A136" s="80" t="s">
        <v>81</v>
      </c>
      <c r="B136" s="91">
        <v>51</v>
      </c>
      <c r="C136" s="85" t="s">
        <v>6200</v>
      </c>
      <c r="D136" s="95" t="s">
        <v>287</v>
      </c>
      <c r="F136" s="2" t="s">
        <v>417</v>
      </c>
      <c r="G136" s="2" t="s">
        <v>418</v>
      </c>
      <c r="H136" s="2" t="s">
        <v>4361</v>
      </c>
    </row>
    <row r="137" spans="1:8" x14ac:dyDescent="0.35">
      <c r="A137" s="80" t="s">
        <v>960</v>
      </c>
      <c r="B137" s="91">
        <v>39</v>
      </c>
      <c r="C137" s="85" t="s">
        <v>960</v>
      </c>
      <c r="D137" s="95" t="str">
        <f t="shared" ref="D137:D199" si="2">IFERROR(INDEX($F$6:$G$1048576,MATCH($C137,$G$6:$G$1048576,0),MATCH($D$6,$F$6:$G$6,0)),"")</f>
        <v>ECLERX</v>
      </c>
      <c r="F137" s="2" t="s">
        <v>419</v>
      </c>
      <c r="G137" s="2" t="s">
        <v>420</v>
      </c>
      <c r="H137" s="2" t="s">
        <v>4361</v>
      </c>
    </row>
    <row r="138" spans="1:8" x14ac:dyDescent="0.35">
      <c r="A138" s="80" t="s">
        <v>6132</v>
      </c>
      <c r="B138" s="91">
        <v>31</v>
      </c>
      <c r="C138" s="85" t="s">
        <v>6179</v>
      </c>
      <c r="D138" s="95" t="s">
        <v>857</v>
      </c>
      <c r="F138" s="2" t="s">
        <v>421</v>
      </c>
      <c r="G138" s="2" t="s">
        <v>422</v>
      </c>
      <c r="H138" s="2" t="s">
        <v>4361</v>
      </c>
    </row>
    <row r="139" spans="1:8" x14ac:dyDescent="0.35">
      <c r="A139" s="80" t="s">
        <v>773</v>
      </c>
      <c r="B139" s="91">
        <v>22</v>
      </c>
      <c r="C139" s="85" t="s">
        <v>773</v>
      </c>
      <c r="D139" s="95" t="str">
        <f t="shared" si="2"/>
        <v>EIHOTEL</v>
      </c>
      <c r="F139" s="2" t="s">
        <v>423</v>
      </c>
      <c r="G139" s="2" t="s">
        <v>424</v>
      </c>
      <c r="H139" s="2" t="s">
        <v>4361</v>
      </c>
    </row>
    <row r="140" spans="1:8" x14ac:dyDescent="0.35">
      <c r="A140" s="80" t="s">
        <v>6011</v>
      </c>
      <c r="B140" s="91">
        <v>52</v>
      </c>
      <c r="C140" s="85" t="s">
        <v>773</v>
      </c>
      <c r="D140" s="95" t="str">
        <f t="shared" si="2"/>
        <v>EIHOTEL</v>
      </c>
      <c r="F140" s="2" t="s">
        <v>425</v>
      </c>
      <c r="G140" s="2" t="s">
        <v>426</v>
      </c>
      <c r="H140" s="2" t="s">
        <v>4361</v>
      </c>
    </row>
    <row r="141" spans="1:8" x14ac:dyDescent="0.35">
      <c r="A141" s="80" t="s">
        <v>6072</v>
      </c>
      <c r="B141" s="91">
        <v>14</v>
      </c>
      <c r="C141" s="85" t="s">
        <v>6072</v>
      </c>
      <c r="D141" s="95" t="s">
        <v>6233</v>
      </c>
      <c r="F141" s="2" t="s">
        <v>427</v>
      </c>
      <c r="G141" s="2" t="s">
        <v>63</v>
      </c>
      <c r="H141" s="2" t="s">
        <v>4361</v>
      </c>
    </row>
    <row r="142" spans="1:8" x14ac:dyDescent="0.35">
      <c r="A142" s="80" t="s">
        <v>641</v>
      </c>
      <c r="B142" s="91">
        <v>68</v>
      </c>
      <c r="C142" s="85" t="s">
        <v>641</v>
      </c>
      <c r="D142" s="95" t="str">
        <f t="shared" si="2"/>
        <v>EMAMILTD</v>
      </c>
      <c r="F142" s="2" t="s">
        <v>428</v>
      </c>
      <c r="G142" s="2" t="s">
        <v>429</v>
      </c>
      <c r="H142" s="2" t="s">
        <v>4361</v>
      </c>
    </row>
    <row r="143" spans="1:8" x14ac:dyDescent="0.35">
      <c r="A143" s="80" t="s">
        <v>6034</v>
      </c>
      <c r="B143" s="91">
        <v>42</v>
      </c>
      <c r="C143" s="85" t="s">
        <v>641</v>
      </c>
      <c r="D143" s="95" t="str">
        <f t="shared" si="2"/>
        <v>EMAMILTD</v>
      </c>
      <c r="F143" s="2" t="s">
        <v>430</v>
      </c>
      <c r="G143" s="2" t="s">
        <v>431</v>
      </c>
      <c r="H143" s="2" t="s">
        <v>4361</v>
      </c>
    </row>
    <row r="144" spans="1:8" x14ac:dyDescent="0.35">
      <c r="A144" s="80" t="s">
        <v>1654</v>
      </c>
      <c r="B144" s="91">
        <v>93</v>
      </c>
      <c r="C144" s="85" t="s">
        <v>1654</v>
      </c>
      <c r="D144" s="95" t="str">
        <f t="shared" si="2"/>
        <v>EMUDHRA</v>
      </c>
      <c r="F144" s="2" t="s">
        <v>432</v>
      </c>
      <c r="G144" s="2" t="s">
        <v>433</v>
      </c>
      <c r="H144" s="2" t="s">
        <v>4361</v>
      </c>
    </row>
    <row r="145" spans="1:8" x14ac:dyDescent="0.35">
      <c r="A145" s="80" t="s">
        <v>614</v>
      </c>
      <c r="B145" s="91">
        <v>60</v>
      </c>
      <c r="C145" s="85" t="s">
        <v>614</v>
      </c>
      <c r="D145" s="95" t="str">
        <f t="shared" si="2"/>
        <v>ENDURANCE</v>
      </c>
      <c r="F145" s="2" t="s">
        <v>434</v>
      </c>
      <c r="G145" s="2" t="s">
        <v>435</v>
      </c>
      <c r="H145" s="2" t="s">
        <v>4361</v>
      </c>
    </row>
    <row r="146" spans="1:8" x14ac:dyDescent="0.35">
      <c r="A146" s="80" t="s">
        <v>6149</v>
      </c>
      <c r="B146" s="91">
        <v>29</v>
      </c>
      <c r="C146" s="85" t="s">
        <v>614</v>
      </c>
      <c r="D146" s="95" t="str">
        <f t="shared" si="2"/>
        <v>ENDURANCE</v>
      </c>
      <c r="F146" s="2" t="s">
        <v>436</v>
      </c>
      <c r="G146" s="2" t="s">
        <v>437</v>
      </c>
      <c r="H146" s="2" t="s">
        <v>4361</v>
      </c>
    </row>
    <row r="147" spans="1:8" x14ac:dyDescent="0.35">
      <c r="A147" s="80" t="s">
        <v>1054</v>
      </c>
      <c r="B147" s="91">
        <v>72</v>
      </c>
      <c r="C147" s="85" t="s">
        <v>1054</v>
      </c>
      <c r="D147" s="95" t="str">
        <f t="shared" si="2"/>
        <v>EPL</v>
      </c>
      <c r="F147" s="2" t="s">
        <v>438</v>
      </c>
      <c r="G147" s="2" t="s">
        <v>439</v>
      </c>
      <c r="H147" s="2" t="s">
        <v>4361</v>
      </c>
    </row>
    <row r="148" spans="1:8" x14ac:dyDescent="0.35">
      <c r="A148" s="80" t="s">
        <v>5980</v>
      </c>
      <c r="B148" s="91">
        <v>3</v>
      </c>
      <c r="C148" s="85" t="s">
        <v>1054</v>
      </c>
      <c r="D148" s="95" t="str">
        <f t="shared" si="2"/>
        <v>EPL</v>
      </c>
      <c r="F148" s="2" t="s">
        <v>440</v>
      </c>
      <c r="G148" s="2" t="s">
        <v>441</v>
      </c>
      <c r="H148" s="2" t="s">
        <v>4361</v>
      </c>
    </row>
    <row r="149" spans="1:8" x14ac:dyDescent="0.35">
      <c r="A149" s="80" t="s">
        <v>900</v>
      </c>
      <c r="B149" s="91">
        <v>111</v>
      </c>
      <c r="C149" s="85" t="s">
        <v>900</v>
      </c>
      <c r="D149" s="95" t="str">
        <f t="shared" si="2"/>
        <v>EQUITASBNK</v>
      </c>
      <c r="F149" s="2" t="s">
        <v>442</v>
      </c>
      <c r="G149" s="2" t="s">
        <v>443</v>
      </c>
      <c r="H149" s="2" t="s">
        <v>4361</v>
      </c>
    </row>
    <row r="150" spans="1:8" x14ac:dyDescent="0.35">
      <c r="A150" s="80" t="s">
        <v>6002</v>
      </c>
      <c r="B150" s="91">
        <v>39</v>
      </c>
      <c r="C150" s="85" t="s">
        <v>900</v>
      </c>
      <c r="D150" s="95" t="str">
        <f t="shared" si="2"/>
        <v>EQUITASBNK</v>
      </c>
      <c r="F150" s="2" t="s">
        <v>444</v>
      </c>
      <c r="G150" s="2" t="s">
        <v>445</v>
      </c>
      <c r="H150" s="2" t="s">
        <v>4361</v>
      </c>
    </row>
    <row r="151" spans="1:8" x14ac:dyDescent="0.35">
      <c r="A151" s="80" t="s">
        <v>1026</v>
      </c>
      <c r="B151" s="91">
        <v>83</v>
      </c>
      <c r="C151" s="85" t="s">
        <v>1026</v>
      </c>
      <c r="D151" s="95" t="str">
        <f t="shared" si="2"/>
        <v>ESABINDIA</v>
      </c>
      <c r="F151" s="2" t="s">
        <v>446</v>
      </c>
      <c r="G151" s="2" t="s">
        <v>447</v>
      </c>
      <c r="H151" s="2" t="s">
        <v>4361</v>
      </c>
    </row>
    <row r="152" spans="1:8" x14ac:dyDescent="0.35">
      <c r="A152" s="80" t="s">
        <v>6098</v>
      </c>
      <c r="B152" s="91">
        <v>32</v>
      </c>
      <c r="C152" s="85" t="s">
        <v>68</v>
      </c>
      <c r="D152" s="95" t="str">
        <f t="shared" si="2"/>
        <v>ESCORTS</v>
      </c>
      <c r="F152" s="2" t="s">
        <v>448</v>
      </c>
      <c r="G152" s="2" t="s">
        <v>449</v>
      </c>
      <c r="H152" s="2" t="s">
        <v>4361</v>
      </c>
    </row>
    <row r="153" spans="1:8" x14ac:dyDescent="0.35">
      <c r="A153" s="80" t="s">
        <v>4471</v>
      </c>
      <c r="B153" s="91">
        <v>21</v>
      </c>
      <c r="C153" s="85" t="s">
        <v>660</v>
      </c>
      <c r="D153" s="95" t="str">
        <f t="shared" si="2"/>
        <v>EXIDEIND</v>
      </c>
      <c r="F153" s="2" t="s">
        <v>450</v>
      </c>
      <c r="G153" s="2" t="s">
        <v>451</v>
      </c>
      <c r="H153" s="2" t="s">
        <v>4361</v>
      </c>
    </row>
    <row r="154" spans="1:8" x14ac:dyDescent="0.35">
      <c r="A154" s="80" t="s">
        <v>1160</v>
      </c>
      <c r="B154" s="91">
        <v>86</v>
      </c>
      <c r="C154" s="85" t="s">
        <v>1160</v>
      </c>
      <c r="D154" s="95" t="str">
        <f t="shared" si="2"/>
        <v>FDC</v>
      </c>
      <c r="F154" s="2" t="s">
        <v>452</v>
      </c>
      <c r="G154" s="2" t="s">
        <v>453</v>
      </c>
      <c r="H154" s="2" t="s">
        <v>4361</v>
      </c>
    </row>
    <row r="155" spans="1:8" x14ac:dyDescent="0.35">
      <c r="A155" s="80" t="s">
        <v>6006</v>
      </c>
      <c r="B155" s="91">
        <v>44</v>
      </c>
      <c r="C155" s="85" t="s">
        <v>1160</v>
      </c>
      <c r="D155" s="95" t="str">
        <f t="shared" si="2"/>
        <v>FDC</v>
      </c>
      <c r="F155" s="2" t="s">
        <v>454</v>
      </c>
      <c r="G155" s="2" t="s">
        <v>455</v>
      </c>
      <c r="H155" s="2" t="s">
        <v>4361</v>
      </c>
    </row>
    <row r="156" spans="1:8" x14ac:dyDescent="0.35">
      <c r="A156" s="80" t="s">
        <v>702</v>
      </c>
      <c r="B156" s="91">
        <v>34</v>
      </c>
      <c r="C156" s="85" t="s">
        <v>702</v>
      </c>
      <c r="D156" s="95" t="str">
        <f t="shared" si="2"/>
        <v>FINEORG</v>
      </c>
      <c r="F156" s="2" t="s">
        <v>456</v>
      </c>
      <c r="G156" s="2" t="s">
        <v>457</v>
      </c>
      <c r="H156" s="2" t="s">
        <v>4361</v>
      </c>
    </row>
    <row r="157" spans="1:8" x14ac:dyDescent="0.35">
      <c r="A157" s="80" t="s">
        <v>1388</v>
      </c>
      <c r="B157" s="91">
        <v>99</v>
      </c>
      <c r="C157" s="85" t="s">
        <v>1388</v>
      </c>
      <c r="D157" s="95" t="s">
        <v>661</v>
      </c>
      <c r="F157" s="2" t="s">
        <v>458</v>
      </c>
      <c r="G157" s="2" t="s">
        <v>459</v>
      </c>
      <c r="H157" s="2" t="s">
        <v>4361</v>
      </c>
    </row>
    <row r="158" spans="1:8" x14ac:dyDescent="0.35">
      <c r="A158" s="80" t="s">
        <v>716</v>
      </c>
      <c r="B158" s="91">
        <v>32</v>
      </c>
      <c r="C158" s="85" t="s">
        <v>716</v>
      </c>
      <c r="D158" s="95" t="str">
        <f t="shared" si="2"/>
        <v>FINCABLES</v>
      </c>
      <c r="F158" s="2" t="s">
        <v>460</v>
      </c>
      <c r="G158" s="2" t="s">
        <v>461</v>
      </c>
      <c r="H158" s="2" t="s">
        <v>4361</v>
      </c>
    </row>
    <row r="159" spans="1:8" x14ac:dyDescent="0.35">
      <c r="A159" s="80" t="s">
        <v>6004</v>
      </c>
      <c r="B159" s="91">
        <v>41</v>
      </c>
      <c r="C159" s="85" t="s">
        <v>716</v>
      </c>
      <c r="D159" s="95" t="str">
        <f t="shared" si="2"/>
        <v>FINCABLES</v>
      </c>
      <c r="F159" s="2" t="s">
        <v>462</v>
      </c>
      <c r="G159" s="2" t="s">
        <v>463</v>
      </c>
      <c r="H159" s="2" t="s">
        <v>4361</v>
      </c>
    </row>
    <row r="160" spans="1:8" x14ac:dyDescent="0.35">
      <c r="A160" s="80" t="s">
        <v>590</v>
      </c>
      <c r="B160" s="91">
        <v>66</v>
      </c>
      <c r="C160" s="85" t="s">
        <v>590</v>
      </c>
      <c r="D160" s="95" t="str">
        <f t="shared" si="2"/>
        <v>FORTIS</v>
      </c>
      <c r="F160" s="2" t="s">
        <v>464</v>
      </c>
      <c r="G160" s="2" t="s">
        <v>465</v>
      </c>
      <c r="H160" s="2" t="s">
        <v>4361</v>
      </c>
    </row>
    <row r="161" spans="1:8" x14ac:dyDescent="0.35">
      <c r="A161" s="80" t="s">
        <v>1177</v>
      </c>
      <c r="B161" s="91">
        <v>22</v>
      </c>
      <c r="C161" s="85" t="s">
        <v>1177</v>
      </c>
      <c r="D161" s="95" t="str">
        <f t="shared" si="2"/>
        <v>FUSION</v>
      </c>
      <c r="F161" s="2" t="s">
        <v>466</v>
      </c>
      <c r="G161" s="2" t="s">
        <v>467</v>
      </c>
      <c r="H161" s="2" t="s">
        <v>4361</v>
      </c>
    </row>
    <row r="162" spans="1:8" x14ac:dyDescent="0.35">
      <c r="A162" s="80" t="s">
        <v>6160</v>
      </c>
      <c r="B162" s="91">
        <v>52</v>
      </c>
      <c r="C162" s="85" t="s">
        <v>6201</v>
      </c>
      <c r="D162" s="95" t="s">
        <v>797</v>
      </c>
      <c r="F162" s="2" t="s">
        <v>468</v>
      </c>
      <c r="G162" s="2" t="s">
        <v>469</v>
      </c>
      <c r="H162" s="2" t="s">
        <v>4361</v>
      </c>
    </row>
    <row r="163" spans="1:8" x14ac:dyDescent="0.35">
      <c r="A163" s="80" t="s">
        <v>798</v>
      </c>
      <c r="B163" s="91">
        <v>139</v>
      </c>
      <c r="C163" s="85" t="s">
        <v>798</v>
      </c>
      <c r="D163" s="95" t="str">
        <f t="shared" si="2"/>
        <v>GRINFRA</v>
      </c>
      <c r="F163" s="2" t="s">
        <v>470</v>
      </c>
      <c r="G163" s="2" t="s">
        <v>471</v>
      </c>
      <c r="H163" s="2" t="s">
        <v>4361</v>
      </c>
    </row>
    <row r="164" spans="1:8" x14ac:dyDescent="0.35">
      <c r="A164" s="80" t="s">
        <v>1551</v>
      </c>
      <c r="B164" s="91">
        <v>173</v>
      </c>
      <c r="C164" s="85" t="s">
        <v>1551</v>
      </c>
      <c r="D164" s="95" t="str">
        <f t="shared" si="2"/>
        <v>GABRIEL</v>
      </c>
      <c r="F164" s="2" t="s">
        <v>472</v>
      </c>
      <c r="G164" s="2" t="s">
        <v>473</v>
      </c>
      <c r="H164" s="2" t="s">
        <v>4361</v>
      </c>
    </row>
    <row r="165" spans="1:8" x14ac:dyDescent="0.35">
      <c r="A165" s="80" t="s">
        <v>862</v>
      </c>
      <c r="B165" s="91">
        <v>5</v>
      </c>
      <c r="C165" s="85" t="s">
        <v>862</v>
      </c>
      <c r="D165" s="95" t="str">
        <f t="shared" si="2"/>
        <v>GALAXYSURF</v>
      </c>
      <c r="F165" s="2" t="s">
        <v>474</v>
      </c>
      <c r="G165" s="2" t="s">
        <v>62</v>
      </c>
      <c r="H165" s="2" t="s">
        <v>4361</v>
      </c>
    </row>
    <row r="166" spans="1:8" x14ac:dyDescent="0.35">
      <c r="A166" s="80" t="s">
        <v>6134</v>
      </c>
      <c r="B166" s="91">
        <v>38</v>
      </c>
      <c r="C166" s="85" t="s">
        <v>1859</v>
      </c>
      <c r="D166" s="95" t="str">
        <f t="shared" si="2"/>
        <v>GRWRHITECH</v>
      </c>
      <c r="F166" s="2" t="s">
        <v>475</v>
      </c>
      <c r="G166" s="2" t="s">
        <v>476</v>
      </c>
      <c r="H166" s="2" t="s">
        <v>4361</v>
      </c>
    </row>
    <row r="167" spans="1:8" x14ac:dyDescent="0.35">
      <c r="A167" s="80" t="s">
        <v>1313</v>
      </c>
      <c r="B167" s="91">
        <v>193</v>
      </c>
      <c r="C167" s="85" t="s">
        <v>1313</v>
      </c>
      <c r="D167" s="95" t="str">
        <f t="shared" si="2"/>
        <v>GATEWAY</v>
      </c>
      <c r="F167" s="2" t="s">
        <v>477</v>
      </c>
      <c r="G167" s="2" t="s">
        <v>478</v>
      </c>
      <c r="H167" s="2" t="s">
        <v>4361</v>
      </c>
    </row>
    <row r="168" spans="1:8" x14ac:dyDescent="0.35">
      <c r="A168" s="80" t="s">
        <v>5997</v>
      </c>
      <c r="B168" s="91">
        <v>30</v>
      </c>
      <c r="C168" s="85" t="s">
        <v>1313</v>
      </c>
      <c r="D168" s="95" t="str">
        <f t="shared" si="2"/>
        <v>GATEWAY</v>
      </c>
      <c r="F168" s="2" t="s">
        <v>479</v>
      </c>
      <c r="G168" s="2" t="s">
        <v>480</v>
      </c>
      <c r="H168" s="2" t="s">
        <v>4361</v>
      </c>
    </row>
    <row r="169" spans="1:8" x14ac:dyDescent="0.35">
      <c r="A169" s="80" t="s">
        <v>1320</v>
      </c>
      <c r="B169" s="91">
        <v>39</v>
      </c>
      <c r="C169" s="85" t="s">
        <v>1320</v>
      </c>
      <c r="D169" s="95" t="str">
        <f t="shared" si="2"/>
        <v>GET&amp;D</v>
      </c>
      <c r="F169" s="2" t="s">
        <v>481</v>
      </c>
      <c r="G169" s="2" t="s">
        <v>482</v>
      </c>
      <c r="H169" s="2" t="s">
        <v>4361</v>
      </c>
    </row>
    <row r="170" spans="1:8" x14ac:dyDescent="0.35">
      <c r="A170" s="80" t="s">
        <v>1482</v>
      </c>
      <c r="B170" s="91">
        <v>53</v>
      </c>
      <c r="C170" s="85" t="s">
        <v>1482</v>
      </c>
      <c r="D170" s="95" t="str">
        <f t="shared" si="2"/>
        <v>GENUSPOWER</v>
      </c>
      <c r="F170" s="2" t="s">
        <v>483</v>
      </c>
      <c r="G170" s="2" t="s">
        <v>484</v>
      </c>
      <c r="H170" s="2" t="s">
        <v>4361</v>
      </c>
    </row>
    <row r="171" spans="1:8" x14ac:dyDescent="0.35">
      <c r="A171" s="80" t="s">
        <v>5975</v>
      </c>
      <c r="B171" s="91">
        <v>61</v>
      </c>
      <c r="C171" s="85" t="s">
        <v>680</v>
      </c>
      <c r="D171" s="95" t="str">
        <f t="shared" si="2"/>
        <v>GILLETTE</v>
      </c>
      <c r="F171" s="2" t="s">
        <v>485</v>
      </c>
      <c r="G171" s="2" t="s">
        <v>486</v>
      </c>
      <c r="H171" s="2" t="s">
        <v>4361</v>
      </c>
    </row>
    <row r="172" spans="1:8" x14ac:dyDescent="0.35">
      <c r="A172" s="80" t="s">
        <v>564</v>
      </c>
      <c r="B172" s="91">
        <v>69</v>
      </c>
      <c r="C172" s="85" t="s">
        <v>564</v>
      </c>
      <c r="D172" s="95" t="str">
        <f t="shared" si="2"/>
        <v>GLAND</v>
      </c>
      <c r="F172" s="2" t="s">
        <v>487</v>
      </c>
      <c r="G172" s="2" t="s">
        <v>488</v>
      </c>
      <c r="H172" s="2" t="s">
        <v>4361</v>
      </c>
    </row>
    <row r="173" spans="1:8" x14ac:dyDescent="0.35">
      <c r="A173" s="80" t="s">
        <v>5974</v>
      </c>
      <c r="B173" s="91">
        <v>60</v>
      </c>
      <c r="C173" s="85" t="s">
        <v>6202</v>
      </c>
      <c r="D173" s="95" t="str">
        <f t="shared" si="2"/>
        <v>GLAXO</v>
      </c>
      <c r="F173" s="2" t="s">
        <v>489</v>
      </c>
      <c r="G173" s="2" t="s">
        <v>490</v>
      </c>
      <c r="H173" s="2" t="s">
        <v>4361</v>
      </c>
    </row>
    <row r="174" spans="1:8" x14ac:dyDescent="0.35">
      <c r="A174" s="80" t="s">
        <v>678</v>
      </c>
      <c r="B174" s="91">
        <v>55</v>
      </c>
      <c r="C174" s="85" t="s">
        <v>678</v>
      </c>
      <c r="D174" s="95" t="str">
        <f t="shared" si="2"/>
        <v>MEDANTA</v>
      </c>
      <c r="F174" s="2" t="s">
        <v>491</v>
      </c>
      <c r="G174" s="2" t="s">
        <v>492</v>
      </c>
      <c r="H174" s="2" t="s">
        <v>4361</v>
      </c>
    </row>
    <row r="175" spans="1:8" x14ac:dyDescent="0.35">
      <c r="A175" s="80" t="s">
        <v>6070</v>
      </c>
      <c r="B175" s="91">
        <v>88</v>
      </c>
      <c r="C175" s="85" t="s">
        <v>6070</v>
      </c>
      <c r="D175" s="95" t="s">
        <v>4538</v>
      </c>
      <c r="F175" s="2" t="s">
        <v>493</v>
      </c>
      <c r="G175" s="2" t="s">
        <v>494</v>
      </c>
      <c r="H175" s="2" t="s">
        <v>4361</v>
      </c>
    </row>
    <row r="176" spans="1:8" x14ac:dyDescent="0.35">
      <c r="A176" s="80" t="s">
        <v>1030</v>
      </c>
      <c r="B176" s="91">
        <v>52</v>
      </c>
      <c r="C176" s="85" t="s">
        <v>1030</v>
      </c>
      <c r="D176" s="95" t="str">
        <f t="shared" si="2"/>
        <v>GOCOLORS</v>
      </c>
      <c r="F176" s="2" t="s">
        <v>495</v>
      </c>
      <c r="G176" s="2" t="s">
        <v>496</v>
      </c>
      <c r="H176" s="2" t="s">
        <v>4361</v>
      </c>
    </row>
    <row r="177" spans="1:8" x14ac:dyDescent="0.35">
      <c r="A177" s="80" t="s">
        <v>6061</v>
      </c>
      <c r="B177" s="91">
        <v>54</v>
      </c>
      <c r="C177" s="85" t="s">
        <v>1030</v>
      </c>
      <c r="D177" s="95" t="str">
        <f t="shared" si="2"/>
        <v>GOCOLORS</v>
      </c>
      <c r="F177" s="2" t="s">
        <v>497</v>
      </c>
      <c r="G177" s="2" t="s">
        <v>498</v>
      </c>
      <c r="H177" s="2" t="s">
        <v>4361</v>
      </c>
    </row>
    <row r="178" spans="1:8" x14ac:dyDescent="0.35">
      <c r="A178" s="80" t="s">
        <v>6005</v>
      </c>
      <c r="B178" s="91">
        <v>43</v>
      </c>
      <c r="C178" s="85" t="s">
        <v>6203</v>
      </c>
      <c r="D178" s="95" t="s">
        <v>1029</v>
      </c>
      <c r="F178" s="2" t="s">
        <v>499</v>
      </c>
      <c r="G178" s="2" t="s">
        <v>500</v>
      </c>
      <c r="H178" s="2" t="s">
        <v>4361</v>
      </c>
    </row>
    <row r="179" spans="1:8" x14ac:dyDescent="0.35">
      <c r="A179" s="80" t="s">
        <v>879</v>
      </c>
      <c r="B179" s="91">
        <v>106</v>
      </c>
      <c r="C179" s="85" t="s">
        <v>879</v>
      </c>
      <c r="D179" s="95" t="str">
        <f t="shared" si="2"/>
        <v>GODREJAGRO</v>
      </c>
      <c r="F179" s="2" t="s">
        <v>501</v>
      </c>
      <c r="G179" s="2" t="s">
        <v>502</v>
      </c>
      <c r="H179" s="2" t="s">
        <v>4361</v>
      </c>
    </row>
    <row r="180" spans="1:8" x14ac:dyDescent="0.35">
      <c r="A180" s="80" t="s">
        <v>6048</v>
      </c>
      <c r="B180" s="91">
        <v>68</v>
      </c>
      <c r="C180" s="85" t="s">
        <v>879</v>
      </c>
      <c r="D180" s="95" t="str">
        <f t="shared" si="2"/>
        <v>GODREJAGRO</v>
      </c>
      <c r="F180" s="2" t="s">
        <v>503</v>
      </c>
      <c r="G180" s="2" t="s">
        <v>504</v>
      </c>
      <c r="H180" s="2" t="s">
        <v>4361</v>
      </c>
    </row>
    <row r="181" spans="1:8" x14ac:dyDescent="0.35">
      <c r="A181" s="80" t="s">
        <v>269</v>
      </c>
      <c r="B181" s="91">
        <v>42</v>
      </c>
      <c r="C181" s="85" t="s">
        <v>269</v>
      </c>
      <c r="D181" s="95" t="str">
        <f t="shared" si="2"/>
        <v>GODREJCP</v>
      </c>
      <c r="F181" s="2" t="s">
        <v>505</v>
      </c>
      <c r="G181" s="2" t="s">
        <v>506</v>
      </c>
      <c r="H181" s="2" t="s">
        <v>4361</v>
      </c>
    </row>
    <row r="182" spans="1:8" x14ac:dyDescent="0.35">
      <c r="A182" s="80" t="s">
        <v>1488</v>
      </c>
      <c r="B182" s="91">
        <v>62</v>
      </c>
      <c r="C182" s="85" t="s">
        <v>1488</v>
      </c>
      <c r="D182" s="95" t="str">
        <f t="shared" si="2"/>
        <v>GOKEX</v>
      </c>
      <c r="F182" s="2" t="s">
        <v>507</v>
      </c>
      <c r="G182" s="2" t="s">
        <v>99</v>
      </c>
      <c r="H182" s="2" t="s">
        <v>4361</v>
      </c>
    </row>
    <row r="183" spans="1:8" x14ac:dyDescent="0.35">
      <c r="A183" s="80" t="s">
        <v>6147</v>
      </c>
      <c r="B183" s="91">
        <v>21</v>
      </c>
      <c r="C183" s="85" t="s">
        <v>1488</v>
      </c>
      <c r="D183" s="95" t="str">
        <f t="shared" si="2"/>
        <v>GOKEX</v>
      </c>
      <c r="F183" s="2" t="s">
        <v>508</v>
      </c>
      <c r="G183" s="2" t="s">
        <v>509</v>
      </c>
      <c r="H183" s="2" t="s">
        <v>4361</v>
      </c>
    </row>
    <row r="184" spans="1:8" x14ac:dyDescent="0.35">
      <c r="A184" s="80" t="s">
        <v>80</v>
      </c>
      <c r="B184" s="91">
        <v>18</v>
      </c>
      <c r="C184" s="85" t="s">
        <v>80</v>
      </c>
      <c r="D184" s="95" t="str">
        <f t="shared" si="2"/>
        <v>GRAPHITE</v>
      </c>
      <c r="F184" s="2" t="s">
        <v>510</v>
      </c>
      <c r="G184" s="2" t="s">
        <v>511</v>
      </c>
      <c r="H184" s="2" t="s">
        <v>4361</v>
      </c>
    </row>
    <row r="185" spans="1:8" x14ac:dyDescent="0.35">
      <c r="A185" s="80" t="s">
        <v>5960</v>
      </c>
      <c r="B185" s="91">
        <v>34</v>
      </c>
      <c r="C185" s="85" t="s">
        <v>259</v>
      </c>
      <c r="D185" s="95" t="str">
        <f t="shared" si="2"/>
        <v>GRASIM</v>
      </c>
      <c r="F185" s="2" t="s">
        <v>512</v>
      </c>
      <c r="G185" s="2" t="s">
        <v>513</v>
      </c>
      <c r="H185" s="2" t="s">
        <v>4361</v>
      </c>
    </row>
    <row r="186" spans="1:8" x14ac:dyDescent="0.35">
      <c r="A186" s="80" t="s">
        <v>1203</v>
      </c>
      <c r="B186" s="91">
        <v>110</v>
      </c>
      <c r="C186" s="85" t="s">
        <v>1203</v>
      </c>
      <c r="D186" s="95" t="str">
        <f t="shared" si="2"/>
        <v>GREENLAM</v>
      </c>
      <c r="F186" s="2" t="s">
        <v>514</v>
      </c>
      <c r="G186" s="2" t="s">
        <v>515</v>
      </c>
      <c r="H186" s="2" t="s">
        <v>4361</v>
      </c>
    </row>
    <row r="187" spans="1:8" x14ac:dyDescent="0.35">
      <c r="A187" s="80" t="s">
        <v>568</v>
      </c>
      <c r="B187" s="91">
        <v>65</v>
      </c>
      <c r="C187" s="85" t="s">
        <v>568</v>
      </c>
      <c r="D187" s="95" t="str">
        <f t="shared" si="2"/>
        <v>GRINDWELL</v>
      </c>
      <c r="F187" s="2" t="s">
        <v>516</v>
      </c>
      <c r="G187" s="2" t="s">
        <v>517</v>
      </c>
      <c r="H187" s="2" t="s">
        <v>4361</v>
      </c>
    </row>
    <row r="188" spans="1:8" x14ac:dyDescent="0.35">
      <c r="A188" s="80" t="s">
        <v>6118</v>
      </c>
      <c r="B188" s="91">
        <v>64</v>
      </c>
      <c r="C188" s="85" t="s">
        <v>568</v>
      </c>
      <c r="D188" s="95" t="str">
        <f t="shared" si="2"/>
        <v>GRINDWELL</v>
      </c>
      <c r="F188" s="2" t="s">
        <v>518</v>
      </c>
      <c r="G188" s="2" t="s">
        <v>68</v>
      </c>
      <c r="H188" s="2" t="s">
        <v>4361</v>
      </c>
    </row>
    <row r="189" spans="1:8" x14ac:dyDescent="0.35">
      <c r="A189" s="80" t="s">
        <v>6043</v>
      </c>
      <c r="B189" s="91">
        <v>58</v>
      </c>
      <c r="C189" s="85" t="s">
        <v>6204</v>
      </c>
      <c r="D189" s="95" t="s">
        <v>462</v>
      </c>
      <c r="F189" s="2" t="s">
        <v>519</v>
      </c>
      <c r="G189" s="2" t="s">
        <v>520</v>
      </c>
      <c r="H189" s="2" t="s">
        <v>4361</v>
      </c>
    </row>
    <row r="190" spans="1:8" x14ac:dyDescent="0.35">
      <c r="A190" s="80" t="s">
        <v>6090</v>
      </c>
      <c r="B190" s="91">
        <v>16</v>
      </c>
      <c r="C190" s="85" t="s">
        <v>463</v>
      </c>
      <c r="D190" s="95" t="str">
        <f t="shared" si="2"/>
        <v>GUJGASLTD</v>
      </c>
      <c r="F190" s="2" t="s">
        <v>521</v>
      </c>
      <c r="G190" s="2" t="s">
        <v>522</v>
      </c>
      <c r="H190" s="2" t="s">
        <v>4361</v>
      </c>
    </row>
    <row r="191" spans="1:8" x14ac:dyDescent="0.35">
      <c r="A191" s="80" t="s">
        <v>5973</v>
      </c>
      <c r="B191" s="91">
        <v>59</v>
      </c>
      <c r="C191" s="85" t="s">
        <v>1009</v>
      </c>
      <c r="D191" s="95" t="str">
        <f t="shared" si="2"/>
        <v>GPPL</v>
      </c>
      <c r="F191" s="2" t="s">
        <v>523</v>
      </c>
      <c r="G191" s="2" t="s">
        <v>90</v>
      </c>
      <c r="H191" s="2" t="s">
        <v>4361</v>
      </c>
    </row>
    <row r="192" spans="1:8" x14ac:dyDescent="0.35">
      <c r="A192" s="80" t="s">
        <v>4482</v>
      </c>
      <c r="B192" s="91">
        <v>65</v>
      </c>
      <c r="C192" s="85" t="s">
        <v>664</v>
      </c>
      <c r="D192" s="95" t="str">
        <f t="shared" si="2"/>
        <v>GSPL</v>
      </c>
      <c r="F192" s="2" t="s">
        <v>524</v>
      </c>
      <c r="G192" s="2" t="s">
        <v>525</v>
      </c>
      <c r="H192" s="2" t="s">
        <v>4361</v>
      </c>
    </row>
    <row r="193" spans="1:8" x14ac:dyDescent="0.35">
      <c r="A193" s="80" t="s">
        <v>1059</v>
      </c>
      <c r="B193" s="91">
        <v>44</v>
      </c>
      <c r="C193" s="85" t="s">
        <v>6205</v>
      </c>
      <c r="D193" s="95" t="s">
        <v>1058</v>
      </c>
      <c r="F193" s="2" t="s">
        <v>526</v>
      </c>
      <c r="G193" s="2" t="s">
        <v>527</v>
      </c>
      <c r="H193" s="2" t="s">
        <v>4361</v>
      </c>
    </row>
    <row r="194" spans="1:8" x14ac:dyDescent="0.35">
      <c r="A194" s="80" t="s">
        <v>739</v>
      </c>
      <c r="B194" s="91">
        <v>74</v>
      </c>
      <c r="C194" s="85" t="s">
        <v>739</v>
      </c>
      <c r="D194" s="95" t="str">
        <f t="shared" si="2"/>
        <v>HAPPSTMNDS</v>
      </c>
      <c r="F194" s="2" t="s">
        <v>528</v>
      </c>
      <c r="G194" s="2" t="s">
        <v>529</v>
      </c>
      <c r="H194" s="2" t="s">
        <v>4361</v>
      </c>
    </row>
    <row r="195" spans="1:8" x14ac:dyDescent="0.35">
      <c r="A195" s="80" t="s">
        <v>1322</v>
      </c>
      <c r="B195" s="91">
        <v>71</v>
      </c>
      <c r="C195" s="85" t="s">
        <v>1322</v>
      </c>
      <c r="D195" s="95" t="str">
        <f t="shared" si="2"/>
        <v>HARSHA</v>
      </c>
      <c r="F195" s="2" t="s">
        <v>530</v>
      </c>
      <c r="G195" s="2" t="s">
        <v>531</v>
      </c>
      <c r="H195" s="2" t="s">
        <v>4361</v>
      </c>
    </row>
    <row r="196" spans="1:8" x14ac:dyDescent="0.35">
      <c r="A196" s="80" t="s">
        <v>6044</v>
      </c>
      <c r="B196" s="91">
        <v>60</v>
      </c>
      <c r="C196" s="85" t="s">
        <v>6180</v>
      </c>
      <c r="D196" s="95" t="s">
        <v>6234</v>
      </c>
      <c r="F196" s="2" t="s">
        <v>532</v>
      </c>
      <c r="G196" s="2" t="s">
        <v>533</v>
      </c>
      <c r="H196" s="2" t="s">
        <v>4361</v>
      </c>
    </row>
    <row r="197" spans="1:8" x14ac:dyDescent="0.35">
      <c r="A197" s="80" t="s">
        <v>206</v>
      </c>
      <c r="B197" s="91">
        <v>9</v>
      </c>
      <c r="C197" s="85" t="s">
        <v>206</v>
      </c>
      <c r="D197" s="95" t="str">
        <f t="shared" si="2"/>
        <v>HCLTECH</v>
      </c>
      <c r="F197" s="2" t="s">
        <v>534</v>
      </c>
      <c r="G197" s="2" t="s">
        <v>71</v>
      </c>
      <c r="H197" s="2" t="s">
        <v>4361</v>
      </c>
    </row>
    <row r="198" spans="1:8" x14ac:dyDescent="0.35">
      <c r="A198" s="80" t="s">
        <v>5929</v>
      </c>
      <c r="B198" s="91">
        <v>20</v>
      </c>
      <c r="C198" s="85" t="s">
        <v>206</v>
      </c>
      <c r="D198" s="95" t="str">
        <f t="shared" si="2"/>
        <v>HCLTECH</v>
      </c>
      <c r="F198" s="2" t="s">
        <v>535</v>
      </c>
      <c r="G198" s="2" t="s">
        <v>536</v>
      </c>
      <c r="H198" s="2" t="s">
        <v>4361</v>
      </c>
    </row>
    <row r="199" spans="1:8" x14ac:dyDescent="0.35">
      <c r="A199" s="80" t="s">
        <v>5953</v>
      </c>
      <c r="B199" s="91">
        <v>15</v>
      </c>
      <c r="C199" s="85" t="s">
        <v>206</v>
      </c>
      <c r="D199" s="95" t="str">
        <f t="shared" si="2"/>
        <v>HCLTECH</v>
      </c>
      <c r="F199" s="2" t="s">
        <v>537</v>
      </c>
      <c r="G199" s="2" t="s">
        <v>538</v>
      </c>
      <c r="H199" s="2" t="s">
        <v>4361</v>
      </c>
    </row>
    <row r="200" spans="1:8" x14ac:dyDescent="0.35">
      <c r="A200" s="80" t="s">
        <v>6154</v>
      </c>
      <c r="B200" s="91">
        <v>40</v>
      </c>
      <c r="C200" s="85" t="s">
        <v>6206</v>
      </c>
      <c r="D200" s="95" t="s">
        <v>415</v>
      </c>
      <c r="F200" s="2" t="s">
        <v>539</v>
      </c>
      <c r="G200" s="2" t="s">
        <v>540</v>
      </c>
      <c r="H200" s="2" t="s">
        <v>4361</v>
      </c>
    </row>
    <row r="201" spans="1:8" x14ac:dyDescent="0.35">
      <c r="A201" s="80" t="s">
        <v>4406</v>
      </c>
      <c r="B201" s="91">
        <v>27</v>
      </c>
      <c r="C201" s="85" t="s">
        <v>416</v>
      </c>
      <c r="D201" s="95" t="str">
        <f t="shared" ref="D201:D263" si="3">IFERROR(INDEX($F$6:$G$1048576,MATCH($C201,$G$6:$G$1048576,0),MATCH($D$6,$F$6:$G$6,0)),"")</f>
        <v>HDFCAMC</v>
      </c>
      <c r="F201" s="2" t="s">
        <v>541</v>
      </c>
      <c r="G201" s="2" t="s">
        <v>542</v>
      </c>
      <c r="H201" s="2" t="s">
        <v>4361</v>
      </c>
    </row>
    <row r="202" spans="1:8" x14ac:dyDescent="0.35">
      <c r="A202" s="80" t="s">
        <v>61</v>
      </c>
      <c r="B202" s="91">
        <v>12</v>
      </c>
      <c r="C202" s="85" t="s">
        <v>61</v>
      </c>
      <c r="D202" s="95" t="str">
        <f t="shared" si="3"/>
        <v>HDFCBANK</v>
      </c>
      <c r="F202" s="2" t="s">
        <v>543</v>
      </c>
      <c r="G202" s="2" t="s">
        <v>544</v>
      </c>
      <c r="H202" s="2" t="s">
        <v>4361</v>
      </c>
    </row>
    <row r="203" spans="1:8" x14ac:dyDescent="0.35">
      <c r="A203" s="80" t="s">
        <v>5949</v>
      </c>
      <c r="B203" s="91">
        <v>37</v>
      </c>
      <c r="C203" s="85" t="s">
        <v>61</v>
      </c>
      <c r="D203" s="95" t="str">
        <f t="shared" si="3"/>
        <v>HDFCBANK</v>
      </c>
      <c r="F203" s="2" t="s">
        <v>545</v>
      </c>
      <c r="G203" s="2" t="s">
        <v>546</v>
      </c>
      <c r="H203" s="2" t="s">
        <v>4361</v>
      </c>
    </row>
    <row r="204" spans="1:8" x14ac:dyDescent="0.35">
      <c r="A204" s="80" t="s">
        <v>263</v>
      </c>
      <c r="B204" s="91">
        <v>97</v>
      </c>
      <c r="C204" s="85" t="s">
        <v>263</v>
      </c>
      <c r="D204" s="95" t="str">
        <f t="shared" si="3"/>
        <v>HDFCLIFE</v>
      </c>
      <c r="F204" s="2" t="s">
        <v>547</v>
      </c>
      <c r="G204" s="2" t="s">
        <v>548</v>
      </c>
      <c r="H204" s="2" t="s">
        <v>4361</v>
      </c>
    </row>
    <row r="205" spans="1:8" x14ac:dyDescent="0.35">
      <c r="A205" s="80" t="s">
        <v>1239</v>
      </c>
      <c r="B205" s="91">
        <v>44</v>
      </c>
      <c r="C205" s="85" t="s">
        <v>1239</v>
      </c>
      <c r="D205" s="95" t="str">
        <f t="shared" si="3"/>
        <v>HEIDELBERG</v>
      </c>
      <c r="F205" s="2" t="s">
        <v>549</v>
      </c>
      <c r="G205" s="2" t="s">
        <v>550</v>
      </c>
      <c r="H205" s="2" t="s">
        <v>4361</v>
      </c>
    </row>
    <row r="206" spans="1:8" x14ac:dyDescent="0.35">
      <c r="A206" s="80" t="s">
        <v>6065</v>
      </c>
      <c r="B206" s="91">
        <v>66</v>
      </c>
      <c r="C206" s="85" t="s">
        <v>6181</v>
      </c>
      <c r="D206" s="95" t="str">
        <f t="shared" si="3"/>
        <v>HERITGFOOD</v>
      </c>
      <c r="F206" s="2" t="s">
        <v>551</v>
      </c>
      <c r="G206" s="2" t="s">
        <v>552</v>
      </c>
      <c r="H206" s="2" t="s">
        <v>4361</v>
      </c>
    </row>
    <row r="207" spans="1:8" x14ac:dyDescent="0.35">
      <c r="A207" s="80" t="s">
        <v>4396</v>
      </c>
      <c r="B207" s="91">
        <v>11</v>
      </c>
      <c r="C207" s="85" t="s">
        <v>4533</v>
      </c>
      <c r="D207" s="95" t="str">
        <f t="shared" si="3"/>
        <v>HEROMOTOCO</v>
      </c>
      <c r="F207" s="2" t="s">
        <v>553</v>
      </c>
      <c r="G207" s="2" t="s">
        <v>554</v>
      </c>
      <c r="H207" s="2" t="s">
        <v>4361</v>
      </c>
    </row>
    <row r="208" spans="1:8" x14ac:dyDescent="0.35">
      <c r="A208" s="80" t="s">
        <v>155</v>
      </c>
      <c r="B208" s="91">
        <v>53</v>
      </c>
      <c r="C208" s="85" t="s">
        <v>155</v>
      </c>
      <c r="D208" s="95" t="str">
        <f t="shared" si="3"/>
        <v>HSCL</v>
      </c>
      <c r="F208" s="2" t="s">
        <v>555</v>
      </c>
      <c r="G208" s="2" t="s">
        <v>556</v>
      </c>
      <c r="H208" s="2" t="s">
        <v>4361</v>
      </c>
    </row>
    <row r="209" spans="1:8" x14ac:dyDescent="0.35">
      <c r="A209" s="80" t="s">
        <v>5948</v>
      </c>
      <c r="B209" s="91">
        <v>42</v>
      </c>
      <c r="C209" s="85" t="s">
        <v>97</v>
      </c>
      <c r="D209" s="95" t="str">
        <f t="shared" si="3"/>
        <v>HINDALCO</v>
      </c>
      <c r="F209" s="2" t="s">
        <v>557</v>
      </c>
      <c r="G209" s="2" t="s">
        <v>558</v>
      </c>
      <c r="H209" s="2" t="s">
        <v>4361</v>
      </c>
    </row>
    <row r="210" spans="1:8" x14ac:dyDescent="0.35">
      <c r="A210" s="80" t="s">
        <v>277</v>
      </c>
      <c r="B210" s="91">
        <v>47</v>
      </c>
      <c r="C210" s="86" t="s">
        <v>277</v>
      </c>
      <c r="D210" s="95" t="str">
        <f t="shared" si="3"/>
        <v>HAL</v>
      </c>
      <c r="F210" s="2" t="s">
        <v>559</v>
      </c>
      <c r="G210" s="2" t="s">
        <v>560</v>
      </c>
      <c r="H210" s="2" t="s">
        <v>4361</v>
      </c>
    </row>
    <row r="211" spans="1:8" x14ac:dyDescent="0.35">
      <c r="A211" s="80" t="s">
        <v>4410</v>
      </c>
      <c r="B211" s="91">
        <v>42</v>
      </c>
      <c r="C211" s="67" t="s">
        <v>277</v>
      </c>
      <c r="D211" s="95" t="str">
        <f t="shared" si="3"/>
        <v>HAL</v>
      </c>
      <c r="F211" s="2" t="s">
        <v>561</v>
      </c>
      <c r="G211" s="2" t="s">
        <v>562</v>
      </c>
      <c r="H211" s="2" t="s">
        <v>4361</v>
      </c>
    </row>
    <row r="212" spans="1:8" x14ac:dyDescent="0.35">
      <c r="A212" s="80" t="s">
        <v>6066</v>
      </c>
      <c r="B212" s="91">
        <v>71</v>
      </c>
      <c r="C212" s="67" t="s">
        <v>6207</v>
      </c>
      <c r="D212" s="95" t="s">
        <v>1695</v>
      </c>
      <c r="F212" s="2" t="s">
        <v>563</v>
      </c>
      <c r="G212" s="2" t="s">
        <v>564</v>
      </c>
      <c r="H212" s="2" t="s">
        <v>4361</v>
      </c>
    </row>
    <row r="213" spans="1:8" x14ac:dyDescent="0.35">
      <c r="A213" s="80" t="s">
        <v>4414</v>
      </c>
      <c r="B213" s="91">
        <v>50</v>
      </c>
      <c r="C213" s="67" t="s">
        <v>451</v>
      </c>
      <c r="D213" s="95" t="str">
        <f t="shared" si="3"/>
        <v>HINDPETRO</v>
      </c>
      <c r="F213" s="2" t="s">
        <v>565</v>
      </c>
      <c r="G213" s="2" t="s">
        <v>566</v>
      </c>
      <c r="H213" s="2" t="s">
        <v>4361</v>
      </c>
    </row>
    <row r="214" spans="1:8" x14ac:dyDescent="0.35">
      <c r="A214" s="80" t="s">
        <v>192</v>
      </c>
      <c r="B214" s="91">
        <v>24</v>
      </c>
      <c r="C214" s="67" t="s">
        <v>192</v>
      </c>
      <c r="D214" s="95" t="str">
        <f t="shared" si="3"/>
        <v>HINDUNILVR</v>
      </c>
      <c r="F214" s="2" t="s">
        <v>567</v>
      </c>
      <c r="G214" s="2" t="s">
        <v>568</v>
      </c>
      <c r="H214" s="2" t="s">
        <v>4361</v>
      </c>
    </row>
    <row r="215" spans="1:8" x14ac:dyDescent="0.35">
      <c r="A215" s="80" t="s">
        <v>167</v>
      </c>
      <c r="B215" s="91">
        <v>68</v>
      </c>
      <c r="C215" s="67" t="s">
        <v>167</v>
      </c>
      <c r="D215" s="95" t="str">
        <f t="shared" si="3"/>
        <v>HITECH</v>
      </c>
      <c r="F215" s="2" t="s">
        <v>569</v>
      </c>
      <c r="G215" s="2" t="s">
        <v>570</v>
      </c>
      <c r="H215" s="2" t="s">
        <v>4361</v>
      </c>
    </row>
    <row r="216" spans="1:8" x14ac:dyDescent="0.35">
      <c r="A216" s="80" t="s">
        <v>91</v>
      </c>
      <c r="B216" s="91">
        <v>73</v>
      </c>
      <c r="C216" s="67" t="s">
        <v>91</v>
      </c>
      <c r="D216" s="95" t="str">
        <f t="shared" si="3"/>
        <v>HONDAPOWER</v>
      </c>
      <c r="F216" s="2" t="s">
        <v>571</v>
      </c>
      <c r="G216" s="2" t="s">
        <v>572</v>
      </c>
      <c r="H216" s="2" t="s">
        <v>4361</v>
      </c>
    </row>
    <row r="217" spans="1:8" x14ac:dyDescent="0.35">
      <c r="A217" s="80" t="s">
        <v>459</v>
      </c>
      <c r="B217" s="91">
        <v>105</v>
      </c>
      <c r="C217" s="67" t="s">
        <v>459</v>
      </c>
      <c r="D217" s="95" t="str">
        <f t="shared" si="3"/>
        <v>HONAUT</v>
      </c>
      <c r="F217" s="2" t="s">
        <v>573</v>
      </c>
      <c r="G217" s="2" t="s">
        <v>574</v>
      </c>
      <c r="H217" s="2" t="s">
        <v>4361</v>
      </c>
    </row>
    <row r="218" spans="1:8" x14ac:dyDescent="0.35">
      <c r="A218" s="80" t="s">
        <v>6045</v>
      </c>
      <c r="B218" s="91">
        <v>62</v>
      </c>
      <c r="C218" s="67" t="s">
        <v>459</v>
      </c>
      <c r="D218" s="95" t="str">
        <f t="shared" si="3"/>
        <v>HONAUT</v>
      </c>
      <c r="F218" s="2" t="s">
        <v>575</v>
      </c>
      <c r="G218" s="2" t="s">
        <v>576</v>
      </c>
      <c r="H218" s="2" t="s">
        <v>4361</v>
      </c>
    </row>
    <row r="219" spans="1:8" x14ac:dyDescent="0.35">
      <c r="A219" s="80" t="s">
        <v>5916</v>
      </c>
      <c r="B219" s="91">
        <v>2</v>
      </c>
      <c r="C219" s="67" t="s">
        <v>190</v>
      </c>
      <c r="D219" s="95" t="str">
        <f t="shared" si="3"/>
        <v>ICICIBANK</v>
      </c>
      <c r="F219" s="2" t="s">
        <v>577</v>
      </c>
      <c r="G219" s="2" t="s">
        <v>578</v>
      </c>
      <c r="H219" s="2" t="s">
        <v>4361</v>
      </c>
    </row>
    <row r="220" spans="1:8" x14ac:dyDescent="0.35">
      <c r="A220" s="80" t="s">
        <v>4387</v>
      </c>
      <c r="B220" s="91">
        <v>26</v>
      </c>
      <c r="C220" s="67" t="s">
        <v>190</v>
      </c>
      <c r="D220" s="95" t="str">
        <f t="shared" si="3"/>
        <v>ICICIBANK</v>
      </c>
      <c r="F220" s="2" t="s">
        <v>579</v>
      </c>
      <c r="G220" s="2" t="s">
        <v>580</v>
      </c>
      <c r="H220" s="2" t="s">
        <v>4361</v>
      </c>
    </row>
    <row r="221" spans="1:8" x14ac:dyDescent="0.35">
      <c r="A221" s="80" t="s">
        <v>337</v>
      </c>
      <c r="B221" s="91">
        <v>52</v>
      </c>
      <c r="C221" s="67" t="s">
        <v>337</v>
      </c>
      <c r="D221" s="95" t="str">
        <f t="shared" si="3"/>
        <v>ICICIGI</v>
      </c>
      <c r="F221" s="2" t="s">
        <v>581</v>
      </c>
      <c r="G221" s="2" t="s">
        <v>582</v>
      </c>
      <c r="H221" s="2" t="s">
        <v>4361</v>
      </c>
    </row>
    <row r="222" spans="1:8" x14ac:dyDescent="0.35">
      <c r="A222" s="80" t="s">
        <v>5964</v>
      </c>
      <c r="B222" s="91">
        <v>41</v>
      </c>
      <c r="C222" s="67" t="s">
        <v>337</v>
      </c>
      <c r="D222" s="95" t="str">
        <f t="shared" si="3"/>
        <v>ICICIGI</v>
      </c>
      <c r="F222" s="2" t="s">
        <v>583</v>
      </c>
      <c r="G222" s="2" t="s">
        <v>584</v>
      </c>
      <c r="H222" s="2" t="s">
        <v>4361</v>
      </c>
    </row>
    <row r="223" spans="1:8" x14ac:dyDescent="0.35">
      <c r="A223" s="80" t="s">
        <v>317</v>
      </c>
      <c r="B223" s="91">
        <v>155</v>
      </c>
      <c r="C223" s="67" t="s">
        <v>317</v>
      </c>
      <c r="D223" s="95" t="str">
        <f t="shared" si="3"/>
        <v>ICICIPRULI</v>
      </c>
      <c r="F223" s="2" t="s">
        <v>585</v>
      </c>
      <c r="G223" s="2" t="s">
        <v>586</v>
      </c>
      <c r="H223" s="2" t="s">
        <v>4362</v>
      </c>
    </row>
    <row r="224" spans="1:8" x14ac:dyDescent="0.35">
      <c r="A224" s="80" t="s">
        <v>5954</v>
      </c>
      <c r="B224" s="91">
        <v>19</v>
      </c>
      <c r="C224" s="67" t="s">
        <v>317</v>
      </c>
      <c r="D224" s="95" t="str">
        <f t="shared" si="3"/>
        <v>ICICIPRULI</v>
      </c>
      <c r="F224" s="2" t="s">
        <v>587</v>
      </c>
      <c r="G224" s="2" t="s">
        <v>588</v>
      </c>
      <c r="H224" s="2" t="s">
        <v>4362</v>
      </c>
    </row>
    <row r="225" spans="1:8" x14ac:dyDescent="0.35">
      <c r="A225" s="80" t="s">
        <v>686</v>
      </c>
      <c r="B225" s="91">
        <v>74</v>
      </c>
      <c r="C225" s="67" t="s">
        <v>686</v>
      </c>
      <c r="D225" s="95" t="str">
        <f t="shared" si="3"/>
        <v>ISEC</v>
      </c>
      <c r="F225" s="2" t="s">
        <v>589</v>
      </c>
      <c r="G225" s="2" t="s">
        <v>590</v>
      </c>
      <c r="H225" s="2" t="s">
        <v>4362</v>
      </c>
    </row>
    <row r="226" spans="1:8" x14ac:dyDescent="0.35">
      <c r="A226" s="80" t="s">
        <v>255</v>
      </c>
      <c r="B226" s="91">
        <v>56</v>
      </c>
      <c r="C226" s="67" t="s">
        <v>255</v>
      </c>
      <c r="D226" s="95" t="str">
        <f t="shared" si="3"/>
        <v>IOC</v>
      </c>
      <c r="F226" s="2" t="s">
        <v>591</v>
      </c>
      <c r="G226" s="2" t="s">
        <v>592</v>
      </c>
      <c r="H226" s="2" t="s">
        <v>4362</v>
      </c>
    </row>
    <row r="227" spans="1:8" x14ac:dyDescent="0.35">
      <c r="A227" s="80" t="s">
        <v>6166</v>
      </c>
      <c r="B227" s="91">
        <v>61</v>
      </c>
      <c r="C227" s="67" t="s">
        <v>1098</v>
      </c>
      <c r="D227" s="95" t="str">
        <f t="shared" si="3"/>
        <v>INDIGOPNTS</v>
      </c>
      <c r="F227" s="2" t="s">
        <v>593</v>
      </c>
      <c r="G227" s="2" t="s">
        <v>594</v>
      </c>
      <c r="H227" s="2" t="s">
        <v>4362</v>
      </c>
    </row>
    <row r="228" spans="1:8" x14ac:dyDescent="0.35">
      <c r="A228" s="80" t="s">
        <v>1328</v>
      </c>
      <c r="B228" s="91">
        <v>132</v>
      </c>
      <c r="C228" s="67" t="s">
        <v>1328</v>
      </c>
      <c r="D228" s="95" t="str">
        <f t="shared" si="3"/>
        <v>INDOCO</v>
      </c>
      <c r="F228" s="2" t="s">
        <v>595</v>
      </c>
      <c r="G228" s="2" t="s">
        <v>596</v>
      </c>
      <c r="H228" s="2" t="s">
        <v>4362</v>
      </c>
    </row>
    <row r="229" spans="1:8" x14ac:dyDescent="0.35">
      <c r="A229" s="80" t="s">
        <v>6009</v>
      </c>
      <c r="B229" s="91">
        <v>48</v>
      </c>
      <c r="C229" s="67" t="s">
        <v>1328</v>
      </c>
      <c r="D229" s="95" t="str">
        <f t="shared" si="3"/>
        <v>INDOCO</v>
      </c>
      <c r="F229" s="2" t="s">
        <v>597</v>
      </c>
      <c r="G229" s="2" t="s">
        <v>598</v>
      </c>
      <c r="H229" s="2" t="s">
        <v>4362</v>
      </c>
    </row>
    <row r="230" spans="1:8" x14ac:dyDescent="0.35">
      <c r="A230" s="80" t="s">
        <v>478</v>
      </c>
      <c r="B230" s="91">
        <v>51</v>
      </c>
      <c r="C230" s="67" t="s">
        <v>478</v>
      </c>
      <c r="D230" s="95" t="str">
        <f t="shared" si="3"/>
        <v>IGL</v>
      </c>
      <c r="F230" s="2" t="s">
        <v>599</v>
      </c>
      <c r="G230" s="2" t="s">
        <v>600</v>
      </c>
      <c r="H230" s="2" t="s">
        <v>4362</v>
      </c>
    </row>
    <row r="231" spans="1:8" x14ac:dyDescent="0.35">
      <c r="A231" s="80" t="s">
        <v>6086</v>
      </c>
      <c r="B231" s="91">
        <v>9</v>
      </c>
      <c r="C231" s="67" t="s">
        <v>478</v>
      </c>
      <c r="D231" s="95" t="str">
        <f t="shared" si="3"/>
        <v>IGL</v>
      </c>
      <c r="F231" s="2" t="s">
        <v>601</v>
      </c>
      <c r="G231" s="2" t="s">
        <v>602</v>
      </c>
      <c r="H231" s="2" t="s">
        <v>4362</v>
      </c>
    </row>
    <row r="232" spans="1:8" x14ac:dyDescent="0.35">
      <c r="A232" s="80" t="s">
        <v>284</v>
      </c>
      <c r="B232" s="91">
        <v>44</v>
      </c>
      <c r="C232" s="67" t="s">
        <v>284</v>
      </c>
      <c r="D232" s="95" t="str">
        <f t="shared" si="3"/>
        <v>INDUSINDBK</v>
      </c>
      <c r="F232" s="2" t="s">
        <v>603</v>
      </c>
      <c r="G232" s="2" t="s">
        <v>604</v>
      </c>
      <c r="H232" s="2" t="s">
        <v>4362</v>
      </c>
    </row>
    <row r="233" spans="1:8" x14ac:dyDescent="0.35">
      <c r="A233" s="80" t="s">
        <v>6164</v>
      </c>
      <c r="B233" s="91">
        <v>58</v>
      </c>
      <c r="C233" s="67" t="s">
        <v>353</v>
      </c>
      <c r="D233" s="95" t="str">
        <f t="shared" si="3"/>
        <v>NAUKRI</v>
      </c>
      <c r="F233" s="2" t="s">
        <v>605</v>
      </c>
      <c r="G233" s="2" t="s">
        <v>606</v>
      </c>
      <c r="H233" s="2" t="s">
        <v>4362</v>
      </c>
    </row>
    <row r="234" spans="1:8" x14ac:dyDescent="0.35">
      <c r="A234" s="80" t="s">
        <v>5918</v>
      </c>
      <c r="B234" s="91">
        <v>4</v>
      </c>
      <c r="C234" s="67" t="s">
        <v>115</v>
      </c>
      <c r="D234" s="95" t="str">
        <f t="shared" si="3"/>
        <v>INFY</v>
      </c>
      <c r="F234" s="2" t="s">
        <v>607</v>
      </c>
      <c r="G234" s="2" t="s">
        <v>608</v>
      </c>
      <c r="H234" s="2" t="s">
        <v>4362</v>
      </c>
    </row>
    <row r="235" spans="1:8" x14ac:dyDescent="0.35">
      <c r="A235" s="80" t="s">
        <v>297</v>
      </c>
      <c r="B235" s="91">
        <v>23</v>
      </c>
      <c r="C235" s="67" t="s">
        <v>297</v>
      </c>
      <c r="D235" s="95" t="str">
        <f t="shared" si="3"/>
        <v>INDIGO</v>
      </c>
      <c r="F235" s="2" t="s">
        <v>609</v>
      </c>
      <c r="G235" s="2" t="s">
        <v>610</v>
      </c>
      <c r="H235" s="2" t="s">
        <v>4362</v>
      </c>
    </row>
    <row r="236" spans="1:8" x14ac:dyDescent="0.35">
      <c r="A236" s="80" t="s">
        <v>5936</v>
      </c>
      <c r="B236" s="91">
        <v>29</v>
      </c>
      <c r="C236" s="67" t="s">
        <v>4534</v>
      </c>
      <c r="D236" s="95" t="str">
        <f t="shared" si="3"/>
        <v>INDIGO</v>
      </c>
      <c r="F236" s="2" t="s">
        <v>611</v>
      </c>
      <c r="G236" s="2" t="s">
        <v>612</v>
      </c>
      <c r="H236" s="2" t="s">
        <v>4362</v>
      </c>
    </row>
    <row r="237" spans="1:8" x14ac:dyDescent="0.35">
      <c r="A237" s="80" t="s">
        <v>4412</v>
      </c>
      <c r="B237" s="91">
        <v>46</v>
      </c>
      <c r="C237" s="67" t="s">
        <v>4534</v>
      </c>
      <c r="D237" s="95" t="str">
        <f t="shared" si="3"/>
        <v>INDIGO</v>
      </c>
      <c r="F237" s="2" t="s">
        <v>613</v>
      </c>
      <c r="G237" s="2" t="s">
        <v>614</v>
      </c>
      <c r="H237" s="2" t="s">
        <v>4362</v>
      </c>
    </row>
    <row r="238" spans="1:8" x14ac:dyDescent="0.35">
      <c r="A238" s="80" t="s">
        <v>1068</v>
      </c>
      <c r="B238" s="91">
        <v>17</v>
      </c>
      <c r="C238" s="67" t="s">
        <v>1068</v>
      </c>
      <c r="D238" s="95" t="str">
        <f t="shared" si="3"/>
        <v>IONEXCHANG</v>
      </c>
      <c r="F238" s="2" t="s">
        <v>615</v>
      </c>
      <c r="G238" s="2" t="s">
        <v>616</v>
      </c>
      <c r="H238" s="2" t="s">
        <v>4362</v>
      </c>
    </row>
    <row r="239" spans="1:8" x14ac:dyDescent="0.35">
      <c r="A239" s="80" t="s">
        <v>572</v>
      </c>
      <c r="B239" s="91">
        <v>53</v>
      </c>
      <c r="C239" s="67" t="s">
        <v>572</v>
      </c>
      <c r="D239" s="95" t="str">
        <f t="shared" si="3"/>
        <v>IPCALAB</v>
      </c>
      <c r="F239" s="2" t="s">
        <v>617</v>
      </c>
      <c r="G239" s="2" t="s">
        <v>618</v>
      </c>
      <c r="H239" s="2" t="s">
        <v>4362</v>
      </c>
    </row>
    <row r="240" spans="1:8" x14ac:dyDescent="0.35">
      <c r="A240" s="80" t="s">
        <v>6021</v>
      </c>
      <c r="B240" s="91">
        <v>18</v>
      </c>
      <c r="C240" s="67" t="s">
        <v>572</v>
      </c>
      <c r="D240" s="95" t="str">
        <f t="shared" si="3"/>
        <v>IPCALAB</v>
      </c>
      <c r="F240" s="2" t="s">
        <v>619</v>
      </c>
      <c r="G240" s="2" t="s">
        <v>620</v>
      </c>
      <c r="H240" s="2" t="s">
        <v>4362</v>
      </c>
    </row>
    <row r="241" spans="1:8" x14ac:dyDescent="0.35">
      <c r="A241" s="80" t="s">
        <v>69</v>
      </c>
      <c r="B241" s="91">
        <v>10</v>
      </c>
      <c r="C241" s="67" t="s">
        <v>69</v>
      </c>
      <c r="D241" s="95" t="str">
        <f t="shared" si="3"/>
        <v>IRB</v>
      </c>
      <c r="F241" s="2" t="s">
        <v>621</v>
      </c>
      <c r="G241" s="2" t="s">
        <v>622</v>
      </c>
      <c r="H241" s="2" t="s">
        <v>4362</v>
      </c>
    </row>
    <row r="242" spans="1:8" x14ac:dyDescent="0.35">
      <c r="A242" s="80" t="s">
        <v>6076</v>
      </c>
      <c r="B242" s="91">
        <v>64</v>
      </c>
      <c r="C242" s="67" t="s">
        <v>6076</v>
      </c>
      <c r="D242" s="95" t="s">
        <v>1295</v>
      </c>
      <c r="F242" s="2" t="s">
        <v>623</v>
      </c>
      <c r="G242" s="2" t="s">
        <v>624</v>
      </c>
      <c r="H242" s="2" t="s">
        <v>4362</v>
      </c>
    </row>
    <row r="243" spans="1:8" x14ac:dyDescent="0.35">
      <c r="A243" s="80" t="s">
        <v>100</v>
      </c>
      <c r="B243" s="91">
        <v>6</v>
      </c>
      <c r="C243" s="67" t="s">
        <v>100</v>
      </c>
      <c r="D243" s="95" t="str">
        <f t="shared" si="3"/>
        <v>ITC</v>
      </c>
      <c r="F243" s="2" t="s">
        <v>625</v>
      </c>
      <c r="G243" s="2" t="s">
        <v>626</v>
      </c>
      <c r="H243" s="2" t="s">
        <v>4362</v>
      </c>
    </row>
    <row r="244" spans="1:8" x14ac:dyDescent="0.35">
      <c r="A244" s="80" t="s">
        <v>5920</v>
      </c>
      <c r="B244" s="91">
        <v>6</v>
      </c>
      <c r="C244" s="67" t="s">
        <v>100</v>
      </c>
      <c r="D244" s="95" t="str">
        <f t="shared" si="3"/>
        <v>ITC</v>
      </c>
      <c r="F244" s="2" t="s">
        <v>627</v>
      </c>
      <c r="G244" s="2" t="s">
        <v>628</v>
      </c>
      <c r="H244" s="2" t="s">
        <v>4362</v>
      </c>
    </row>
    <row r="245" spans="1:8" x14ac:dyDescent="0.35">
      <c r="A245" s="80" t="s">
        <v>5950</v>
      </c>
      <c r="B245" s="91">
        <v>10</v>
      </c>
      <c r="C245" s="67" t="s">
        <v>100</v>
      </c>
      <c r="D245" s="95" t="str">
        <f t="shared" si="3"/>
        <v>ITC</v>
      </c>
      <c r="F245" s="2" t="s">
        <v>629</v>
      </c>
      <c r="G245" s="2" t="s">
        <v>67</v>
      </c>
      <c r="H245" s="2" t="s">
        <v>4362</v>
      </c>
    </row>
    <row r="246" spans="1:8" x14ac:dyDescent="0.35">
      <c r="A246" s="80" t="s">
        <v>1183</v>
      </c>
      <c r="B246" s="91">
        <v>58</v>
      </c>
      <c r="C246" s="67" t="s">
        <v>1183</v>
      </c>
      <c r="D246" s="95" t="str">
        <f t="shared" si="3"/>
        <v>JAMNAAUTO</v>
      </c>
      <c r="F246" s="2" t="s">
        <v>630</v>
      </c>
      <c r="G246" s="2" t="s">
        <v>631</v>
      </c>
      <c r="H246" s="2" t="s">
        <v>4362</v>
      </c>
    </row>
    <row r="247" spans="1:8" x14ac:dyDescent="0.35">
      <c r="A247" s="80" t="s">
        <v>5992</v>
      </c>
      <c r="B247" s="91">
        <v>20</v>
      </c>
      <c r="C247" s="67" t="s">
        <v>1183</v>
      </c>
      <c r="D247" s="95" t="str">
        <f t="shared" si="3"/>
        <v>JAMNAAUTO</v>
      </c>
      <c r="F247" s="2" t="s">
        <v>632</v>
      </c>
      <c r="G247" s="2" t="s">
        <v>633</v>
      </c>
      <c r="H247" s="2" t="s">
        <v>4362</v>
      </c>
    </row>
    <row r="248" spans="1:8" x14ac:dyDescent="0.35">
      <c r="A248" s="80" t="s">
        <v>149</v>
      </c>
      <c r="B248" s="91">
        <v>37</v>
      </c>
      <c r="C248" s="67" t="s">
        <v>149</v>
      </c>
      <c r="D248" s="95" t="str">
        <f t="shared" si="3"/>
        <v>JASH</v>
      </c>
      <c r="F248" s="2" t="s">
        <v>634</v>
      </c>
      <c r="G248" s="2" t="s">
        <v>635</v>
      </c>
      <c r="H248" s="2" t="s">
        <v>4362</v>
      </c>
    </row>
    <row r="249" spans="1:8" x14ac:dyDescent="0.35">
      <c r="A249" s="80" t="s">
        <v>655</v>
      </c>
      <c r="B249" s="91">
        <v>103</v>
      </c>
      <c r="C249" s="67" t="s">
        <v>655</v>
      </c>
      <c r="D249" s="95" t="str">
        <f t="shared" si="3"/>
        <v>JBCHEPHARM</v>
      </c>
      <c r="F249" s="2" t="s">
        <v>636</v>
      </c>
      <c r="G249" s="2" t="s">
        <v>637</v>
      </c>
      <c r="H249" s="2" t="s">
        <v>4362</v>
      </c>
    </row>
    <row r="250" spans="1:8" x14ac:dyDescent="0.35">
      <c r="A250" s="80" t="s">
        <v>138</v>
      </c>
      <c r="B250" s="91">
        <v>7</v>
      </c>
      <c r="C250" s="67" t="s">
        <v>138</v>
      </c>
      <c r="D250" s="95" t="str">
        <f t="shared" si="3"/>
        <v>JSL</v>
      </c>
      <c r="F250" s="2" t="s">
        <v>638</v>
      </c>
      <c r="G250" s="2" t="s">
        <v>639</v>
      </c>
      <c r="H250" s="2" t="s">
        <v>4362</v>
      </c>
    </row>
    <row r="251" spans="1:8" x14ac:dyDescent="0.35">
      <c r="A251" s="80" t="s">
        <v>330</v>
      </c>
      <c r="B251" s="91">
        <v>59</v>
      </c>
      <c r="C251" s="67" t="s">
        <v>330</v>
      </c>
      <c r="D251" s="95" t="str">
        <f t="shared" si="3"/>
        <v>JINDALSTEL</v>
      </c>
      <c r="F251" s="2" t="s">
        <v>640</v>
      </c>
      <c r="G251" s="2" t="s">
        <v>641</v>
      </c>
      <c r="H251" s="2" t="s">
        <v>4362</v>
      </c>
    </row>
    <row r="252" spans="1:8" x14ac:dyDescent="0.35">
      <c r="A252" s="80" t="s">
        <v>542</v>
      </c>
      <c r="B252" s="91">
        <v>69</v>
      </c>
      <c r="C252" s="67" t="s">
        <v>542</v>
      </c>
      <c r="D252" s="95" t="str">
        <f t="shared" si="3"/>
        <v>JKCEMENT</v>
      </c>
      <c r="F252" s="2" t="s">
        <v>642</v>
      </c>
      <c r="G252" s="2" t="s">
        <v>643</v>
      </c>
      <c r="H252" s="2" t="s">
        <v>4362</v>
      </c>
    </row>
    <row r="253" spans="1:8" x14ac:dyDescent="0.35">
      <c r="A253" s="80" t="s">
        <v>4466</v>
      </c>
      <c r="B253" s="91">
        <v>28</v>
      </c>
      <c r="C253" s="67" t="s">
        <v>542</v>
      </c>
      <c r="D253" s="95" t="str">
        <f t="shared" si="3"/>
        <v>JKCEMENT</v>
      </c>
      <c r="F253" s="2" t="s">
        <v>644</v>
      </c>
      <c r="G253" s="2" t="s">
        <v>645</v>
      </c>
      <c r="H253" s="2" t="s">
        <v>4362</v>
      </c>
    </row>
    <row r="254" spans="1:8" x14ac:dyDescent="0.35">
      <c r="A254" s="80" t="s">
        <v>817</v>
      </c>
      <c r="B254" s="91">
        <v>148</v>
      </c>
      <c r="C254" s="67" t="s">
        <v>817</v>
      </c>
      <c r="D254" s="95" t="str">
        <f t="shared" si="3"/>
        <v>JKLAKSHMI</v>
      </c>
      <c r="F254" s="2" t="s">
        <v>646</v>
      </c>
      <c r="G254" s="2" t="s">
        <v>647</v>
      </c>
      <c r="H254" s="2" t="s">
        <v>4362</v>
      </c>
    </row>
    <row r="255" spans="1:8" x14ac:dyDescent="0.35">
      <c r="A255" s="80" t="s">
        <v>1002</v>
      </c>
      <c r="B255" s="91">
        <v>64</v>
      </c>
      <c r="C255" s="67" t="s">
        <v>1002</v>
      </c>
      <c r="D255" s="95" t="str">
        <f t="shared" si="3"/>
        <v>JMFINANCIL</v>
      </c>
      <c r="F255" s="2" t="s">
        <v>648</v>
      </c>
      <c r="G255" s="2" t="s">
        <v>649</v>
      </c>
      <c r="H255" s="2" t="s">
        <v>4362</v>
      </c>
    </row>
    <row r="256" spans="1:8" x14ac:dyDescent="0.35">
      <c r="A256" s="80" t="s">
        <v>5969</v>
      </c>
      <c r="B256" s="91">
        <v>53</v>
      </c>
      <c r="C256" s="67" t="s">
        <v>6208</v>
      </c>
      <c r="D256" s="95" t="str">
        <f t="shared" si="3"/>
        <v>JMFINANCIL</v>
      </c>
      <c r="F256" s="2" t="s">
        <v>650</v>
      </c>
      <c r="G256" s="2" t="s">
        <v>651</v>
      </c>
      <c r="H256" s="2" t="s">
        <v>4362</v>
      </c>
    </row>
    <row r="257" spans="1:8" x14ac:dyDescent="0.35">
      <c r="A257" s="80" t="s">
        <v>1398</v>
      </c>
      <c r="B257" s="91">
        <v>61</v>
      </c>
      <c r="C257" s="67" t="s">
        <v>1398</v>
      </c>
      <c r="D257" s="95" t="str">
        <f t="shared" si="3"/>
        <v>JTEKTINDIA</v>
      </c>
      <c r="F257" s="2" t="s">
        <v>652</v>
      </c>
      <c r="G257" s="2" t="s">
        <v>653</v>
      </c>
      <c r="H257" s="2" t="s">
        <v>4362</v>
      </c>
    </row>
    <row r="258" spans="1:8" x14ac:dyDescent="0.35">
      <c r="A258" s="80" t="s">
        <v>484</v>
      </c>
      <c r="B258" s="91">
        <v>63</v>
      </c>
      <c r="C258" s="67" t="s">
        <v>484</v>
      </c>
      <c r="D258" s="95" t="str">
        <f t="shared" si="3"/>
        <v>JUBLFOOD</v>
      </c>
      <c r="F258" s="2" t="s">
        <v>654</v>
      </c>
      <c r="G258" s="2" t="s">
        <v>655</v>
      </c>
      <c r="H258" s="2" t="s">
        <v>4362</v>
      </c>
    </row>
    <row r="259" spans="1:8" x14ac:dyDescent="0.35">
      <c r="A259" s="80" t="s">
        <v>996</v>
      </c>
      <c r="B259" s="91">
        <v>138</v>
      </c>
      <c r="C259" s="67" t="s">
        <v>996</v>
      </c>
      <c r="D259" s="95" t="str">
        <f t="shared" si="3"/>
        <v>JUBLINGREA</v>
      </c>
      <c r="F259" s="2" t="s">
        <v>656</v>
      </c>
      <c r="G259" s="2" t="s">
        <v>50</v>
      </c>
      <c r="H259" s="2" t="s">
        <v>4362</v>
      </c>
    </row>
    <row r="260" spans="1:8" x14ac:dyDescent="0.35">
      <c r="A260" s="80" t="s">
        <v>142</v>
      </c>
      <c r="B260" s="91">
        <v>96</v>
      </c>
      <c r="C260" s="67" t="s">
        <v>142</v>
      </c>
      <c r="D260" s="95" t="str">
        <f t="shared" si="3"/>
        <v>JUSTDIAL</v>
      </c>
      <c r="F260" s="2" t="s">
        <v>657</v>
      </c>
      <c r="G260" s="2" t="s">
        <v>138</v>
      </c>
      <c r="H260" s="2" t="s">
        <v>4362</v>
      </c>
    </row>
    <row r="261" spans="1:8" x14ac:dyDescent="0.35">
      <c r="A261" s="80" t="s">
        <v>5993</v>
      </c>
      <c r="B261" s="91">
        <v>23</v>
      </c>
      <c r="C261" s="67" t="s">
        <v>6209</v>
      </c>
      <c r="D261" s="95" t="s">
        <v>924</v>
      </c>
      <c r="F261" s="2" t="s">
        <v>658</v>
      </c>
      <c r="G261" s="2" t="s">
        <v>69</v>
      </c>
      <c r="H261" s="2" t="s">
        <v>4362</v>
      </c>
    </row>
    <row r="262" spans="1:8" x14ac:dyDescent="0.35">
      <c r="A262" s="80" t="s">
        <v>586</v>
      </c>
      <c r="B262" s="91">
        <v>83</v>
      </c>
      <c r="C262" s="67" t="s">
        <v>6210</v>
      </c>
      <c r="D262" s="95" t="s">
        <v>585</v>
      </c>
      <c r="F262" s="2" t="s">
        <v>659</v>
      </c>
      <c r="G262" s="2" t="s">
        <v>660</v>
      </c>
      <c r="H262" s="2" t="s">
        <v>4362</v>
      </c>
    </row>
    <row r="263" spans="1:8" x14ac:dyDescent="0.35">
      <c r="A263" s="80" t="s">
        <v>4463</v>
      </c>
      <c r="B263" s="91">
        <v>50</v>
      </c>
      <c r="C263" s="67" t="s">
        <v>622</v>
      </c>
      <c r="D263" s="95" t="str">
        <f t="shared" si="3"/>
        <v>KAJARIACER</v>
      </c>
      <c r="F263" s="2" t="s">
        <v>661</v>
      </c>
      <c r="G263" s="2" t="s">
        <v>662</v>
      </c>
      <c r="H263" s="2" t="s">
        <v>4362</v>
      </c>
    </row>
    <row r="264" spans="1:8" x14ac:dyDescent="0.35">
      <c r="A264" s="80" t="s">
        <v>4481</v>
      </c>
      <c r="B264" s="91">
        <v>61</v>
      </c>
      <c r="C264" s="67" t="s">
        <v>6182</v>
      </c>
      <c r="D264" s="95" t="str">
        <f t="shared" ref="D264:D327" si="4">IFERROR(INDEX($F$6:$G$1048576,MATCH($C264,$G$6:$G$1048576,0),MATCH($D$6,$F$6:$G$6,0)),"")</f>
        <v>KALPATPOWR</v>
      </c>
      <c r="F264" s="2" t="s">
        <v>663</v>
      </c>
      <c r="G264" s="2" t="s">
        <v>664</v>
      </c>
      <c r="H264" s="2" t="s">
        <v>4362</v>
      </c>
    </row>
    <row r="265" spans="1:8" x14ac:dyDescent="0.35">
      <c r="A265" s="80" t="s">
        <v>6001</v>
      </c>
      <c r="B265" s="91">
        <v>36</v>
      </c>
      <c r="C265" s="67" t="s">
        <v>839</v>
      </c>
      <c r="D265" s="95" t="str">
        <f t="shared" si="4"/>
        <v>KALPATPOWR</v>
      </c>
      <c r="F265" s="2" t="s">
        <v>665</v>
      </c>
      <c r="G265" s="2" t="s">
        <v>666</v>
      </c>
      <c r="H265" s="2" t="s">
        <v>4362</v>
      </c>
    </row>
    <row r="266" spans="1:8" x14ac:dyDescent="0.35">
      <c r="A266" s="80" t="s">
        <v>566</v>
      </c>
      <c r="B266" s="91">
        <v>79</v>
      </c>
      <c r="C266" s="67" t="s">
        <v>566</v>
      </c>
      <c r="D266" s="95" t="str">
        <f t="shared" si="4"/>
        <v>KANSAINER</v>
      </c>
      <c r="F266" s="2" t="s">
        <v>667</v>
      </c>
      <c r="G266" s="2" t="s">
        <v>668</v>
      </c>
      <c r="H266" s="2" t="s">
        <v>4362</v>
      </c>
    </row>
    <row r="267" spans="1:8" x14ac:dyDescent="0.35">
      <c r="A267" s="80" t="s">
        <v>854</v>
      </c>
      <c r="B267" s="91">
        <v>13</v>
      </c>
      <c r="C267" s="67" t="s">
        <v>854</v>
      </c>
      <c r="D267" s="95" t="str">
        <f t="shared" si="4"/>
        <v>KARURVYSYA</v>
      </c>
      <c r="F267" s="2" t="s">
        <v>669</v>
      </c>
      <c r="G267" s="2" t="s">
        <v>670</v>
      </c>
      <c r="H267" s="2" t="s">
        <v>4362</v>
      </c>
    </row>
    <row r="268" spans="1:8" x14ac:dyDescent="0.35">
      <c r="A268" s="80" t="s">
        <v>1011</v>
      </c>
      <c r="B268" s="91">
        <v>150</v>
      </c>
      <c r="C268" s="67" t="s">
        <v>1011</v>
      </c>
      <c r="D268" s="95" t="str">
        <f t="shared" si="4"/>
        <v>KAYNES</v>
      </c>
      <c r="F268" s="2" t="s">
        <v>671</v>
      </c>
      <c r="G268" s="2" t="s">
        <v>672</v>
      </c>
      <c r="H268" s="2" t="s">
        <v>4362</v>
      </c>
    </row>
    <row r="269" spans="1:8" x14ac:dyDescent="0.35">
      <c r="A269" s="80" t="s">
        <v>653</v>
      </c>
      <c r="B269" s="91">
        <v>156</v>
      </c>
      <c r="C269" s="67" t="s">
        <v>653</v>
      </c>
      <c r="D269" s="95" t="str">
        <f t="shared" si="4"/>
        <v>KEI</v>
      </c>
      <c r="F269" s="2" t="s">
        <v>673</v>
      </c>
      <c r="G269" s="2" t="s">
        <v>674</v>
      </c>
      <c r="H269" s="2" t="s">
        <v>4362</v>
      </c>
    </row>
    <row r="270" spans="1:8" x14ac:dyDescent="0.35">
      <c r="A270" s="80" t="s">
        <v>1390</v>
      </c>
      <c r="B270" s="91">
        <v>61</v>
      </c>
      <c r="C270" s="67" t="s">
        <v>1390</v>
      </c>
      <c r="D270" s="95" t="str">
        <f t="shared" si="4"/>
        <v>KKCL</v>
      </c>
      <c r="F270" s="2" t="s">
        <v>675</v>
      </c>
      <c r="G270" s="2" t="s">
        <v>676</v>
      </c>
      <c r="H270" s="2" t="s">
        <v>4362</v>
      </c>
    </row>
    <row r="271" spans="1:8" x14ac:dyDescent="0.35">
      <c r="A271" s="80" t="s">
        <v>4384</v>
      </c>
      <c r="B271" s="91">
        <v>79</v>
      </c>
      <c r="C271" s="67" t="s">
        <v>4384</v>
      </c>
      <c r="D271" s="95" t="str">
        <f t="shared" si="4"/>
        <v>KFINTECH</v>
      </c>
      <c r="F271" s="2" t="s">
        <v>677</v>
      </c>
      <c r="G271" s="2" t="s">
        <v>678</v>
      </c>
      <c r="H271" s="2" t="s">
        <v>4362</v>
      </c>
    </row>
    <row r="272" spans="1:8" x14ac:dyDescent="0.35">
      <c r="A272" s="80" t="s">
        <v>1291</v>
      </c>
      <c r="B272" s="91">
        <v>27</v>
      </c>
      <c r="C272" s="67" t="s">
        <v>1291</v>
      </c>
      <c r="D272" s="95" t="str">
        <f t="shared" si="4"/>
        <v>KIRLOSBROS</v>
      </c>
      <c r="F272" s="2" t="s">
        <v>679</v>
      </c>
      <c r="G272" s="2" t="s">
        <v>680</v>
      </c>
      <c r="H272" s="2" t="s">
        <v>4362</v>
      </c>
    </row>
    <row r="273" spans="1:8" x14ac:dyDescent="0.35">
      <c r="A273" s="80" t="s">
        <v>6079</v>
      </c>
      <c r="B273" s="91">
        <v>142</v>
      </c>
      <c r="C273" s="67" t="s">
        <v>6079</v>
      </c>
      <c r="D273" s="95" t="s">
        <v>1429</v>
      </c>
      <c r="F273" s="2" t="s">
        <v>681</v>
      </c>
      <c r="G273" s="2" t="s">
        <v>682</v>
      </c>
      <c r="H273" s="2" t="s">
        <v>4362</v>
      </c>
    </row>
    <row r="274" spans="1:8" x14ac:dyDescent="0.35">
      <c r="A274" s="80" t="s">
        <v>998</v>
      </c>
      <c r="B274" s="91">
        <v>82</v>
      </c>
      <c r="C274" s="67" t="s">
        <v>998</v>
      </c>
      <c r="D274" s="95" t="str">
        <f t="shared" si="4"/>
        <v>KIRLOSENG</v>
      </c>
      <c r="F274" s="2" t="s">
        <v>683</v>
      </c>
      <c r="G274" s="2" t="s">
        <v>684</v>
      </c>
      <c r="H274" s="2" t="s">
        <v>4362</v>
      </c>
    </row>
    <row r="275" spans="1:8" x14ac:dyDescent="0.35">
      <c r="A275" s="80" t="s">
        <v>6074</v>
      </c>
      <c r="B275" s="91">
        <v>43</v>
      </c>
      <c r="C275" s="67" t="s">
        <v>6074</v>
      </c>
      <c r="D275" s="95" t="s">
        <v>6235</v>
      </c>
      <c r="F275" s="2" t="s">
        <v>685</v>
      </c>
      <c r="G275" s="2" t="s">
        <v>686</v>
      </c>
      <c r="H275" s="2" t="s">
        <v>4362</v>
      </c>
    </row>
    <row r="276" spans="1:8" x14ac:dyDescent="0.35">
      <c r="A276" s="80" t="s">
        <v>913</v>
      </c>
      <c r="B276" s="91">
        <v>42</v>
      </c>
      <c r="C276" s="67" t="s">
        <v>913</v>
      </c>
      <c r="D276" s="95" t="str">
        <f t="shared" si="4"/>
        <v>KNRCON</v>
      </c>
      <c r="F276" s="2" t="s">
        <v>687</v>
      </c>
      <c r="G276" s="2" t="s">
        <v>77</v>
      </c>
      <c r="H276" s="2" t="s">
        <v>4362</v>
      </c>
    </row>
    <row r="277" spans="1:8" x14ac:dyDescent="0.35">
      <c r="A277" s="80" t="s">
        <v>6064</v>
      </c>
      <c r="B277" s="91">
        <v>65</v>
      </c>
      <c r="C277" s="67" t="s">
        <v>913</v>
      </c>
      <c r="D277" s="95" t="str">
        <f t="shared" si="4"/>
        <v>KNRCON</v>
      </c>
      <c r="F277" s="2" t="s">
        <v>688</v>
      </c>
      <c r="G277" s="2" t="s">
        <v>689</v>
      </c>
      <c r="H277" s="2" t="s">
        <v>4362</v>
      </c>
    </row>
    <row r="278" spans="1:8" x14ac:dyDescent="0.35">
      <c r="A278" s="80" t="s">
        <v>5925</v>
      </c>
      <c r="B278" s="91">
        <v>16</v>
      </c>
      <c r="C278" s="67" t="s">
        <v>200</v>
      </c>
      <c r="D278" s="95" t="str">
        <f t="shared" si="4"/>
        <v>KOTAKBANK</v>
      </c>
      <c r="F278" s="2" t="s">
        <v>690</v>
      </c>
      <c r="G278" s="2" t="s">
        <v>691</v>
      </c>
      <c r="H278" s="2" t="s">
        <v>4362</v>
      </c>
    </row>
    <row r="279" spans="1:8" x14ac:dyDescent="0.35">
      <c r="A279" s="80" t="s">
        <v>5959</v>
      </c>
      <c r="B279" s="91">
        <v>32</v>
      </c>
      <c r="C279" s="67" t="s">
        <v>200</v>
      </c>
      <c r="D279" s="95" t="str">
        <f t="shared" si="4"/>
        <v>KOTAKBANK</v>
      </c>
      <c r="F279" s="2" t="s">
        <v>692</v>
      </c>
      <c r="G279" s="2" t="s">
        <v>693</v>
      </c>
      <c r="H279" s="2" t="s">
        <v>4362</v>
      </c>
    </row>
    <row r="280" spans="1:8" x14ac:dyDescent="0.35">
      <c r="A280" s="80" t="s">
        <v>515</v>
      </c>
      <c r="B280" s="91">
        <v>30</v>
      </c>
      <c r="C280" s="67" t="s">
        <v>515</v>
      </c>
      <c r="D280" s="95" t="str">
        <f t="shared" si="4"/>
        <v>KPITTECH</v>
      </c>
      <c r="F280" s="2" t="s">
        <v>694</v>
      </c>
      <c r="G280" s="2" t="s">
        <v>88</v>
      </c>
      <c r="H280" s="2" t="s">
        <v>4362</v>
      </c>
    </row>
    <row r="281" spans="1:8" x14ac:dyDescent="0.35">
      <c r="A281" s="80" t="s">
        <v>5908</v>
      </c>
      <c r="B281" s="91">
        <v>120</v>
      </c>
      <c r="C281" s="67" t="s">
        <v>5908</v>
      </c>
      <c r="D281" s="95" t="str">
        <f t="shared" si="4"/>
        <v>KIMS</v>
      </c>
      <c r="F281" s="2" t="s">
        <v>695</v>
      </c>
      <c r="G281" s="2" t="s">
        <v>70</v>
      </c>
      <c r="H281" s="2" t="s">
        <v>4362</v>
      </c>
    </row>
    <row r="282" spans="1:8" x14ac:dyDescent="0.35">
      <c r="A282" s="80" t="s">
        <v>6016</v>
      </c>
      <c r="B282" s="91">
        <v>60</v>
      </c>
      <c r="C282" s="67" t="s">
        <v>1755</v>
      </c>
      <c r="D282" s="95" t="str">
        <f t="shared" si="4"/>
        <v>KRSNAA</v>
      </c>
      <c r="F282" s="2" t="s">
        <v>696</v>
      </c>
      <c r="G282" s="2" t="s">
        <v>697</v>
      </c>
      <c r="H282" s="2" t="s">
        <v>4362</v>
      </c>
    </row>
    <row r="283" spans="1:8" x14ac:dyDescent="0.35">
      <c r="A283" s="80" t="s">
        <v>162</v>
      </c>
      <c r="B283" s="91">
        <v>63</v>
      </c>
      <c r="C283" s="67" t="s">
        <v>162</v>
      </c>
      <c r="D283" s="95" t="str">
        <f t="shared" si="4"/>
        <v>KSB</v>
      </c>
      <c r="F283" s="2" t="s">
        <v>698</v>
      </c>
      <c r="G283" s="2" t="s">
        <v>174</v>
      </c>
      <c r="H283" s="2" t="s">
        <v>4362</v>
      </c>
    </row>
    <row r="284" spans="1:8" x14ac:dyDescent="0.35">
      <c r="A284" s="80" t="s">
        <v>6102</v>
      </c>
      <c r="B284" s="91">
        <v>39</v>
      </c>
      <c r="C284" s="67" t="s">
        <v>424</v>
      </c>
      <c r="D284" s="95" t="str">
        <f t="shared" si="4"/>
        <v>LTTS</v>
      </c>
      <c r="F284" s="2" t="s">
        <v>699</v>
      </c>
      <c r="G284" s="2" t="s">
        <v>700</v>
      </c>
      <c r="H284" s="2" t="s">
        <v>4362</v>
      </c>
    </row>
    <row r="285" spans="1:8" x14ac:dyDescent="0.35">
      <c r="A285" s="80" t="s">
        <v>1215</v>
      </c>
      <c r="B285" s="91">
        <v>128</v>
      </c>
      <c r="C285" s="67" t="s">
        <v>1215</v>
      </c>
      <c r="D285" s="95" t="str">
        <f t="shared" si="4"/>
        <v>LAOPALA</v>
      </c>
      <c r="F285" s="2" t="s">
        <v>701</v>
      </c>
      <c r="G285" s="2" t="s">
        <v>702</v>
      </c>
      <c r="H285" s="2" t="s">
        <v>4362</v>
      </c>
    </row>
    <row r="286" spans="1:8" x14ac:dyDescent="0.35">
      <c r="A286" s="80" t="s">
        <v>1492</v>
      </c>
      <c r="B286" s="91">
        <v>107</v>
      </c>
      <c r="C286" s="67" t="s">
        <v>1492</v>
      </c>
      <c r="D286" s="95" t="str">
        <f t="shared" si="4"/>
        <v>LANDMARK</v>
      </c>
      <c r="F286" s="2" t="s">
        <v>703</v>
      </c>
      <c r="G286" s="2" t="s">
        <v>704</v>
      </c>
      <c r="H286" s="2" t="s">
        <v>4362</v>
      </c>
    </row>
    <row r="287" spans="1:8" x14ac:dyDescent="0.35">
      <c r="A287" s="80" t="s">
        <v>6050</v>
      </c>
      <c r="B287" s="91">
        <v>75</v>
      </c>
      <c r="C287" s="67" t="s">
        <v>6183</v>
      </c>
      <c r="D287" s="95" t="s">
        <v>204</v>
      </c>
      <c r="F287" s="2" t="s">
        <v>705</v>
      </c>
      <c r="G287" s="2" t="s">
        <v>706</v>
      </c>
      <c r="H287" s="2" t="s">
        <v>4362</v>
      </c>
    </row>
    <row r="288" spans="1:8" x14ac:dyDescent="0.35">
      <c r="A288" s="80" t="s">
        <v>98</v>
      </c>
      <c r="B288" s="91">
        <v>7</v>
      </c>
      <c r="C288" s="67" t="s">
        <v>98</v>
      </c>
      <c r="D288" s="95" t="str">
        <f t="shared" si="4"/>
        <v>LT</v>
      </c>
      <c r="F288" s="2" t="s">
        <v>707</v>
      </c>
      <c r="G288" s="2" t="s">
        <v>708</v>
      </c>
      <c r="H288" s="2" t="s">
        <v>4362</v>
      </c>
    </row>
    <row r="289" spans="1:8" x14ac:dyDescent="0.35">
      <c r="A289" s="80" t="s">
        <v>5919</v>
      </c>
      <c r="B289" s="91">
        <v>5</v>
      </c>
      <c r="C289" s="67" t="s">
        <v>98</v>
      </c>
      <c r="D289" s="95" t="str">
        <f t="shared" si="4"/>
        <v>LT</v>
      </c>
      <c r="F289" s="2" t="s">
        <v>709</v>
      </c>
      <c r="G289" s="2" t="s">
        <v>710</v>
      </c>
      <c r="H289" s="2" t="s">
        <v>4362</v>
      </c>
    </row>
    <row r="290" spans="1:8" x14ac:dyDescent="0.35">
      <c r="A290" s="80" t="s">
        <v>4390</v>
      </c>
      <c r="B290" s="91">
        <v>3</v>
      </c>
      <c r="C290" s="67" t="s">
        <v>98</v>
      </c>
      <c r="D290" s="95" t="str">
        <f t="shared" si="4"/>
        <v>LT</v>
      </c>
      <c r="F290" s="2" t="s">
        <v>711</v>
      </c>
      <c r="G290" s="2" t="s">
        <v>712</v>
      </c>
      <c r="H290" s="2" t="s">
        <v>4362</v>
      </c>
    </row>
    <row r="291" spans="1:8" x14ac:dyDescent="0.35">
      <c r="A291" s="80" t="s">
        <v>643</v>
      </c>
      <c r="B291" s="91">
        <v>188</v>
      </c>
      <c r="C291" s="67" t="s">
        <v>643</v>
      </c>
      <c r="D291" s="95" t="str">
        <f t="shared" si="4"/>
        <v>LAURUSLABS</v>
      </c>
      <c r="F291" s="2" t="s">
        <v>713</v>
      </c>
      <c r="G291" s="2" t="s">
        <v>93</v>
      </c>
      <c r="H291" s="2" t="s">
        <v>4362</v>
      </c>
    </row>
    <row r="292" spans="1:8" x14ac:dyDescent="0.35">
      <c r="A292" s="80" t="s">
        <v>981</v>
      </c>
      <c r="B292" s="91">
        <v>46</v>
      </c>
      <c r="C292" s="67" t="s">
        <v>981</v>
      </c>
      <c r="D292" s="95" t="str">
        <f t="shared" si="4"/>
        <v>LXCHEM</v>
      </c>
      <c r="F292" s="2" t="s">
        <v>714</v>
      </c>
      <c r="G292" s="2" t="s">
        <v>177</v>
      </c>
      <c r="H292" s="2" t="s">
        <v>4362</v>
      </c>
    </row>
    <row r="293" spans="1:8" x14ac:dyDescent="0.35">
      <c r="A293" s="80" t="s">
        <v>1443</v>
      </c>
      <c r="B293" s="91">
        <v>119</v>
      </c>
      <c r="C293" s="67" t="s">
        <v>1443</v>
      </c>
      <c r="D293" s="95" t="str">
        <f t="shared" si="4"/>
        <v>LGBBROSLTD</v>
      </c>
      <c r="F293" s="2" t="s">
        <v>715</v>
      </c>
      <c r="G293" s="2" t="s">
        <v>716</v>
      </c>
      <c r="H293" s="2" t="s">
        <v>4362</v>
      </c>
    </row>
    <row r="294" spans="1:8" x14ac:dyDescent="0.35">
      <c r="A294" s="80" t="s">
        <v>608</v>
      </c>
      <c r="B294" s="91">
        <v>31</v>
      </c>
      <c r="C294" s="67" t="s">
        <v>608</v>
      </c>
      <c r="D294" s="95" t="str">
        <f t="shared" si="4"/>
        <v>LICHSGFIN</v>
      </c>
      <c r="F294" s="2" t="s">
        <v>717</v>
      </c>
      <c r="G294" s="2" t="s">
        <v>718</v>
      </c>
      <c r="H294" s="2" t="s">
        <v>4362</v>
      </c>
    </row>
    <row r="295" spans="1:8" x14ac:dyDescent="0.35">
      <c r="A295" s="80" t="s">
        <v>4413</v>
      </c>
      <c r="B295" s="91">
        <v>49</v>
      </c>
      <c r="C295" s="67" t="s">
        <v>608</v>
      </c>
      <c r="D295" s="95" t="str">
        <f t="shared" si="4"/>
        <v>LICHSGFIN</v>
      </c>
      <c r="F295" s="2" t="s">
        <v>719</v>
      </c>
      <c r="G295" s="2" t="s">
        <v>720</v>
      </c>
      <c r="H295" s="2" t="s">
        <v>4362</v>
      </c>
    </row>
    <row r="296" spans="1:8" x14ac:dyDescent="0.35">
      <c r="A296" s="80" t="s">
        <v>5970</v>
      </c>
      <c r="B296" s="91">
        <v>78</v>
      </c>
      <c r="C296" s="67" t="s">
        <v>5970</v>
      </c>
      <c r="D296" s="95" t="str">
        <f t="shared" si="4"/>
        <v>LICI</v>
      </c>
      <c r="F296" s="2" t="s">
        <v>721</v>
      </c>
      <c r="G296" s="2" t="s">
        <v>722</v>
      </c>
      <c r="H296" s="2" t="s">
        <v>4362</v>
      </c>
    </row>
    <row r="297" spans="1:8" x14ac:dyDescent="0.35">
      <c r="A297" s="80" t="s">
        <v>439</v>
      </c>
      <c r="B297" s="91">
        <v>47</v>
      </c>
      <c r="C297" s="67" t="s">
        <v>439</v>
      </c>
      <c r="D297" s="95" t="str">
        <f t="shared" si="4"/>
        <v>LINDEINDIA</v>
      </c>
      <c r="F297" s="2" t="s">
        <v>723</v>
      </c>
      <c r="G297" s="2" t="s">
        <v>158</v>
      </c>
      <c r="H297" s="2" t="s">
        <v>4362</v>
      </c>
    </row>
    <row r="298" spans="1:8" x14ac:dyDescent="0.35">
      <c r="A298" s="80" t="s">
        <v>6122</v>
      </c>
      <c r="B298" s="91">
        <v>9</v>
      </c>
      <c r="C298" s="67" t="s">
        <v>439</v>
      </c>
      <c r="D298" s="95" t="str">
        <f t="shared" si="4"/>
        <v>LINDEINDIA</v>
      </c>
      <c r="F298" s="2" t="s">
        <v>724</v>
      </c>
      <c r="G298" s="2" t="s">
        <v>725</v>
      </c>
      <c r="H298" s="2" t="s">
        <v>4362</v>
      </c>
    </row>
    <row r="299" spans="1:8" x14ac:dyDescent="0.35">
      <c r="A299" s="80" t="s">
        <v>66</v>
      </c>
      <c r="B299" s="91">
        <v>78</v>
      </c>
      <c r="C299" s="67" t="s">
        <v>66</v>
      </c>
      <c r="D299" s="95" t="str">
        <f t="shared" si="4"/>
        <v>LTIM</v>
      </c>
      <c r="F299" s="2" t="s">
        <v>726</v>
      </c>
      <c r="G299" s="2" t="s">
        <v>727</v>
      </c>
      <c r="H299" s="2" t="s">
        <v>4362</v>
      </c>
    </row>
    <row r="300" spans="1:8" x14ac:dyDescent="0.35">
      <c r="A300" s="80" t="s">
        <v>480</v>
      </c>
      <c r="B300" s="91">
        <v>35</v>
      </c>
      <c r="C300" s="67" t="s">
        <v>480</v>
      </c>
      <c r="D300" s="95" t="str">
        <f t="shared" si="4"/>
        <v>LUPIN</v>
      </c>
      <c r="F300" s="2" t="s">
        <v>728</v>
      </c>
      <c r="G300" s="2" t="s">
        <v>729</v>
      </c>
      <c r="H300" s="2" t="s">
        <v>4362</v>
      </c>
    </row>
    <row r="301" spans="1:8" x14ac:dyDescent="0.35">
      <c r="A301" s="80" t="s">
        <v>5952</v>
      </c>
      <c r="B301" s="91">
        <v>14</v>
      </c>
      <c r="C301" s="67" t="s">
        <v>480</v>
      </c>
      <c r="D301" s="95" t="str">
        <f t="shared" si="4"/>
        <v>LUPIN</v>
      </c>
      <c r="F301" s="2" t="s">
        <v>730</v>
      </c>
      <c r="G301" s="2" t="s">
        <v>731</v>
      </c>
      <c r="H301" s="2" t="s">
        <v>4362</v>
      </c>
    </row>
    <row r="302" spans="1:8" x14ac:dyDescent="0.35">
      <c r="A302" s="80" t="s">
        <v>79</v>
      </c>
      <c r="B302" s="91">
        <v>8</v>
      </c>
      <c r="C302" s="67" t="s">
        <v>79</v>
      </c>
      <c r="D302" s="95" t="str">
        <f t="shared" si="4"/>
        <v>LODHA</v>
      </c>
      <c r="F302" s="2" t="s">
        <v>732</v>
      </c>
      <c r="G302" s="2" t="s">
        <v>733</v>
      </c>
      <c r="H302" s="2" t="s">
        <v>4362</v>
      </c>
    </row>
    <row r="303" spans="1:8" x14ac:dyDescent="0.35">
      <c r="A303" s="80" t="s">
        <v>490</v>
      </c>
      <c r="B303" s="91">
        <v>59</v>
      </c>
      <c r="C303" s="67" t="s">
        <v>490</v>
      </c>
      <c r="D303" s="95" t="str">
        <f t="shared" si="4"/>
        <v>M&amp;MFIN</v>
      </c>
      <c r="F303" s="2" t="s">
        <v>734</v>
      </c>
      <c r="G303" s="2" t="s">
        <v>735</v>
      </c>
      <c r="H303" s="2" t="s">
        <v>4362</v>
      </c>
    </row>
    <row r="304" spans="1:8" x14ac:dyDescent="0.35">
      <c r="A304" s="80" t="s">
        <v>6026</v>
      </c>
      <c r="B304" s="91">
        <v>56</v>
      </c>
      <c r="C304" s="67" t="s">
        <v>490</v>
      </c>
      <c r="D304" s="95" t="str">
        <f t="shared" si="4"/>
        <v>M&amp;MFIN</v>
      </c>
      <c r="F304" s="2" t="s">
        <v>736</v>
      </c>
      <c r="G304" s="2" t="s">
        <v>737</v>
      </c>
      <c r="H304" s="2" t="s">
        <v>4362</v>
      </c>
    </row>
    <row r="305" spans="1:8" x14ac:dyDescent="0.35">
      <c r="A305" s="80" t="s">
        <v>232</v>
      </c>
      <c r="B305" s="91">
        <v>25</v>
      </c>
      <c r="C305" s="67" t="s">
        <v>232</v>
      </c>
      <c r="D305" s="95" t="str">
        <f t="shared" si="4"/>
        <v>M&amp;M</v>
      </c>
      <c r="F305" s="2" t="s">
        <v>738</v>
      </c>
      <c r="G305" s="2" t="s">
        <v>739</v>
      </c>
      <c r="H305" s="2" t="s">
        <v>4362</v>
      </c>
    </row>
    <row r="306" spans="1:8" x14ac:dyDescent="0.35">
      <c r="A306" s="80" t="s">
        <v>5961</v>
      </c>
      <c r="B306" s="91">
        <v>35</v>
      </c>
      <c r="C306" s="67" t="s">
        <v>232</v>
      </c>
      <c r="D306" s="95" t="str">
        <f t="shared" si="4"/>
        <v>M&amp;M</v>
      </c>
      <c r="F306" s="2" t="s">
        <v>740</v>
      </c>
      <c r="G306" s="2" t="s">
        <v>741</v>
      </c>
      <c r="H306" s="2" t="s">
        <v>4362</v>
      </c>
    </row>
    <row r="307" spans="1:8" x14ac:dyDescent="0.35">
      <c r="A307" s="80" t="s">
        <v>88</v>
      </c>
      <c r="B307" s="91">
        <v>21</v>
      </c>
      <c r="C307" s="67" t="s">
        <v>88</v>
      </c>
      <c r="D307" s="95" t="str">
        <f t="shared" si="4"/>
        <v>MAHINDCIE</v>
      </c>
      <c r="F307" s="2" t="s">
        <v>742</v>
      </c>
      <c r="G307" s="2" t="s">
        <v>743</v>
      </c>
      <c r="H307" s="2" t="s">
        <v>4362</v>
      </c>
    </row>
    <row r="308" spans="1:8" x14ac:dyDescent="0.35">
      <c r="A308" s="80" t="s">
        <v>1024</v>
      </c>
      <c r="B308" s="91">
        <v>52</v>
      </c>
      <c r="C308" s="67" t="s">
        <v>1024</v>
      </c>
      <c r="D308" s="95" t="str">
        <f t="shared" si="4"/>
        <v>MAHLIFE</v>
      </c>
      <c r="F308" s="2" t="s">
        <v>744</v>
      </c>
      <c r="G308" s="2" t="s">
        <v>745</v>
      </c>
      <c r="H308" s="2" t="s">
        <v>4362</v>
      </c>
    </row>
    <row r="309" spans="1:8" x14ac:dyDescent="0.35">
      <c r="A309" s="80" t="s">
        <v>5985</v>
      </c>
      <c r="B309" s="91">
        <v>10</v>
      </c>
      <c r="C309" s="67" t="s">
        <v>1024</v>
      </c>
      <c r="D309" s="95" t="str">
        <f t="shared" si="4"/>
        <v>MAHLIFE</v>
      </c>
      <c r="F309" s="2" t="s">
        <v>746</v>
      </c>
      <c r="G309" s="2" t="s">
        <v>747</v>
      </c>
      <c r="H309" s="2" t="s">
        <v>4362</v>
      </c>
    </row>
    <row r="310" spans="1:8" x14ac:dyDescent="0.35">
      <c r="A310" s="80" t="s">
        <v>1394</v>
      </c>
      <c r="B310" s="91">
        <v>164</v>
      </c>
      <c r="C310" s="67" t="s">
        <v>1394</v>
      </c>
      <c r="D310" s="95" t="str">
        <f t="shared" si="4"/>
        <v>MAHLOG</v>
      </c>
      <c r="F310" s="2" t="s">
        <v>748</v>
      </c>
      <c r="G310" s="2" t="s">
        <v>749</v>
      </c>
      <c r="H310" s="2" t="s">
        <v>4362</v>
      </c>
    </row>
    <row r="311" spans="1:8" x14ac:dyDescent="0.35">
      <c r="A311" s="80" t="s">
        <v>146</v>
      </c>
      <c r="B311" s="91">
        <v>27</v>
      </c>
      <c r="C311" s="67" t="s">
        <v>146</v>
      </c>
      <c r="D311" s="95" t="str">
        <f t="shared" si="4"/>
        <v>MANINFRA</v>
      </c>
      <c r="F311" s="2" t="s">
        <v>750</v>
      </c>
      <c r="G311" s="2" t="s">
        <v>751</v>
      </c>
      <c r="H311" s="2" t="s">
        <v>4362</v>
      </c>
    </row>
    <row r="312" spans="1:8" x14ac:dyDescent="0.35">
      <c r="A312" s="80" t="s">
        <v>6165</v>
      </c>
      <c r="B312" s="91">
        <v>59</v>
      </c>
      <c r="C312" s="67" t="s">
        <v>2164</v>
      </c>
      <c r="D312" s="95" t="str">
        <f t="shared" si="4"/>
        <v>MANGLMCEM</v>
      </c>
      <c r="F312" s="2" t="s">
        <v>752</v>
      </c>
      <c r="G312" s="2" t="s">
        <v>753</v>
      </c>
      <c r="H312" s="2" t="s">
        <v>4362</v>
      </c>
    </row>
    <row r="313" spans="1:8" x14ac:dyDescent="0.35">
      <c r="A313" s="80" t="s">
        <v>4385</v>
      </c>
      <c r="B313" s="91">
        <v>80</v>
      </c>
      <c r="C313" s="67" t="s">
        <v>4385</v>
      </c>
      <c r="D313" s="95" t="s">
        <v>6236</v>
      </c>
      <c r="F313" s="2" t="s">
        <v>754</v>
      </c>
      <c r="G313" s="2" t="s">
        <v>755</v>
      </c>
      <c r="H313" s="2" t="s">
        <v>4362</v>
      </c>
    </row>
    <row r="314" spans="1:8" x14ac:dyDescent="0.35">
      <c r="A314" s="80" t="s">
        <v>6148</v>
      </c>
      <c r="B314" s="91">
        <v>22</v>
      </c>
      <c r="C314" s="67" t="s">
        <v>4385</v>
      </c>
      <c r="D314" s="95" t="s">
        <v>6236</v>
      </c>
      <c r="F314" s="2" t="s">
        <v>756</v>
      </c>
      <c r="G314" s="2" t="s">
        <v>757</v>
      </c>
      <c r="H314" s="2" t="s">
        <v>4362</v>
      </c>
    </row>
    <row r="315" spans="1:8" x14ac:dyDescent="0.35">
      <c r="A315" s="80" t="s">
        <v>6167</v>
      </c>
      <c r="B315" s="91">
        <v>62</v>
      </c>
      <c r="C315" s="67" t="s">
        <v>4239</v>
      </c>
      <c r="D315" s="95" t="str">
        <f t="shared" si="4"/>
        <v>MANPASAND</v>
      </c>
      <c r="F315" s="2" t="s">
        <v>758</v>
      </c>
      <c r="G315" s="2" t="s">
        <v>759</v>
      </c>
      <c r="H315" s="2" t="s">
        <v>4362</v>
      </c>
    </row>
    <row r="316" spans="1:8" x14ac:dyDescent="0.35">
      <c r="A316" s="80" t="s">
        <v>5924</v>
      </c>
      <c r="B316" s="91">
        <v>15</v>
      </c>
      <c r="C316" s="67" t="s">
        <v>212</v>
      </c>
      <c r="D316" s="95" t="str">
        <f t="shared" si="4"/>
        <v>MARUTI</v>
      </c>
      <c r="F316" s="2" t="s">
        <v>760</v>
      </c>
      <c r="G316" s="2" t="s">
        <v>761</v>
      </c>
      <c r="H316" s="2" t="s">
        <v>4362</v>
      </c>
    </row>
    <row r="317" spans="1:8" x14ac:dyDescent="0.35">
      <c r="A317" s="80" t="s">
        <v>5911</v>
      </c>
      <c r="B317" s="91">
        <v>43</v>
      </c>
      <c r="C317" s="67" t="s">
        <v>5911</v>
      </c>
      <c r="D317" s="95" t="str">
        <f t="shared" si="4"/>
        <v>MASFIN</v>
      </c>
      <c r="F317" s="2" t="s">
        <v>762</v>
      </c>
      <c r="G317" s="2" t="s">
        <v>763</v>
      </c>
      <c r="H317" s="2" t="s">
        <v>4362</v>
      </c>
    </row>
    <row r="318" spans="1:8" x14ac:dyDescent="0.35">
      <c r="A318" s="80" t="s">
        <v>6014</v>
      </c>
      <c r="B318" s="91">
        <v>57</v>
      </c>
      <c r="C318" s="67" t="s">
        <v>6211</v>
      </c>
      <c r="D318" s="95" t="s">
        <v>1907</v>
      </c>
      <c r="F318" s="2" t="s">
        <v>764</v>
      </c>
      <c r="G318" s="2" t="s">
        <v>765</v>
      </c>
      <c r="H318" s="2" t="s">
        <v>4362</v>
      </c>
    </row>
    <row r="319" spans="1:8" x14ac:dyDescent="0.35">
      <c r="A319" s="80" t="s">
        <v>548</v>
      </c>
      <c r="B319" s="91">
        <v>48</v>
      </c>
      <c r="C319" s="67" t="s">
        <v>548</v>
      </c>
      <c r="D319" s="95" t="str">
        <f t="shared" si="4"/>
        <v>MFSL</v>
      </c>
      <c r="F319" s="2" t="s">
        <v>766</v>
      </c>
      <c r="G319" s="2" t="s">
        <v>767</v>
      </c>
      <c r="H319" s="2" t="s">
        <v>4362</v>
      </c>
    </row>
    <row r="320" spans="1:8" x14ac:dyDescent="0.35">
      <c r="A320" s="80" t="s">
        <v>6032</v>
      </c>
      <c r="B320" s="91">
        <v>39</v>
      </c>
      <c r="C320" s="67" t="s">
        <v>548</v>
      </c>
      <c r="D320" s="95" t="str">
        <f t="shared" si="4"/>
        <v>MFSL</v>
      </c>
      <c r="F320" s="2" t="s">
        <v>768</v>
      </c>
      <c r="G320" s="2" t="s">
        <v>769</v>
      </c>
      <c r="H320" s="2" t="s">
        <v>4362</v>
      </c>
    </row>
    <row r="321" spans="1:8" x14ac:dyDescent="0.35">
      <c r="A321" s="80" t="s">
        <v>5968</v>
      </c>
      <c r="B321" s="91">
        <v>52</v>
      </c>
      <c r="C321" s="67" t="s">
        <v>548</v>
      </c>
      <c r="D321" s="95" t="str">
        <f t="shared" si="4"/>
        <v>MFSL</v>
      </c>
      <c r="F321" s="2" t="s">
        <v>770</v>
      </c>
      <c r="G321" s="2" t="s">
        <v>771</v>
      </c>
      <c r="H321" s="2" t="s">
        <v>4362</v>
      </c>
    </row>
    <row r="322" spans="1:8" x14ac:dyDescent="0.35">
      <c r="A322" s="80" t="s">
        <v>383</v>
      </c>
      <c r="B322" s="91">
        <v>26</v>
      </c>
      <c r="C322" s="67" t="s">
        <v>383</v>
      </c>
      <c r="D322" s="95" t="str">
        <f t="shared" si="4"/>
        <v>MAXHEALTH</v>
      </c>
      <c r="F322" s="2" t="s">
        <v>772</v>
      </c>
      <c r="G322" s="2" t="s">
        <v>773</v>
      </c>
      <c r="H322" s="2" t="s">
        <v>4362</v>
      </c>
    </row>
    <row r="323" spans="1:8" x14ac:dyDescent="0.35">
      <c r="A323" s="80" t="s">
        <v>5938</v>
      </c>
      <c r="B323" s="91">
        <v>31</v>
      </c>
      <c r="C323" s="67" t="s">
        <v>383</v>
      </c>
      <c r="D323" s="95" t="str">
        <f t="shared" si="4"/>
        <v>MAXHEALTH</v>
      </c>
      <c r="F323" s="2" t="s">
        <v>774</v>
      </c>
      <c r="G323" s="2" t="s">
        <v>775</v>
      </c>
      <c r="H323" s="2" t="s">
        <v>4362</v>
      </c>
    </row>
    <row r="324" spans="1:8" x14ac:dyDescent="0.35">
      <c r="A324" s="80" t="s">
        <v>6084</v>
      </c>
      <c r="B324" s="91">
        <v>16</v>
      </c>
      <c r="C324" s="67" t="s">
        <v>383</v>
      </c>
      <c r="D324" s="95" t="str">
        <f t="shared" si="4"/>
        <v>MAXHEALTH</v>
      </c>
      <c r="F324" s="2" t="s">
        <v>776</v>
      </c>
      <c r="G324" s="2" t="s">
        <v>777</v>
      </c>
      <c r="H324" s="2" t="s">
        <v>4362</v>
      </c>
    </row>
    <row r="325" spans="1:8" x14ac:dyDescent="0.35">
      <c r="A325" s="80" t="s">
        <v>6039</v>
      </c>
      <c r="B325" s="91">
        <v>52</v>
      </c>
      <c r="C325" s="67" t="s">
        <v>550</v>
      </c>
      <c r="D325" s="95" t="str">
        <f t="shared" si="4"/>
        <v>METROBRAND</v>
      </c>
      <c r="F325" s="2" t="s">
        <v>778</v>
      </c>
      <c r="G325" s="2" t="s">
        <v>779</v>
      </c>
      <c r="H325" s="2" t="s">
        <v>4362</v>
      </c>
    </row>
    <row r="326" spans="1:8" x14ac:dyDescent="0.35">
      <c r="A326" s="80" t="s">
        <v>4455</v>
      </c>
      <c r="B326" s="91">
        <v>74</v>
      </c>
      <c r="C326" s="67" t="s">
        <v>6212</v>
      </c>
      <c r="D326" s="95" t="s">
        <v>1055</v>
      </c>
      <c r="F326" s="2" t="s">
        <v>780</v>
      </c>
      <c r="G326" s="2" t="s">
        <v>781</v>
      </c>
      <c r="H326" s="2" t="s">
        <v>4362</v>
      </c>
    </row>
    <row r="327" spans="1:8" x14ac:dyDescent="0.35">
      <c r="A327" s="80" t="s">
        <v>1263</v>
      </c>
      <c r="B327" s="91">
        <v>160</v>
      </c>
      <c r="C327" s="67" t="s">
        <v>1263</v>
      </c>
      <c r="D327" s="95" t="str">
        <f t="shared" si="4"/>
        <v>MIDHANI</v>
      </c>
      <c r="F327" s="2" t="s">
        <v>782</v>
      </c>
      <c r="G327" s="2" t="s">
        <v>783</v>
      </c>
      <c r="H327" s="2" t="s">
        <v>4362</v>
      </c>
    </row>
    <row r="328" spans="1:8" x14ac:dyDescent="0.35">
      <c r="A328" s="80" t="s">
        <v>552</v>
      </c>
      <c r="B328" s="91">
        <v>84</v>
      </c>
      <c r="C328" s="67" t="s">
        <v>552</v>
      </c>
      <c r="D328" s="95" t="str">
        <f t="shared" ref="D328:D391" si="5">IFERROR(INDEX($F$6:$G$1048576,MATCH($C328,$G$6:$G$1048576,0),MATCH($D$6,$F$6:$G$6,0)),"")</f>
        <v>MSUMI</v>
      </c>
      <c r="F328" s="2" t="s">
        <v>784</v>
      </c>
      <c r="G328" s="2" t="s">
        <v>785</v>
      </c>
      <c r="H328" s="2" t="s">
        <v>4362</v>
      </c>
    </row>
    <row r="329" spans="1:8" x14ac:dyDescent="0.35">
      <c r="A329" s="80" t="s">
        <v>6096</v>
      </c>
      <c r="B329" s="91">
        <v>29</v>
      </c>
      <c r="C329" s="67" t="s">
        <v>552</v>
      </c>
      <c r="D329" s="95" t="str">
        <f t="shared" si="5"/>
        <v>MSUMI</v>
      </c>
      <c r="F329" s="2" t="s">
        <v>786</v>
      </c>
      <c r="G329" s="2" t="s">
        <v>787</v>
      </c>
      <c r="H329" s="2" t="s">
        <v>4362</v>
      </c>
    </row>
    <row r="330" spans="1:8" x14ac:dyDescent="0.35">
      <c r="A330" s="80" t="s">
        <v>449</v>
      </c>
      <c r="B330" s="91">
        <v>76</v>
      </c>
      <c r="C330" s="67" t="s">
        <v>449</v>
      </c>
      <c r="D330" s="95" t="str">
        <f t="shared" si="5"/>
        <v>MPHASIS</v>
      </c>
      <c r="F330" s="2" t="s">
        <v>788</v>
      </c>
      <c r="G330" s="2" t="s">
        <v>789</v>
      </c>
      <c r="H330" s="2" t="s">
        <v>4362</v>
      </c>
    </row>
    <row r="331" spans="1:8" x14ac:dyDescent="0.35">
      <c r="A331" s="80" t="s">
        <v>5976</v>
      </c>
      <c r="B331" s="91">
        <v>62</v>
      </c>
      <c r="C331" s="67" t="s">
        <v>6213</v>
      </c>
      <c r="D331" s="95" t="str">
        <f t="shared" si="5"/>
        <v>MPHASIS</v>
      </c>
      <c r="F331" s="2" t="s">
        <v>790</v>
      </c>
      <c r="G331" s="2" t="s">
        <v>791</v>
      </c>
      <c r="H331" s="2" t="s">
        <v>4362</v>
      </c>
    </row>
    <row r="332" spans="1:8" x14ac:dyDescent="0.35">
      <c r="A332" s="80" t="s">
        <v>6031</v>
      </c>
      <c r="B332" s="91">
        <v>38</v>
      </c>
      <c r="C332" s="67" t="s">
        <v>426</v>
      </c>
      <c r="D332" s="95" t="str">
        <f t="shared" si="5"/>
        <v>MRF</v>
      </c>
      <c r="F332" s="2" t="s">
        <v>792</v>
      </c>
      <c r="G332" s="2" t="s">
        <v>178</v>
      </c>
      <c r="H332" s="2" t="s">
        <v>4362</v>
      </c>
    </row>
    <row r="333" spans="1:8" x14ac:dyDescent="0.35">
      <c r="A333" s="80" t="s">
        <v>5910</v>
      </c>
      <c r="B333" s="91">
        <v>75</v>
      </c>
      <c r="C333" s="67" t="s">
        <v>5910</v>
      </c>
      <c r="D333" s="95" t="str">
        <f t="shared" si="5"/>
        <v>MTARTECH</v>
      </c>
      <c r="F333" s="2" t="s">
        <v>793</v>
      </c>
      <c r="G333" s="2" t="s">
        <v>794</v>
      </c>
      <c r="H333" s="2" t="s">
        <v>4362</v>
      </c>
    </row>
    <row r="334" spans="1:8" x14ac:dyDescent="0.35">
      <c r="A334" s="80" t="s">
        <v>5913</v>
      </c>
      <c r="B334" s="91">
        <v>69</v>
      </c>
      <c r="C334" s="67" t="s">
        <v>5913</v>
      </c>
      <c r="D334" s="95" t="s">
        <v>6237</v>
      </c>
      <c r="F334" s="2" t="s">
        <v>795</v>
      </c>
      <c r="G334" s="2" t="s">
        <v>796</v>
      </c>
      <c r="H334" s="2" t="s">
        <v>4362</v>
      </c>
    </row>
    <row r="335" spans="1:8" x14ac:dyDescent="0.35">
      <c r="A335" s="80" t="s">
        <v>5984</v>
      </c>
      <c r="B335" s="91">
        <v>9</v>
      </c>
      <c r="C335" s="67" t="s">
        <v>6214</v>
      </c>
      <c r="D335" s="95" t="s">
        <v>6237</v>
      </c>
      <c r="F335" s="2" t="s">
        <v>797</v>
      </c>
      <c r="G335" s="2" t="s">
        <v>798</v>
      </c>
      <c r="H335" s="2" t="s">
        <v>4362</v>
      </c>
    </row>
    <row r="336" spans="1:8" x14ac:dyDescent="0.35">
      <c r="A336" s="80" t="s">
        <v>4415</v>
      </c>
      <c r="B336" s="91">
        <v>51</v>
      </c>
      <c r="C336" s="67" t="s">
        <v>402</v>
      </c>
      <c r="D336" s="95" t="str">
        <f t="shared" si="5"/>
        <v>MUTHOOTFIN</v>
      </c>
      <c r="F336" s="2" t="s">
        <v>799</v>
      </c>
      <c r="G336" s="2" t="s">
        <v>800</v>
      </c>
      <c r="H336" s="2" t="s">
        <v>4362</v>
      </c>
    </row>
    <row r="337" spans="1:8" x14ac:dyDescent="0.35">
      <c r="A337" s="80" t="s">
        <v>171</v>
      </c>
      <c r="B337" s="91">
        <v>74</v>
      </c>
      <c r="C337" s="67" t="s">
        <v>171</v>
      </c>
      <c r="D337" s="95" t="str">
        <f t="shared" si="5"/>
        <v>NACLIND</v>
      </c>
      <c r="F337" s="2" t="s">
        <v>801</v>
      </c>
      <c r="G337" s="2" t="s">
        <v>802</v>
      </c>
      <c r="H337" s="2" t="s">
        <v>4362</v>
      </c>
    </row>
    <row r="338" spans="1:8" x14ac:dyDescent="0.35">
      <c r="A338" s="80" t="s">
        <v>173</v>
      </c>
      <c r="B338" s="91">
        <v>79</v>
      </c>
      <c r="C338" s="67" t="s">
        <v>173</v>
      </c>
      <c r="D338" s="95" t="str">
        <f t="shared" si="5"/>
        <v>NAHARSPING</v>
      </c>
      <c r="F338" s="2" t="s">
        <v>803</v>
      </c>
      <c r="G338" s="2" t="s">
        <v>804</v>
      </c>
      <c r="H338" s="2" t="s">
        <v>4362</v>
      </c>
    </row>
    <row r="339" spans="1:8" x14ac:dyDescent="0.35">
      <c r="A339" s="80" t="s">
        <v>5907</v>
      </c>
      <c r="B339" s="91">
        <v>1</v>
      </c>
      <c r="C339" s="67" t="s">
        <v>5907</v>
      </c>
      <c r="D339" s="95" t="s">
        <v>638</v>
      </c>
      <c r="F339" s="2" t="s">
        <v>805</v>
      </c>
      <c r="G339" s="2" t="s">
        <v>806</v>
      </c>
      <c r="H339" s="2" t="s">
        <v>4362</v>
      </c>
    </row>
    <row r="340" spans="1:8" x14ac:dyDescent="0.35">
      <c r="A340" s="80" t="s">
        <v>6158</v>
      </c>
      <c r="B340" s="91">
        <v>48</v>
      </c>
      <c r="C340" s="67" t="s">
        <v>777</v>
      </c>
      <c r="D340" s="95" t="str">
        <f t="shared" si="5"/>
        <v>NATCOPHARM</v>
      </c>
      <c r="F340" s="2" t="s">
        <v>807</v>
      </c>
      <c r="G340" s="2" t="s">
        <v>82</v>
      </c>
      <c r="H340" s="2" t="s">
        <v>4362</v>
      </c>
    </row>
    <row r="341" spans="1:8" x14ac:dyDescent="0.35">
      <c r="A341" s="80" t="s">
        <v>6157</v>
      </c>
      <c r="B341" s="91">
        <v>46</v>
      </c>
      <c r="C341" s="67" t="s">
        <v>668</v>
      </c>
      <c r="D341" s="95" t="str">
        <f t="shared" si="5"/>
        <v>NATIONALUM</v>
      </c>
      <c r="F341" s="2" t="s">
        <v>808</v>
      </c>
      <c r="G341" s="2" t="s">
        <v>809</v>
      </c>
      <c r="H341" s="2" t="s">
        <v>4362</v>
      </c>
    </row>
    <row r="342" spans="1:8" x14ac:dyDescent="0.35">
      <c r="A342" s="80" t="s">
        <v>558</v>
      </c>
      <c r="B342" s="91">
        <v>50</v>
      </c>
      <c r="C342" s="67" t="s">
        <v>558</v>
      </c>
      <c r="D342" s="95" t="str">
        <f t="shared" si="5"/>
        <v>NAVINFLUOR</v>
      </c>
      <c r="F342" s="2" t="s">
        <v>810</v>
      </c>
      <c r="G342" s="2" t="s">
        <v>811</v>
      </c>
      <c r="H342" s="2" t="s">
        <v>4362</v>
      </c>
    </row>
    <row r="343" spans="1:8" x14ac:dyDescent="0.35">
      <c r="A343" s="80" t="s">
        <v>6087</v>
      </c>
      <c r="B343" s="91">
        <v>11</v>
      </c>
      <c r="C343" s="67" t="s">
        <v>558</v>
      </c>
      <c r="D343" s="95" t="str">
        <f t="shared" si="5"/>
        <v>NAVINFLUOR</v>
      </c>
      <c r="F343" s="2" t="s">
        <v>812</v>
      </c>
      <c r="G343" s="2" t="s">
        <v>813</v>
      </c>
      <c r="H343" s="2" t="s">
        <v>4362</v>
      </c>
    </row>
    <row r="344" spans="1:8" x14ac:dyDescent="0.35">
      <c r="A344" s="80" t="s">
        <v>1271</v>
      </c>
      <c r="B344" s="91">
        <v>145</v>
      </c>
      <c r="C344" s="67" t="s">
        <v>1271</v>
      </c>
      <c r="D344" s="95" t="str">
        <f t="shared" si="5"/>
        <v>NAZARA</v>
      </c>
      <c r="F344" s="2" t="s">
        <v>814</v>
      </c>
      <c r="G344" s="2" t="s">
        <v>815</v>
      </c>
      <c r="H344" s="2" t="s">
        <v>4362</v>
      </c>
    </row>
    <row r="345" spans="1:8" x14ac:dyDescent="0.35">
      <c r="A345" s="80" t="s">
        <v>6136</v>
      </c>
      <c r="B345" s="91">
        <v>48</v>
      </c>
      <c r="C345" s="67" t="s">
        <v>939</v>
      </c>
      <c r="D345" s="95" t="str">
        <f t="shared" si="5"/>
        <v>NCC</v>
      </c>
      <c r="F345" s="2" t="s">
        <v>816</v>
      </c>
      <c r="G345" s="2" t="s">
        <v>817</v>
      </c>
      <c r="H345" s="2" t="s">
        <v>4362</v>
      </c>
    </row>
    <row r="346" spans="1:8" x14ac:dyDescent="0.35">
      <c r="A346" s="80" t="s">
        <v>1298</v>
      </c>
      <c r="B346" s="91">
        <v>29</v>
      </c>
      <c r="C346" s="67" t="s">
        <v>1298</v>
      </c>
      <c r="D346" s="95" t="str">
        <f t="shared" si="5"/>
        <v>NEOGEN</v>
      </c>
      <c r="F346" s="2" t="s">
        <v>818</v>
      </c>
      <c r="G346" s="2" t="s">
        <v>76</v>
      </c>
      <c r="H346" s="2" t="s">
        <v>4362</v>
      </c>
    </row>
    <row r="347" spans="1:8" x14ac:dyDescent="0.35">
      <c r="A347" s="80" t="s">
        <v>6131</v>
      </c>
      <c r="B347" s="91">
        <v>29</v>
      </c>
      <c r="C347" s="67" t="s">
        <v>1449</v>
      </c>
      <c r="D347" s="95" t="str">
        <f t="shared" si="5"/>
        <v>NEULANDLAB</v>
      </c>
      <c r="F347" s="2" t="s">
        <v>819</v>
      </c>
      <c r="G347" s="2" t="s">
        <v>820</v>
      </c>
      <c r="H347" s="2" t="s">
        <v>4362</v>
      </c>
    </row>
    <row r="348" spans="1:8" x14ac:dyDescent="0.35">
      <c r="A348" s="80" t="s">
        <v>394</v>
      </c>
      <c r="B348" s="91">
        <v>54</v>
      </c>
      <c r="C348" s="67" t="s">
        <v>394</v>
      </c>
      <c r="D348" s="95" t="str">
        <f t="shared" si="5"/>
        <v>NHPC</v>
      </c>
      <c r="F348" s="2" t="s">
        <v>821</v>
      </c>
      <c r="G348" s="2" t="s">
        <v>822</v>
      </c>
      <c r="H348" s="2" t="s">
        <v>4362</v>
      </c>
    </row>
    <row r="349" spans="1:8" x14ac:dyDescent="0.35">
      <c r="A349" s="80" t="s">
        <v>6073</v>
      </c>
      <c r="B349" s="91">
        <v>26</v>
      </c>
      <c r="C349" s="67" t="s">
        <v>6073</v>
      </c>
      <c r="D349" s="95" t="s">
        <v>6238</v>
      </c>
      <c r="F349" s="2" t="s">
        <v>823</v>
      </c>
      <c r="G349" s="2" t="s">
        <v>824</v>
      </c>
      <c r="H349" s="2" t="s">
        <v>4362</v>
      </c>
    </row>
    <row r="350" spans="1:8" x14ac:dyDescent="0.35">
      <c r="A350" s="80" t="s">
        <v>1138</v>
      </c>
      <c r="B350" s="91">
        <v>122</v>
      </c>
      <c r="C350" s="67" t="s">
        <v>1138</v>
      </c>
      <c r="D350" s="95" t="str">
        <f t="shared" si="5"/>
        <v>NIITLTD</v>
      </c>
      <c r="F350" s="2" t="s">
        <v>825</v>
      </c>
      <c r="G350" s="2" t="s">
        <v>826</v>
      </c>
      <c r="H350" s="2" t="s">
        <v>4362</v>
      </c>
    </row>
    <row r="351" spans="1:8" x14ac:dyDescent="0.35">
      <c r="A351" s="80" t="s">
        <v>92</v>
      </c>
      <c r="B351" s="91">
        <v>43</v>
      </c>
      <c r="C351" s="67" t="s">
        <v>92</v>
      </c>
      <c r="D351" s="95" t="str">
        <f t="shared" si="5"/>
        <v>NITINSPIN</v>
      </c>
      <c r="F351" s="2" t="s">
        <v>827</v>
      </c>
      <c r="G351" s="2" t="s">
        <v>64</v>
      </c>
      <c r="H351" s="2" t="s">
        <v>4362</v>
      </c>
    </row>
    <row r="352" spans="1:8" x14ac:dyDescent="0.35">
      <c r="A352" s="80" t="s">
        <v>761</v>
      </c>
      <c r="B352" s="91">
        <v>72</v>
      </c>
      <c r="C352" s="67" t="s">
        <v>761</v>
      </c>
      <c r="D352" s="95" t="str">
        <f t="shared" si="5"/>
        <v>NLCINDIA</v>
      </c>
      <c r="F352" s="2" t="s">
        <v>828</v>
      </c>
      <c r="G352" s="2" t="s">
        <v>829</v>
      </c>
      <c r="H352" s="2" t="s">
        <v>4362</v>
      </c>
    </row>
    <row r="353" spans="1:8" x14ac:dyDescent="0.35">
      <c r="A353" s="80" t="s">
        <v>457</v>
      </c>
      <c r="B353" s="91">
        <v>72</v>
      </c>
      <c r="C353" s="67" t="s">
        <v>457</v>
      </c>
      <c r="D353" s="95" t="str">
        <f t="shared" si="5"/>
        <v>NMDC</v>
      </c>
      <c r="F353" s="2" t="s">
        <v>830</v>
      </c>
      <c r="G353" s="2" t="s">
        <v>831</v>
      </c>
      <c r="H353" s="2" t="s">
        <v>4362</v>
      </c>
    </row>
    <row r="354" spans="1:8" x14ac:dyDescent="0.35">
      <c r="A354" s="80" t="s">
        <v>826</v>
      </c>
      <c r="B354" s="91">
        <v>86</v>
      </c>
      <c r="C354" s="67" t="s">
        <v>826</v>
      </c>
      <c r="D354" s="95" t="str">
        <f t="shared" si="5"/>
        <v>NSLNISP</v>
      </c>
      <c r="F354" s="2" t="s">
        <v>832</v>
      </c>
      <c r="G354" s="2" t="s">
        <v>833</v>
      </c>
      <c r="H354" s="2" t="s">
        <v>4362</v>
      </c>
    </row>
    <row r="355" spans="1:8" x14ac:dyDescent="0.35">
      <c r="A355" s="80" t="s">
        <v>112</v>
      </c>
      <c r="B355" s="91">
        <v>16</v>
      </c>
      <c r="C355" s="67" t="s">
        <v>112</v>
      </c>
      <c r="D355" s="95" t="str">
        <f t="shared" si="5"/>
        <v>NTPC</v>
      </c>
      <c r="F355" s="2" t="s">
        <v>834</v>
      </c>
      <c r="G355" s="2" t="s">
        <v>835</v>
      </c>
      <c r="H355" s="2" t="s">
        <v>4362</v>
      </c>
    </row>
    <row r="356" spans="1:8" x14ac:dyDescent="0.35">
      <c r="A356" s="80" t="s">
        <v>6162</v>
      </c>
      <c r="B356" s="91">
        <v>55</v>
      </c>
      <c r="C356" s="67" t="s">
        <v>718</v>
      </c>
      <c r="D356" s="95" t="str">
        <f t="shared" si="5"/>
        <v>NUVOCO</v>
      </c>
      <c r="F356" s="2" t="s">
        <v>836</v>
      </c>
      <c r="G356" s="2" t="s">
        <v>837</v>
      </c>
      <c r="H356" s="2" t="s">
        <v>4362</v>
      </c>
    </row>
    <row r="357" spans="1:8" x14ac:dyDescent="0.35">
      <c r="A357" s="80" t="s">
        <v>4432</v>
      </c>
      <c r="B357" s="91">
        <v>36</v>
      </c>
      <c r="C357" s="67" t="s">
        <v>469</v>
      </c>
      <c r="D357" s="95" t="str">
        <f t="shared" si="5"/>
        <v>OBEROIRLTY</v>
      </c>
      <c r="F357" s="2" t="s">
        <v>838</v>
      </c>
      <c r="G357" s="2" t="s">
        <v>839</v>
      </c>
      <c r="H357" s="2" t="s">
        <v>4362</v>
      </c>
    </row>
    <row r="358" spans="1:8" x14ac:dyDescent="0.35">
      <c r="A358" s="80" t="s">
        <v>111</v>
      </c>
      <c r="B358" s="91">
        <v>5</v>
      </c>
      <c r="C358" s="67" t="s">
        <v>111</v>
      </c>
      <c r="D358" s="95" t="str">
        <f t="shared" si="5"/>
        <v>ORCHPHARMA</v>
      </c>
      <c r="F358" s="2" t="s">
        <v>840</v>
      </c>
      <c r="G358" s="2" t="s">
        <v>841</v>
      </c>
      <c r="H358" s="2" t="s">
        <v>4362</v>
      </c>
    </row>
    <row r="359" spans="1:8" x14ac:dyDescent="0.35">
      <c r="A359" s="80" t="s">
        <v>1455</v>
      </c>
      <c r="B359" s="91">
        <v>140</v>
      </c>
      <c r="C359" s="67" t="s">
        <v>1455</v>
      </c>
      <c r="D359" s="95" t="str">
        <f t="shared" si="5"/>
        <v>ORIENTCEM</v>
      </c>
      <c r="F359" s="2" t="s">
        <v>842</v>
      </c>
      <c r="G359" s="2" t="s">
        <v>843</v>
      </c>
      <c r="H359" s="2" t="s">
        <v>4362</v>
      </c>
    </row>
    <row r="360" spans="1:8" x14ac:dyDescent="0.35">
      <c r="A360" s="80" t="s">
        <v>993</v>
      </c>
      <c r="B360" s="91">
        <v>71</v>
      </c>
      <c r="C360" s="67" t="s">
        <v>993</v>
      </c>
      <c r="D360" s="95" t="str">
        <f t="shared" si="5"/>
        <v>ORIENTELEC</v>
      </c>
      <c r="F360" s="2" t="s">
        <v>844</v>
      </c>
      <c r="G360" s="2" t="s">
        <v>845</v>
      </c>
      <c r="H360" s="2" t="s">
        <v>4362</v>
      </c>
    </row>
    <row r="361" spans="1:8" x14ac:dyDescent="0.35">
      <c r="A361" s="80" t="s">
        <v>160</v>
      </c>
      <c r="B361" s="91">
        <v>179</v>
      </c>
      <c r="C361" s="67" t="s">
        <v>160</v>
      </c>
      <c r="D361" s="95" t="str">
        <f t="shared" si="5"/>
        <v>ORIENTPPR</v>
      </c>
      <c r="F361" s="2" t="s">
        <v>846</v>
      </c>
      <c r="G361" s="2" t="s">
        <v>847</v>
      </c>
      <c r="H361" s="2" t="s">
        <v>4362</v>
      </c>
    </row>
    <row r="362" spans="1:8" x14ac:dyDescent="0.35">
      <c r="A362" s="80" t="s">
        <v>6020</v>
      </c>
      <c r="B362" s="91">
        <v>48</v>
      </c>
      <c r="C362" s="67" t="s">
        <v>6184</v>
      </c>
      <c r="D362" s="95" t="s">
        <v>360</v>
      </c>
      <c r="F362" s="2" t="s">
        <v>848</v>
      </c>
      <c r="G362" s="2" t="s">
        <v>849</v>
      </c>
      <c r="H362" s="2" t="s">
        <v>4362</v>
      </c>
    </row>
    <row r="363" spans="1:8" x14ac:dyDescent="0.35">
      <c r="A363" s="80" t="s">
        <v>387</v>
      </c>
      <c r="B363" s="91">
        <v>88</v>
      </c>
      <c r="C363" s="67" t="s">
        <v>387</v>
      </c>
      <c r="D363" s="95" t="str">
        <f t="shared" si="5"/>
        <v>PAGEIND</v>
      </c>
      <c r="F363" s="2" t="s">
        <v>850</v>
      </c>
      <c r="G363" s="2" t="s">
        <v>154</v>
      </c>
      <c r="H363" s="2" t="s">
        <v>4362</v>
      </c>
    </row>
    <row r="364" spans="1:8" x14ac:dyDescent="0.35">
      <c r="A364" s="80" t="s">
        <v>5944</v>
      </c>
      <c r="B364" s="91">
        <v>48</v>
      </c>
      <c r="C364" s="67" t="s">
        <v>387</v>
      </c>
      <c r="D364" s="95" t="str">
        <f t="shared" si="5"/>
        <v>PAGEIND</v>
      </c>
      <c r="F364" s="2" t="s">
        <v>851</v>
      </c>
      <c r="G364" s="2" t="s">
        <v>107</v>
      </c>
      <c r="H364" s="2" t="s">
        <v>4362</v>
      </c>
    </row>
    <row r="365" spans="1:8" x14ac:dyDescent="0.35">
      <c r="A365" s="80" t="s">
        <v>4435</v>
      </c>
      <c r="B365" s="91">
        <v>7</v>
      </c>
      <c r="C365" s="67" t="s">
        <v>387</v>
      </c>
      <c r="D365" s="95" t="str">
        <f t="shared" si="5"/>
        <v>PAGEIND</v>
      </c>
      <c r="F365" s="2" t="s">
        <v>852</v>
      </c>
      <c r="G365" s="2" t="s">
        <v>78</v>
      </c>
      <c r="H365" s="2" t="s">
        <v>4362</v>
      </c>
    </row>
    <row r="366" spans="1:8" x14ac:dyDescent="0.35">
      <c r="A366" s="80" t="s">
        <v>1173</v>
      </c>
      <c r="B366" s="91">
        <v>70</v>
      </c>
      <c r="C366" s="67" t="s">
        <v>1173</v>
      </c>
      <c r="D366" s="95" t="str">
        <f t="shared" si="5"/>
        <v>PARADEEP</v>
      </c>
      <c r="F366" s="2" t="s">
        <v>853</v>
      </c>
      <c r="G366" s="2" t="s">
        <v>854</v>
      </c>
      <c r="H366" s="2" t="s">
        <v>4362</v>
      </c>
    </row>
    <row r="367" spans="1:8" x14ac:dyDescent="0.35">
      <c r="A367" s="80" t="s">
        <v>6051</v>
      </c>
      <c r="B367" s="91">
        <v>76</v>
      </c>
      <c r="C367" s="67" t="s">
        <v>486</v>
      </c>
      <c r="D367" s="95" t="str">
        <f t="shared" si="5"/>
        <v>POLICYBZR</v>
      </c>
      <c r="F367" s="2" t="s">
        <v>855</v>
      </c>
      <c r="G367" s="2" t="s">
        <v>856</v>
      </c>
      <c r="H367" s="2" t="s">
        <v>4362</v>
      </c>
    </row>
    <row r="368" spans="1:8" x14ac:dyDescent="0.35">
      <c r="A368" s="80" t="s">
        <v>433</v>
      </c>
      <c r="B368" s="91">
        <v>144</v>
      </c>
      <c r="C368" s="67" t="s">
        <v>433</v>
      </c>
      <c r="D368" s="95" t="str">
        <f t="shared" si="5"/>
        <v>PERSISTENT</v>
      </c>
      <c r="F368" s="2" t="s">
        <v>857</v>
      </c>
      <c r="G368" s="2" t="s">
        <v>858</v>
      </c>
      <c r="H368" s="2" t="s">
        <v>4362</v>
      </c>
    </row>
    <row r="369" spans="1:8" x14ac:dyDescent="0.35">
      <c r="A369" s="80" t="s">
        <v>41</v>
      </c>
      <c r="B369" s="91">
        <v>56</v>
      </c>
      <c r="C369" s="67" t="s">
        <v>433</v>
      </c>
      <c r="D369" s="95" t="str">
        <f t="shared" si="5"/>
        <v>PERSISTENT</v>
      </c>
      <c r="F369" s="2" t="s">
        <v>859</v>
      </c>
      <c r="G369" s="2" t="s">
        <v>860</v>
      </c>
      <c r="H369" s="2" t="s">
        <v>4362</v>
      </c>
    </row>
    <row r="370" spans="1:8" x14ac:dyDescent="0.35">
      <c r="A370" s="80" t="s">
        <v>6155</v>
      </c>
      <c r="B370" s="91">
        <v>42</v>
      </c>
      <c r="C370" s="67" t="s">
        <v>637</v>
      </c>
      <c r="D370" s="95" t="str">
        <f t="shared" si="5"/>
        <v>PFIZER</v>
      </c>
      <c r="F370" s="2" t="s">
        <v>861</v>
      </c>
      <c r="G370" s="2" t="s">
        <v>862</v>
      </c>
      <c r="H370" s="2" t="s">
        <v>4362</v>
      </c>
    </row>
    <row r="371" spans="1:8" x14ac:dyDescent="0.35">
      <c r="A371" s="80" t="s">
        <v>5941</v>
      </c>
      <c r="B371" s="91">
        <v>34</v>
      </c>
      <c r="C371" s="67" t="s">
        <v>361</v>
      </c>
      <c r="D371" s="95" t="str">
        <f t="shared" si="5"/>
        <v>PIIND</v>
      </c>
      <c r="F371" s="2" t="s">
        <v>863</v>
      </c>
      <c r="G371" s="2" t="s">
        <v>124</v>
      </c>
      <c r="H371" s="2" t="s">
        <v>4362</v>
      </c>
    </row>
    <row r="372" spans="1:8" x14ac:dyDescent="0.35">
      <c r="A372" s="80" t="s">
        <v>6152</v>
      </c>
      <c r="B372" s="91">
        <v>36</v>
      </c>
      <c r="C372" s="67" t="s">
        <v>361</v>
      </c>
      <c r="D372" s="95" t="str">
        <f t="shared" si="5"/>
        <v>PIIND</v>
      </c>
      <c r="F372" s="2" t="s">
        <v>864</v>
      </c>
      <c r="G372" s="2" t="s">
        <v>865</v>
      </c>
      <c r="H372" s="2" t="s">
        <v>4362</v>
      </c>
    </row>
    <row r="373" spans="1:8" x14ac:dyDescent="0.35">
      <c r="A373" s="80" t="s">
        <v>67</v>
      </c>
      <c r="B373" s="91">
        <v>32</v>
      </c>
      <c r="C373" s="67" t="s">
        <v>67</v>
      </c>
      <c r="D373" s="95" t="str">
        <f t="shared" si="5"/>
        <v>PEL</v>
      </c>
      <c r="F373" s="2" t="s">
        <v>866</v>
      </c>
      <c r="G373" s="2" t="s">
        <v>867</v>
      </c>
      <c r="H373" s="2" t="s">
        <v>4362</v>
      </c>
    </row>
    <row r="374" spans="1:8" x14ac:dyDescent="0.35">
      <c r="A374" s="80" t="s">
        <v>6049</v>
      </c>
      <c r="B374" s="91">
        <v>71</v>
      </c>
      <c r="C374" s="67" t="s">
        <v>6049</v>
      </c>
      <c r="D374" s="95" t="s">
        <v>905</v>
      </c>
      <c r="F374" s="2" t="s">
        <v>868</v>
      </c>
      <c r="G374" s="2" t="s">
        <v>869</v>
      </c>
      <c r="H374" s="2" t="s">
        <v>4362</v>
      </c>
    </row>
    <row r="375" spans="1:8" x14ac:dyDescent="0.35">
      <c r="A375" s="80" t="s">
        <v>906</v>
      </c>
      <c r="B375" s="91">
        <v>104</v>
      </c>
      <c r="C375" s="67" t="s">
        <v>906</v>
      </c>
      <c r="D375" s="95" t="str">
        <f t="shared" si="5"/>
        <v>PNCINFRA</v>
      </c>
      <c r="F375" s="2" t="s">
        <v>870</v>
      </c>
      <c r="G375" s="2" t="s">
        <v>871</v>
      </c>
      <c r="H375" s="2" t="s">
        <v>4362</v>
      </c>
    </row>
    <row r="376" spans="1:8" x14ac:dyDescent="0.35">
      <c r="A376" s="80" t="s">
        <v>5988</v>
      </c>
      <c r="B376" s="91">
        <v>13</v>
      </c>
      <c r="C376" s="67" t="s">
        <v>906</v>
      </c>
      <c r="D376" s="95" t="str">
        <f t="shared" si="5"/>
        <v>PNCINFRA</v>
      </c>
      <c r="F376" s="2" t="s">
        <v>872</v>
      </c>
      <c r="G376" s="2" t="s">
        <v>873</v>
      </c>
      <c r="H376" s="2" t="s">
        <v>4362</v>
      </c>
    </row>
    <row r="377" spans="1:8" x14ac:dyDescent="0.35">
      <c r="A377" s="80" t="s">
        <v>2139</v>
      </c>
      <c r="B377" s="91">
        <v>162</v>
      </c>
      <c r="C377" s="67" t="s">
        <v>2139</v>
      </c>
      <c r="D377" s="95" t="str">
        <f t="shared" si="5"/>
        <v>POKARNA</v>
      </c>
      <c r="F377" s="2" t="s">
        <v>874</v>
      </c>
      <c r="G377" s="2" t="s">
        <v>108</v>
      </c>
      <c r="H377" s="2" t="s">
        <v>4362</v>
      </c>
    </row>
    <row r="378" spans="1:8" x14ac:dyDescent="0.35">
      <c r="A378" s="80" t="s">
        <v>381</v>
      </c>
      <c r="B378" s="91">
        <v>16</v>
      </c>
      <c r="C378" s="67" t="s">
        <v>381</v>
      </c>
      <c r="D378" s="95" t="str">
        <f t="shared" si="5"/>
        <v>POLYCAB</v>
      </c>
      <c r="F378" s="2" t="s">
        <v>875</v>
      </c>
      <c r="G378" s="2" t="s">
        <v>165</v>
      </c>
      <c r="H378" s="2" t="s">
        <v>4362</v>
      </c>
    </row>
    <row r="379" spans="1:8" x14ac:dyDescent="0.35">
      <c r="A379" s="80" t="s">
        <v>1243</v>
      </c>
      <c r="B379" s="91">
        <v>141</v>
      </c>
      <c r="C379" s="67" t="s">
        <v>1243</v>
      </c>
      <c r="D379" s="95" t="str">
        <f t="shared" si="5"/>
        <v>POLYPLEX</v>
      </c>
      <c r="F379" s="2" t="s">
        <v>876</v>
      </c>
      <c r="G379" s="2" t="s">
        <v>877</v>
      </c>
      <c r="H379" s="2" t="s">
        <v>4362</v>
      </c>
    </row>
    <row r="380" spans="1:8" x14ac:dyDescent="0.35">
      <c r="A380" s="80" t="s">
        <v>544</v>
      </c>
      <c r="B380" s="91">
        <v>42</v>
      </c>
      <c r="C380" s="67" t="s">
        <v>544</v>
      </c>
      <c r="D380" s="95" t="str">
        <f t="shared" si="5"/>
        <v>POONAWALLA</v>
      </c>
      <c r="F380" s="2" t="s">
        <v>878</v>
      </c>
      <c r="G380" s="2" t="s">
        <v>879</v>
      </c>
      <c r="H380" s="2" t="s">
        <v>4362</v>
      </c>
    </row>
    <row r="381" spans="1:8" x14ac:dyDescent="0.35">
      <c r="A381" s="80" t="s">
        <v>398</v>
      </c>
      <c r="B381" s="91">
        <v>2</v>
      </c>
      <c r="C381" s="67" t="s">
        <v>398</v>
      </c>
      <c r="D381" s="95" t="str">
        <f t="shared" si="5"/>
        <v>PFC</v>
      </c>
      <c r="F381" s="2" t="s">
        <v>880</v>
      </c>
      <c r="G381" s="2" t="s">
        <v>881</v>
      </c>
      <c r="H381" s="2" t="s">
        <v>4362</v>
      </c>
    </row>
    <row r="382" spans="1:8" x14ac:dyDescent="0.35">
      <c r="A382" s="80" t="s">
        <v>5978</v>
      </c>
      <c r="B382" s="91">
        <v>65</v>
      </c>
      <c r="C382" s="67" t="s">
        <v>6215</v>
      </c>
      <c r="D382" s="95" t="str">
        <f t="shared" si="5"/>
        <v>POWERGRID</v>
      </c>
      <c r="F382" s="2" t="s">
        <v>882</v>
      </c>
      <c r="G382" s="2" t="s">
        <v>883</v>
      </c>
      <c r="H382" s="2" t="s">
        <v>4362</v>
      </c>
    </row>
    <row r="383" spans="1:8" x14ac:dyDescent="0.35">
      <c r="A383" s="80" t="s">
        <v>1632</v>
      </c>
      <c r="B383" s="91">
        <v>57</v>
      </c>
      <c r="C383" s="67" t="s">
        <v>1632</v>
      </c>
      <c r="D383" s="95" t="str">
        <f t="shared" si="5"/>
        <v>DIAMONDYD</v>
      </c>
      <c r="F383" s="2" t="s">
        <v>884</v>
      </c>
      <c r="G383" s="2" t="s">
        <v>885</v>
      </c>
      <c r="H383" s="2" t="s">
        <v>4362</v>
      </c>
    </row>
    <row r="384" spans="1:8" x14ac:dyDescent="0.35">
      <c r="A384" s="80" t="s">
        <v>631</v>
      </c>
      <c r="B384" s="91">
        <v>27</v>
      </c>
      <c r="C384" s="67" t="s">
        <v>631</v>
      </c>
      <c r="D384" s="95" t="str">
        <f t="shared" si="5"/>
        <v>PRESTIGE</v>
      </c>
      <c r="F384" s="2" t="s">
        <v>886</v>
      </c>
      <c r="G384" s="2" t="s">
        <v>887</v>
      </c>
      <c r="H384" s="2" t="s">
        <v>4362</v>
      </c>
    </row>
    <row r="385" spans="1:8" x14ac:dyDescent="0.35">
      <c r="A385" s="80" t="s">
        <v>6116</v>
      </c>
      <c r="B385" s="91">
        <v>60</v>
      </c>
      <c r="C385" s="67" t="s">
        <v>631</v>
      </c>
      <c r="D385" s="95" t="str">
        <f t="shared" si="5"/>
        <v>PRESTIGE</v>
      </c>
      <c r="F385" s="2" t="s">
        <v>888</v>
      </c>
      <c r="G385" s="2" t="s">
        <v>889</v>
      </c>
      <c r="H385" s="2" t="s">
        <v>4362</v>
      </c>
    </row>
    <row r="386" spans="1:8" x14ac:dyDescent="0.35">
      <c r="A386" s="80" t="s">
        <v>6161</v>
      </c>
      <c r="B386" s="91">
        <v>53</v>
      </c>
      <c r="C386" s="67" t="s">
        <v>1040</v>
      </c>
      <c r="D386" s="95" t="str">
        <f t="shared" si="5"/>
        <v>PRSMJOHNSN</v>
      </c>
      <c r="F386" s="2" t="s">
        <v>890</v>
      </c>
      <c r="G386" s="2" t="s">
        <v>891</v>
      </c>
      <c r="H386" s="2" t="s">
        <v>4362</v>
      </c>
    </row>
    <row r="387" spans="1:8" x14ac:dyDescent="0.35">
      <c r="A387" s="80" t="s">
        <v>5956</v>
      </c>
      <c r="B387" s="91">
        <v>25</v>
      </c>
      <c r="C387" s="67" t="s">
        <v>377</v>
      </c>
      <c r="D387" s="95" t="str">
        <f t="shared" si="5"/>
        <v>PGHH</v>
      </c>
      <c r="F387" s="2" t="s">
        <v>892</v>
      </c>
      <c r="G387" s="2" t="s">
        <v>893</v>
      </c>
      <c r="H387" s="2" t="s">
        <v>4362</v>
      </c>
    </row>
    <row r="388" spans="1:8" x14ac:dyDescent="0.35">
      <c r="A388" s="80" t="s">
        <v>1276</v>
      </c>
      <c r="B388" s="91">
        <v>77</v>
      </c>
      <c r="C388" s="67" t="s">
        <v>1276</v>
      </c>
      <c r="D388" s="95" t="str">
        <f t="shared" si="5"/>
        <v>PRUDENT</v>
      </c>
      <c r="F388" s="2" t="s">
        <v>894</v>
      </c>
      <c r="G388" s="2" t="s">
        <v>895</v>
      </c>
      <c r="H388" s="2" t="s">
        <v>4362</v>
      </c>
    </row>
    <row r="389" spans="1:8" x14ac:dyDescent="0.35">
      <c r="A389" s="80" t="s">
        <v>6138</v>
      </c>
      <c r="B389" s="91">
        <v>69</v>
      </c>
      <c r="C389" s="67" t="s">
        <v>1276</v>
      </c>
      <c r="D389" s="95" t="str">
        <f t="shared" si="5"/>
        <v>PRUDENT</v>
      </c>
      <c r="F389" s="2" t="s">
        <v>896</v>
      </c>
      <c r="G389" s="2" t="s">
        <v>109</v>
      </c>
      <c r="H389" s="2" t="s">
        <v>4362</v>
      </c>
    </row>
    <row r="390" spans="1:8" x14ac:dyDescent="0.35">
      <c r="A390" s="80" t="s">
        <v>6137</v>
      </c>
      <c r="B390" s="91">
        <v>54</v>
      </c>
      <c r="C390" s="67" t="s">
        <v>6185</v>
      </c>
      <c r="D390" s="95" t="s">
        <v>1984</v>
      </c>
      <c r="F390" s="2" t="s">
        <v>897</v>
      </c>
      <c r="G390" s="2" t="s">
        <v>898</v>
      </c>
      <c r="H390" s="2" t="s">
        <v>4362</v>
      </c>
    </row>
    <row r="391" spans="1:8" x14ac:dyDescent="0.35">
      <c r="A391" s="80" t="s">
        <v>65</v>
      </c>
      <c r="B391" s="91">
        <v>9</v>
      </c>
      <c r="C391" s="67" t="s">
        <v>65</v>
      </c>
      <c r="D391" s="95" t="str">
        <f t="shared" si="5"/>
        <v>PNB</v>
      </c>
      <c r="F391" s="2" t="s">
        <v>899</v>
      </c>
      <c r="G391" s="2" t="s">
        <v>900</v>
      </c>
      <c r="H391" s="2" t="s">
        <v>4362</v>
      </c>
    </row>
    <row r="392" spans="1:8" x14ac:dyDescent="0.35">
      <c r="A392" s="80" t="s">
        <v>635</v>
      </c>
      <c r="B392" s="91">
        <v>70</v>
      </c>
      <c r="C392" s="67" t="s">
        <v>635</v>
      </c>
      <c r="D392" s="95" t="str">
        <f t="shared" ref="D392:D455" si="6">IFERROR(INDEX($F$6:$G$1048576,MATCH($C392,$G$6:$G$1048576,0),MATCH($D$6,$F$6:$G$6,0)),"")</f>
        <v>RADICO</v>
      </c>
      <c r="F392" s="2" t="s">
        <v>901</v>
      </c>
      <c r="G392" s="2" t="s">
        <v>902</v>
      </c>
      <c r="H392" s="2" t="s">
        <v>4362</v>
      </c>
    </row>
    <row r="393" spans="1:8" x14ac:dyDescent="0.35">
      <c r="A393" s="80" t="s">
        <v>6092</v>
      </c>
      <c r="B393" s="91">
        <v>21</v>
      </c>
      <c r="C393" s="67" t="s">
        <v>635</v>
      </c>
      <c r="D393" s="95" t="str">
        <f t="shared" si="6"/>
        <v>RADICO</v>
      </c>
      <c r="F393" s="2" t="s">
        <v>903</v>
      </c>
      <c r="G393" s="2" t="s">
        <v>904</v>
      </c>
      <c r="H393" s="2" t="s">
        <v>4362</v>
      </c>
    </row>
    <row r="394" spans="1:8" x14ac:dyDescent="0.35">
      <c r="A394" s="80" t="s">
        <v>904</v>
      </c>
      <c r="B394" s="91">
        <v>137</v>
      </c>
      <c r="C394" s="67" t="s">
        <v>904</v>
      </c>
      <c r="D394" s="95" t="str">
        <f t="shared" si="6"/>
        <v>RAINBOW</v>
      </c>
      <c r="F394" s="2" t="s">
        <v>905</v>
      </c>
      <c r="G394" s="2" t="s">
        <v>906</v>
      </c>
      <c r="H394" s="2" t="s">
        <v>4362</v>
      </c>
    </row>
    <row r="395" spans="1:8" x14ac:dyDescent="0.35">
      <c r="A395" s="80" t="s">
        <v>1219</v>
      </c>
      <c r="B395" s="91">
        <v>87</v>
      </c>
      <c r="C395" s="67" t="s">
        <v>1219</v>
      </c>
      <c r="D395" s="95" t="str">
        <f t="shared" si="6"/>
        <v>RALLIS</v>
      </c>
      <c r="F395" s="2" t="s">
        <v>907</v>
      </c>
      <c r="G395" s="2" t="s">
        <v>908</v>
      </c>
      <c r="H395" s="2" t="s">
        <v>4362</v>
      </c>
    </row>
    <row r="396" spans="1:8" x14ac:dyDescent="0.35">
      <c r="A396" s="80" t="s">
        <v>150</v>
      </c>
      <c r="B396" s="91">
        <v>39</v>
      </c>
      <c r="C396" s="67" t="s">
        <v>150</v>
      </c>
      <c r="D396" s="95" t="str">
        <f t="shared" si="6"/>
        <v>RKFORGE</v>
      </c>
      <c r="F396" s="2" t="s">
        <v>909</v>
      </c>
      <c r="G396" s="2" t="s">
        <v>162</v>
      </c>
      <c r="H396" s="2" t="s">
        <v>4362</v>
      </c>
    </row>
    <row r="397" spans="1:8" x14ac:dyDescent="0.35">
      <c r="A397" s="80" t="s">
        <v>1223</v>
      </c>
      <c r="B397" s="91">
        <v>75</v>
      </c>
      <c r="C397" s="67" t="s">
        <v>1223</v>
      </c>
      <c r="D397" s="95" t="str">
        <f t="shared" si="6"/>
        <v>RATEGAIN</v>
      </c>
      <c r="F397" s="2" t="s">
        <v>910</v>
      </c>
      <c r="G397" s="2" t="s">
        <v>911</v>
      </c>
      <c r="H397" s="2" t="s">
        <v>4362</v>
      </c>
    </row>
    <row r="398" spans="1:8" x14ac:dyDescent="0.35">
      <c r="A398" s="80" t="s">
        <v>107</v>
      </c>
      <c r="B398" s="91">
        <v>78</v>
      </c>
      <c r="C398" s="67" t="s">
        <v>107</v>
      </c>
      <c r="D398" s="95" t="str">
        <f t="shared" si="6"/>
        <v>RBLBANK</v>
      </c>
      <c r="F398" s="2" t="s">
        <v>912</v>
      </c>
      <c r="G398" s="2" t="s">
        <v>913</v>
      </c>
      <c r="H398" s="2" t="s">
        <v>4362</v>
      </c>
    </row>
    <row r="399" spans="1:8" x14ac:dyDescent="0.35">
      <c r="A399" s="80" t="s">
        <v>60</v>
      </c>
      <c r="B399" s="91">
        <v>50</v>
      </c>
      <c r="C399" s="67" t="s">
        <v>60</v>
      </c>
      <c r="D399" s="95" t="str">
        <f t="shared" si="6"/>
        <v>RELIANCE</v>
      </c>
      <c r="F399" s="2" t="s">
        <v>914</v>
      </c>
      <c r="G399" s="2" t="s">
        <v>915</v>
      </c>
      <c r="H399" s="2" t="s">
        <v>4362</v>
      </c>
    </row>
    <row r="400" spans="1:8" x14ac:dyDescent="0.35">
      <c r="A400" s="80" t="s">
        <v>5917</v>
      </c>
      <c r="B400" s="91">
        <v>3</v>
      </c>
      <c r="C400" s="67" t="s">
        <v>60</v>
      </c>
      <c r="D400" s="95" t="str">
        <f t="shared" si="6"/>
        <v>RELIANCE</v>
      </c>
      <c r="F400" s="2" t="s">
        <v>916</v>
      </c>
      <c r="G400" s="2" t="s">
        <v>917</v>
      </c>
      <c r="H400" s="2" t="s">
        <v>4362</v>
      </c>
    </row>
    <row r="401" spans="1:8" x14ac:dyDescent="0.35">
      <c r="A401" s="80" t="s">
        <v>4389</v>
      </c>
      <c r="B401" s="91">
        <v>2</v>
      </c>
      <c r="C401" s="67" t="s">
        <v>60</v>
      </c>
      <c r="D401" s="95" t="str">
        <f t="shared" si="6"/>
        <v>RELIANCE</v>
      </c>
      <c r="F401" s="2" t="s">
        <v>918</v>
      </c>
      <c r="G401" s="2" t="s">
        <v>143</v>
      </c>
      <c r="H401" s="2" t="s">
        <v>4362</v>
      </c>
    </row>
    <row r="402" spans="1:8" x14ac:dyDescent="0.35">
      <c r="A402" s="80" t="s">
        <v>5909</v>
      </c>
      <c r="B402" s="91">
        <v>121</v>
      </c>
      <c r="C402" s="67" t="s">
        <v>5909</v>
      </c>
      <c r="D402" s="95" t="str">
        <f t="shared" si="6"/>
        <v>RHIM</v>
      </c>
      <c r="F402" s="2" t="s">
        <v>919</v>
      </c>
      <c r="G402" s="2" t="s">
        <v>920</v>
      </c>
      <c r="H402" s="2" t="s">
        <v>4362</v>
      </c>
    </row>
    <row r="403" spans="1:8" x14ac:dyDescent="0.35">
      <c r="A403" s="80" t="s">
        <v>849</v>
      </c>
      <c r="B403" s="91">
        <v>48</v>
      </c>
      <c r="C403" s="67" t="s">
        <v>849</v>
      </c>
      <c r="D403" s="95" t="str">
        <f t="shared" si="6"/>
        <v>RITES</v>
      </c>
      <c r="F403" s="2" t="s">
        <v>921</v>
      </c>
      <c r="G403" s="2" t="s">
        <v>176</v>
      </c>
      <c r="H403" s="2" t="s">
        <v>4362</v>
      </c>
    </row>
    <row r="404" spans="1:8" x14ac:dyDescent="0.35">
      <c r="A404" s="80" t="s">
        <v>1022</v>
      </c>
      <c r="B404" s="91">
        <v>165</v>
      </c>
      <c r="C404" s="67" t="s">
        <v>1022</v>
      </c>
      <c r="D404" s="95" t="str">
        <f t="shared" si="6"/>
        <v>ROLEXRINGS</v>
      </c>
      <c r="F404" s="2" t="s">
        <v>922</v>
      </c>
      <c r="G404" s="2" t="s">
        <v>923</v>
      </c>
      <c r="H404" s="2" t="s">
        <v>4362</v>
      </c>
    </row>
    <row r="405" spans="1:8" x14ac:dyDescent="0.35">
      <c r="A405" s="80" t="s">
        <v>5981</v>
      </c>
      <c r="B405" s="91">
        <v>5</v>
      </c>
      <c r="C405" s="67" t="s">
        <v>1022</v>
      </c>
      <c r="D405" s="95" t="str">
        <f t="shared" si="6"/>
        <v>ROLEXRINGS</v>
      </c>
      <c r="F405" s="2" t="s">
        <v>924</v>
      </c>
      <c r="G405" s="2" t="s">
        <v>925</v>
      </c>
      <c r="H405" s="2" t="s">
        <v>4362</v>
      </c>
    </row>
    <row r="406" spans="1:8" x14ac:dyDescent="0.35">
      <c r="A406" s="80" t="s">
        <v>157</v>
      </c>
      <c r="B406" s="91">
        <v>56</v>
      </c>
      <c r="C406" s="67" t="s">
        <v>157</v>
      </c>
      <c r="D406" s="95" t="str">
        <f t="shared" si="6"/>
        <v>ROSSARI</v>
      </c>
      <c r="F406" s="2" t="s">
        <v>926</v>
      </c>
      <c r="G406" s="2" t="s">
        <v>927</v>
      </c>
      <c r="H406" s="2" t="s">
        <v>4362</v>
      </c>
    </row>
    <row r="407" spans="1:8" x14ac:dyDescent="0.35">
      <c r="A407" s="80" t="s">
        <v>6015</v>
      </c>
      <c r="B407" s="91">
        <v>59</v>
      </c>
      <c r="C407" s="67" t="s">
        <v>6216</v>
      </c>
      <c r="D407" s="95" t="s">
        <v>2107</v>
      </c>
      <c r="F407" s="2" t="s">
        <v>928</v>
      </c>
      <c r="G407" s="2" t="s">
        <v>929</v>
      </c>
      <c r="H407" s="2" t="s">
        <v>4362</v>
      </c>
    </row>
    <row r="408" spans="1:8" x14ac:dyDescent="0.35">
      <c r="A408" s="80" t="s">
        <v>1869</v>
      </c>
      <c r="B408" s="91">
        <v>45</v>
      </c>
      <c r="C408" s="67" t="s">
        <v>6217</v>
      </c>
      <c r="D408" s="95" t="s">
        <v>1868</v>
      </c>
      <c r="F408" s="2" t="s">
        <v>930</v>
      </c>
      <c r="G408" s="2" t="s">
        <v>931</v>
      </c>
      <c r="H408" s="2" t="s">
        <v>4362</v>
      </c>
    </row>
    <row r="409" spans="1:8" x14ac:dyDescent="0.35">
      <c r="A409" s="80" t="s">
        <v>368</v>
      </c>
      <c r="B409" s="91">
        <v>29</v>
      </c>
      <c r="C409" s="67" t="s">
        <v>368</v>
      </c>
      <c r="D409" s="95" t="str">
        <f t="shared" si="6"/>
        <v>MOTHERSON</v>
      </c>
      <c r="F409" s="2" t="s">
        <v>932</v>
      </c>
      <c r="G409" s="2" t="s">
        <v>933</v>
      </c>
      <c r="H409" s="2" t="s">
        <v>4362</v>
      </c>
    </row>
    <row r="410" spans="1:8" x14ac:dyDescent="0.35">
      <c r="A410" s="80" t="s">
        <v>6042</v>
      </c>
      <c r="B410" s="91">
        <v>72</v>
      </c>
      <c r="C410" s="67" t="s">
        <v>6186</v>
      </c>
      <c r="D410" s="95" t="str">
        <f t="shared" si="6"/>
        <v>MOTHERSON</v>
      </c>
      <c r="F410" s="2" t="s">
        <v>934</v>
      </c>
      <c r="G410" s="2" t="s">
        <v>935</v>
      </c>
      <c r="H410" s="2" t="s">
        <v>4362</v>
      </c>
    </row>
    <row r="411" spans="1:8" x14ac:dyDescent="0.35">
      <c r="A411" s="80" t="s">
        <v>1863</v>
      </c>
      <c r="B411" s="91">
        <v>126</v>
      </c>
      <c r="C411" s="67" t="s">
        <v>1863</v>
      </c>
      <c r="D411" s="95" t="str">
        <f t="shared" si="6"/>
        <v>SANDHAR</v>
      </c>
      <c r="F411" s="2" t="s">
        <v>936</v>
      </c>
      <c r="G411" s="2" t="s">
        <v>937</v>
      </c>
      <c r="H411" s="2" t="s">
        <v>4362</v>
      </c>
    </row>
    <row r="412" spans="1:8" x14ac:dyDescent="0.35">
      <c r="A412" s="80" t="s">
        <v>6062</v>
      </c>
      <c r="B412" s="91">
        <v>58</v>
      </c>
      <c r="C412" s="67" t="s">
        <v>1863</v>
      </c>
      <c r="D412" s="95" t="str">
        <f t="shared" si="6"/>
        <v>SANDHAR</v>
      </c>
      <c r="F412" s="2" t="s">
        <v>938</v>
      </c>
      <c r="G412" s="2" t="s">
        <v>939</v>
      </c>
      <c r="H412" s="2" t="s">
        <v>4362</v>
      </c>
    </row>
    <row r="413" spans="1:8" x14ac:dyDescent="0.35">
      <c r="A413" s="80" t="s">
        <v>700</v>
      </c>
      <c r="B413" s="91">
        <v>50</v>
      </c>
      <c r="C413" s="67" t="s">
        <v>700</v>
      </c>
      <c r="D413" s="95" t="str">
        <f t="shared" si="6"/>
        <v>SANOFI</v>
      </c>
      <c r="F413" s="2" t="s">
        <v>940</v>
      </c>
      <c r="G413" s="2" t="s">
        <v>941</v>
      </c>
      <c r="H413" s="2" t="s">
        <v>4362</v>
      </c>
    </row>
    <row r="414" spans="1:8" x14ac:dyDescent="0.35">
      <c r="A414" s="80" t="s">
        <v>6156</v>
      </c>
      <c r="B414" s="91">
        <v>45</v>
      </c>
      <c r="C414" s="67" t="s">
        <v>700</v>
      </c>
      <c r="D414" s="95" t="str">
        <f t="shared" si="6"/>
        <v>SANOFI</v>
      </c>
      <c r="F414" s="2" t="s">
        <v>942</v>
      </c>
      <c r="G414" s="2" t="s">
        <v>943</v>
      </c>
      <c r="H414" s="2" t="s">
        <v>4362</v>
      </c>
    </row>
    <row r="415" spans="1:8" x14ac:dyDescent="0.35">
      <c r="A415" s="80" t="s">
        <v>1187</v>
      </c>
      <c r="B415" s="91">
        <v>41</v>
      </c>
      <c r="C415" s="67" t="s">
        <v>1187</v>
      </c>
      <c r="D415" s="95" t="str">
        <f t="shared" si="6"/>
        <v>SANSERA</v>
      </c>
      <c r="F415" s="2" t="s">
        <v>944</v>
      </c>
      <c r="G415" s="2" t="s">
        <v>137</v>
      </c>
      <c r="H415" s="2" t="s">
        <v>4362</v>
      </c>
    </row>
    <row r="416" spans="1:8" x14ac:dyDescent="0.35">
      <c r="A416" s="80" t="s">
        <v>6054</v>
      </c>
      <c r="B416" s="91">
        <v>12</v>
      </c>
      <c r="C416" s="67" t="s">
        <v>1187</v>
      </c>
      <c r="D416" s="95" t="str">
        <f t="shared" si="6"/>
        <v>SANSERA</v>
      </c>
      <c r="F416" s="2" t="s">
        <v>945</v>
      </c>
      <c r="G416" s="2" t="s">
        <v>946</v>
      </c>
      <c r="H416" s="2" t="s">
        <v>4362</v>
      </c>
    </row>
    <row r="417" spans="1:8" x14ac:dyDescent="0.35">
      <c r="A417" s="80" t="s">
        <v>5996</v>
      </c>
      <c r="B417" s="91">
        <v>28</v>
      </c>
      <c r="C417" s="67" t="s">
        <v>1187</v>
      </c>
      <c r="D417" s="95" t="str">
        <f t="shared" si="6"/>
        <v>SANSERA</v>
      </c>
      <c r="F417" s="2" t="s">
        <v>947</v>
      </c>
      <c r="G417" s="2" t="s">
        <v>948</v>
      </c>
      <c r="H417" s="2" t="s">
        <v>4362</v>
      </c>
    </row>
    <row r="418" spans="1:8" x14ac:dyDescent="0.35">
      <c r="A418" s="80" t="s">
        <v>889</v>
      </c>
      <c r="B418" s="91">
        <v>51</v>
      </c>
      <c r="C418" s="67" t="s">
        <v>889</v>
      </c>
      <c r="D418" s="95" t="str">
        <f t="shared" si="6"/>
        <v>SAPPHIRE</v>
      </c>
      <c r="F418" s="2" t="s">
        <v>949</v>
      </c>
      <c r="G418" s="2" t="s">
        <v>950</v>
      </c>
      <c r="H418" s="2" t="s">
        <v>4362</v>
      </c>
    </row>
    <row r="419" spans="1:8" x14ac:dyDescent="0.35">
      <c r="A419" s="80" t="s">
        <v>5990</v>
      </c>
      <c r="B419" s="91">
        <v>16</v>
      </c>
      <c r="C419" s="67" t="s">
        <v>889</v>
      </c>
      <c r="D419" s="95" t="str">
        <f t="shared" si="6"/>
        <v>SAPPHIRE</v>
      </c>
      <c r="F419" s="2" t="s">
        <v>951</v>
      </c>
      <c r="G419" s="2" t="s">
        <v>952</v>
      </c>
      <c r="H419" s="2" t="s">
        <v>4362</v>
      </c>
    </row>
    <row r="420" spans="1:8" x14ac:dyDescent="0.35">
      <c r="A420" s="80" t="s">
        <v>4436</v>
      </c>
      <c r="B420" s="91">
        <v>42</v>
      </c>
      <c r="C420" s="67" t="s">
        <v>6218</v>
      </c>
      <c r="D420" s="95" t="s">
        <v>308</v>
      </c>
      <c r="F420" s="2" t="s">
        <v>953</v>
      </c>
      <c r="G420" s="2" t="s">
        <v>954</v>
      </c>
      <c r="H420" s="2" t="s">
        <v>4362</v>
      </c>
    </row>
    <row r="421" spans="1:8" x14ac:dyDescent="0.35">
      <c r="A421" s="80" t="s">
        <v>309</v>
      </c>
      <c r="B421" s="91">
        <v>15</v>
      </c>
      <c r="C421" s="67" t="s">
        <v>309</v>
      </c>
      <c r="D421" s="95" t="str">
        <f t="shared" si="6"/>
        <v>SBICARD</v>
      </c>
      <c r="F421" s="2" t="s">
        <v>955</v>
      </c>
      <c r="G421" s="2" t="s">
        <v>956</v>
      </c>
      <c r="H421" s="2" t="s">
        <v>4362</v>
      </c>
    </row>
    <row r="422" spans="1:8" x14ac:dyDescent="0.35">
      <c r="A422" s="80" t="s">
        <v>5939</v>
      </c>
      <c r="B422" s="91">
        <v>32</v>
      </c>
      <c r="C422" s="67" t="s">
        <v>6187</v>
      </c>
      <c r="D422" s="95" t="s">
        <v>252</v>
      </c>
      <c r="F422" s="2" t="s">
        <v>957</v>
      </c>
      <c r="G422" s="2" t="s">
        <v>958</v>
      </c>
      <c r="H422" s="2" t="s">
        <v>4362</v>
      </c>
    </row>
    <row r="423" spans="1:8" x14ac:dyDescent="0.35">
      <c r="A423" s="80" t="s">
        <v>253</v>
      </c>
      <c r="B423" s="91">
        <v>33</v>
      </c>
      <c r="C423" s="67" t="s">
        <v>253</v>
      </c>
      <c r="D423" s="95" t="str">
        <f t="shared" si="6"/>
        <v>SBILIFE</v>
      </c>
      <c r="F423" s="2" t="s">
        <v>959</v>
      </c>
      <c r="G423" s="2" t="s">
        <v>960</v>
      </c>
      <c r="H423" s="2" t="s">
        <v>4362</v>
      </c>
    </row>
    <row r="424" spans="1:8" x14ac:dyDescent="0.35">
      <c r="A424" s="80" t="s">
        <v>4462</v>
      </c>
      <c r="B424" s="91">
        <v>20</v>
      </c>
      <c r="C424" s="67" t="s">
        <v>372</v>
      </c>
      <c r="D424" s="95" t="str">
        <f t="shared" si="6"/>
        <v>SCHAEFFLER</v>
      </c>
      <c r="F424" s="2" t="s">
        <v>961</v>
      </c>
      <c r="G424" s="2" t="s">
        <v>962</v>
      </c>
      <c r="H424" s="2" t="s">
        <v>4362</v>
      </c>
    </row>
    <row r="425" spans="1:8" x14ac:dyDescent="0.35">
      <c r="A425" s="80" t="s">
        <v>6112</v>
      </c>
      <c r="B425" s="91">
        <v>56</v>
      </c>
      <c r="C425" s="67" t="s">
        <v>372</v>
      </c>
      <c r="D425" s="95" t="str">
        <f t="shared" si="6"/>
        <v>SCHAEFFLER</v>
      </c>
      <c r="F425" s="2" t="s">
        <v>963</v>
      </c>
      <c r="G425" s="2" t="s">
        <v>964</v>
      </c>
      <c r="H425" s="2" t="s">
        <v>4362</v>
      </c>
    </row>
    <row r="426" spans="1:8" x14ac:dyDescent="0.35">
      <c r="A426" s="80" t="s">
        <v>4475</v>
      </c>
      <c r="B426" s="91">
        <v>11</v>
      </c>
      <c r="C426" s="67" t="s">
        <v>802</v>
      </c>
      <c r="D426" s="95" t="str">
        <f t="shared" si="6"/>
        <v>SFL</v>
      </c>
      <c r="F426" s="2" t="s">
        <v>965</v>
      </c>
      <c r="G426" s="2" t="s">
        <v>966</v>
      </c>
      <c r="H426" s="2" t="s">
        <v>4362</v>
      </c>
    </row>
    <row r="427" spans="1:8" x14ac:dyDescent="0.35">
      <c r="A427" s="80" t="s">
        <v>6145</v>
      </c>
      <c r="B427" s="91">
        <v>14</v>
      </c>
      <c r="C427" s="67" t="s">
        <v>802</v>
      </c>
      <c r="D427" s="95" t="str">
        <f t="shared" si="6"/>
        <v>SFL</v>
      </c>
      <c r="F427" s="2" t="s">
        <v>967</v>
      </c>
      <c r="G427" s="2" t="s">
        <v>968</v>
      </c>
      <c r="H427" s="2" t="s">
        <v>4362</v>
      </c>
    </row>
    <row r="428" spans="1:8" x14ac:dyDescent="0.35">
      <c r="A428" s="80" t="s">
        <v>6041</v>
      </c>
      <c r="B428" s="91">
        <v>56</v>
      </c>
      <c r="C428" s="67" t="s">
        <v>6219</v>
      </c>
      <c r="D428" s="95" t="str">
        <f t="shared" si="6"/>
        <v>SHREECEM</v>
      </c>
      <c r="F428" s="2" t="s">
        <v>969</v>
      </c>
      <c r="G428" s="2" t="s">
        <v>175</v>
      </c>
      <c r="H428" s="2" t="s">
        <v>4362</v>
      </c>
    </row>
    <row r="429" spans="1:8" x14ac:dyDescent="0.35">
      <c r="A429" s="80" t="s">
        <v>4478</v>
      </c>
      <c r="B429" s="91">
        <v>57</v>
      </c>
      <c r="C429" s="67" t="s">
        <v>4478</v>
      </c>
      <c r="D429" s="95" t="str">
        <f t="shared" si="6"/>
        <v>SHRIRAMFIN</v>
      </c>
      <c r="F429" s="2" t="s">
        <v>970</v>
      </c>
      <c r="G429" s="2" t="s">
        <v>971</v>
      </c>
      <c r="H429" s="2" t="s">
        <v>4362</v>
      </c>
    </row>
    <row r="430" spans="1:8" x14ac:dyDescent="0.35">
      <c r="A430" s="80" t="s">
        <v>6056</v>
      </c>
      <c r="B430" s="91">
        <v>22</v>
      </c>
      <c r="C430" s="67" t="s">
        <v>6188</v>
      </c>
      <c r="D430" s="95" t="s">
        <v>936</v>
      </c>
      <c r="F430" s="2" t="s">
        <v>972</v>
      </c>
      <c r="G430" s="2" t="s">
        <v>973</v>
      </c>
      <c r="H430" s="2" t="s">
        <v>4362</v>
      </c>
    </row>
    <row r="431" spans="1:8" x14ac:dyDescent="0.35">
      <c r="A431" s="80" t="s">
        <v>249</v>
      </c>
      <c r="B431" s="91">
        <v>19</v>
      </c>
      <c r="C431" s="67" t="s">
        <v>249</v>
      </c>
      <c r="D431" s="95" t="str">
        <f t="shared" si="6"/>
        <v>SIEMENS</v>
      </c>
      <c r="F431" s="2" t="s">
        <v>974</v>
      </c>
      <c r="G431" s="2" t="s">
        <v>975</v>
      </c>
      <c r="H431" s="2" t="s">
        <v>4362</v>
      </c>
    </row>
    <row r="432" spans="1:8" x14ac:dyDescent="0.35">
      <c r="A432" s="80" t="s">
        <v>5934</v>
      </c>
      <c r="B432" s="91">
        <v>26</v>
      </c>
      <c r="C432" s="67" t="s">
        <v>249</v>
      </c>
      <c r="D432" s="95" t="str">
        <f t="shared" si="6"/>
        <v>SIEMENS</v>
      </c>
      <c r="F432" s="2" t="s">
        <v>976</v>
      </c>
      <c r="G432" s="2" t="s">
        <v>977</v>
      </c>
      <c r="H432" s="2" t="s">
        <v>4362</v>
      </c>
    </row>
    <row r="433" spans="1:8" x14ac:dyDescent="0.35">
      <c r="A433" s="80" t="s">
        <v>46</v>
      </c>
      <c r="B433" s="91">
        <v>38</v>
      </c>
      <c r="C433" s="67" t="s">
        <v>249</v>
      </c>
      <c r="D433" s="95" t="str">
        <f t="shared" si="6"/>
        <v>SIEMENS</v>
      </c>
      <c r="F433" s="2" t="s">
        <v>978</v>
      </c>
      <c r="G433" s="2" t="s">
        <v>979</v>
      </c>
      <c r="H433" s="2" t="s">
        <v>4362</v>
      </c>
    </row>
    <row r="434" spans="1:8" x14ac:dyDescent="0.35">
      <c r="A434" s="80" t="s">
        <v>6077</v>
      </c>
      <c r="B434" s="91">
        <v>76</v>
      </c>
      <c r="C434" s="67" t="s">
        <v>6077</v>
      </c>
      <c r="D434" s="95" t="str">
        <f t="shared" si="6"/>
        <v>SIS</v>
      </c>
      <c r="F434" s="2" t="s">
        <v>980</v>
      </c>
      <c r="G434" s="2" t="s">
        <v>981</v>
      </c>
      <c r="H434" s="2" t="s">
        <v>4362</v>
      </c>
    </row>
    <row r="435" spans="1:8" x14ac:dyDescent="0.35">
      <c r="A435" s="80" t="s">
        <v>6018</v>
      </c>
      <c r="B435" s="91">
        <v>5</v>
      </c>
      <c r="C435" s="67" t="s">
        <v>560</v>
      </c>
      <c r="D435" s="95" t="str">
        <f t="shared" si="6"/>
        <v>SKFINDIA</v>
      </c>
      <c r="F435" s="2" t="s">
        <v>982</v>
      </c>
      <c r="G435" s="2" t="s">
        <v>983</v>
      </c>
      <c r="H435" s="2" t="s">
        <v>4362</v>
      </c>
    </row>
    <row r="436" spans="1:8" x14ac:dyDescent="0.35">
      <c r="A436" s="80" t="s">
        <v>6088</v>
      </c>
      <c r="B436" s="91">
        <v>26</v>
      </c>
      <c r="C436" s="67" t="s">
        <v>560</v>
      </c>
      <c r="D436" s="95" t="str">
        <f t="shared" si="6"/>
        <v>SKFINDIA</v>
      </c>
      <c r="F436" s="2" t="s">
        <v>984</v>
      </c>
      <c r="G436" s="2" t="s">
        <v>985</v>
      </c>
      <c r="H436" s="2" t="s">
        <v>4362</v>
      </c>
    </row>
    <row r="437" spans="1:8" x14ac:dyDescent="0.35">
      <c r="A437" s="80" t="s">
        <v>445</v>
      </c>
      <c r="B437" s="91">
        <v>24</v>
      </c>
      <c r="C437" s="67" t="s">
        <v>445</v>
      </c>
      <c r="D437" s="95" t="str">
        <f t="shared" si="6"/>
        <v>SOLARINDS</v>
      </c>
      <c r="F437" s="2" t="s">
        <v>986</v>
      </c>
      <c r="G437" s="2" t="s">
        <v>987</v>
      </c>
      <c r="H437" s="2" t="s">
        <v>4362</v>
      </c>
    </row>
    <row r="438" spans="1:8" x14ac:dyDescent="0.35">
      <c r="A438" s="80" t="s">
        <v>6103</v>
      </c>
      <c r="B438" s="91">
        <v>41</v>
      </c>
      <c r="C438" s="67" t="s">
        <v>445</v>
      </c>
      <c r="D438" s="95" t="str">
        <f t="shared" si="6"/>
        <v>SOLARINDS</v>
      </c>
      <c r="F438" s="2" t="s">
        <v>988</v>
      </c>
      <c r="G438" s="2" t="s">
        <v>989</v>
      </c>
      <c r="H438" s="2" t="s">
        <v>4362</v>
      </c>
    </row>
    <row r="439" spans="1:8" x14ac:dyDescent="0.35">
      <c r="A439" s="80" t="s">
        <v>6055</v>
      </c>
      <c r="B439" s="91">
        <v>15</v>
      </c>
      <c r="C439" s="67" t="s">
        <v>1506</v>
      </c>
      <c r="D439" s="95" t="str">
        <f t="shared" si="6"/>
        <v>SOMANYCERA</v>
      </c>
      <c r="F439" s="2" t="s">
        <v>990</v>
      </c>
      <c r="G439" s="2" t="s">
        <v>991</v>
      </c>
      <c r="H439" s="2" t="s">
        <v>4362</v>
      </c>
    </row>
    <row r="440" spans="1:8" x14ac:dyDescent="0.35">
      <c r="A440" s="80" t="s">
        <v>529</v>
      </c>
      <c r="B440" s="91">
        <v>53</v>
      </c>
      <c r="C440" s="67" t="s">
        <v>529</v>
      </c>
      <c r="D440" s="95" t="str">
        <f t="shared" si="6"/>
        <v>SONACOMS</v>
      </c>
      <c r="F440" s="2" t="s">
        <v>992</v>
      </c>
      <c r="G440" s="2" t="s">
        <v>993</v>
      </c>
      <c r="H440" s="2" t="s">
        <v>4362</v>
      </c>
    </row>
    <row r="441" spans="1:8" x14ac:dyDescent="0.35">
      <c r="A441" s="80" t="s">
        <v>5942</v>
      </c>
      <c r="B441" s="91">
        <v>35</v>
      </c>
      <c r="C441" s="67" t="s">
        <v>6189</v>
      </c>
      <c r="D441" s="95" t="str">
        <f t="shared" si="6"/>
        <v>SONACOMS</v>
      </c>
      <c r="F441" s="2" t="s">
        <v>994</v>
      </c>
      <c r="G441" s="2" t="s">
        <v>144</v>
      </c>
      <c r="H441" s="2" t="s">
        <v>4362</v>
      </c>
    </row>
    <row r="442" spans="1:8" x14ac:dyDescent="0.35">
      <c r="A442" s="80" t="s">
        <v>6095</v>
      </c>
      <c r="B442" s="91">
        <v>25</v>
      </c>
      <c r="C442" s="67" t="s">
        <v>529</v>
      </c>
      <c r="D442" s="95" t="str">
        <f t="shared" si="6"/>
        <v>SONACOMS</v>
      </c>
      <c r="F442" s="2" t="s">
        <v>995</v>
      </c>
      <c r="G442" s="2" t="s">
        <v>996</v>
      </c>
      <c r="H442" s="2" t="s">
        <v>4362</v>
      </c>
    </row>
    <row r="443" spans="1:8" x14ac:dyDescent="0.35">
      <c r="A443" s="80" t="s">
        <v>731</v>
      </c>
      <c r="B443" s="91">
        <v>134</v>
      </c>
      <c r="C443" s="67" t="s">
        <v>731</v>
      </c>
      <c r="D443" s="95" t="str">
        <f t="shared" si="6"/>
        <v>SONATSOFTW</v>
      </c>
      <c r="F443" s="2" t="s">
        <v>997</v>
      </c>
      <c r="G443" s="2" t="s">
        <v>998</v>
      </c>
      <c r="H443" s="2" t="s">
        <v>4362</v>
      </c>
    </row>
    <row r="444" spans="1:8" x14ac:dyDescent="0.35">
      <c r="A444" s="80" t="s">
        <v>303</v>
      </c>
      <c r="B444" s="91">
        <v>56</v>
      </c>
      <c r="C444" s="67" t="s">
        <v>303</v>
      </c>
      <c r="D444" s="95" t="str">
        <f t="shared" si="6"/>
        <v>SRF</v>
      </c>
      <c r="F444" s="2" t="s">
        <v>999</v>
      </c>
      <c r="G444" s="2" t="s">
        <v>1000</v>
      </c>
      <c r="H444" s="2" t="s">
        <v>4362</v>
      </c>
    </row>
    <row r="445" spans="1:8" x14ac:dyDescent="0.35">
      <c r="A445" s="80" t="s">
        <v>6024</v>
      </c>
      <c r="B445" s="91">
        <v>30</v>
      </c>
      <c r="C445" s="67" t="s">
        <v>303</v>
      </c>
      <c r="D445" s="95" t="str">
        <f t="shared" si="6"/>
        <v>SRF</v>
      </c>
      <c r="F445" s="2" t="s">
        <v>1001</v>
      </c>
      <c r="G445" s="2" t="s">
        <v>1002</v>
      </c>
      <c r="H445" s="2" t="s">
        <v>4362</v>
      </c>
    </row>
    <row r="446" spans="1:8" x14ac:dyDescent="0.35">
      <c r="A446" s="80" t="s">
        <v>6107</v>
      </c>
      <c r="B446" s="91">
        <v>49</v>
      </c>
      <c r="C446" s="67" t="s">
        <v>6220</v>
      </c>
      <c r="D446" s="95" t="s">
        <v>475</v>
      </c>
      <c r="F446" s="2" t="s">
        <v>1003</v>
      </c>
      <c r="G446" s="2" t="s">
        <v>104</v>
      </c>
      <c r="H446" s="2" t="s">
        <v>4362</v>
      </c>
    </row>
    <row r="447" spans="1:8" x14ac:dyDescent="0.35">
      <c r="A447" s="80" t="s">
        <v>27</v>
      </c>
      <c r="B447" s="91">
        <v>11</v>
      </c>
      <c r="C447" s="67" t="s">
        <v>27</v>
      </c>
      <c r="D447" s="95" t="str">
        <f t="shared" si="6"/>
        <v>SBIN</v>
      </c>
      <c r="F447" s="2" t="s">
        <v>1004</v>
      </c>
      <c r="G447" s="2" t="s">
        <v>1005</v>
      </c>
      <c r="H447" s="2" t="s">
        <v>4362</v>
      </c>
    </row>
    <row r="448" spans="1:8" x14ac:dyDescent="0.35">
      <c r="A448" s="80" t="s">
        <v>6029</v>
      </c>
      <c r="B448" s="91">
        <v>35</v>
      </c>
      <c r="C448" s="67" t="s">
        <v>6221</v>
      </c>
      <c r="D448" s="95" t="str">
        <f t="shared" si="6"/>
        <v>SBIN</v>
      </c>
      <c r="F448" s="2" t="s">
        <v>1006</v>
      </c>
      <c r="G448" s="2" t="s">
        <v>1007</v>
      </c>
      <c r="H448" s="2" t="s">
        <v>4362</v>
      </c>
    </row>
    <row r="449" spans="1:8" x14ac:dyDescent="0.35">
      <c r="A449" s="80" t="s">
        <v>6129</v>
      </c>
      <c r="B449" s="91">
        <v>20</v>
      </c>
      <c r="C449" s="67" t="s">
        <v>1386</v>
      </c>
      <c r="D449" s="95" t="str">
        <f t="shared" si="6"/>
        <v>STAR</v>
      </c>
      <c r="F449" s="2" t="s">
        <v>1008</v>
      </c>
      <c r="G449" s="2" t="s">
        <v>1009</v>
      </c>
      <c r="H449" s="2" t="s">
        <v>4362</v>
      </c>
    </row>
    <row r="450" spans="1:8" x14ac:dyDescent="0.35">
      <c r="A450" s="80" t="s">
        <v>1839</v>
      </c>
      <c r="B450" s="91">
        <v>133</v>
      </c>
      <c r="C450" s="67" t="s">
        <v>1839</v>
      </c>
      <c r="D450" s="95" t="str">
        <f t="shared" si="6"/>
        <v>STYRENIX</v>
      </c>
      <c r="F450" s="2" t="s">
        <v>1010</v>
      </c>
      <c r="G450" s="2" t="s">
        <v>1011</v>
      </c>
      <c r="H450" s="2" t="s">
        <v>4362</v>
      </c>
    </row>
    <row r="451" spans="1:8" x14ac:dyDescent="0.35">
      <c r="A451" s="80" t="s">
        <v>1547</v>
      </c>
      <c r="B451" s="91">
        <v>168</v>
      </c>
      <c r="C451" s="67" t="s">
        <v>1547</v>
      </c>
      <c r="D451" s="95" t="str">
        <f t="shared" si="6"/>
        <v>SUBROS</v>
      </c>
      <c r="F451" s="2" t="s">
        <v>1012</v>
      </c>
      <c r="G451" s="2" t="s">
        <v>147</v>
      </c>
      <c r="H451" s="2" t="s">
        <v>4362</v>
      </c>
    </row>
    <row r="452" spans="1:8" x14ac:dyDescent="0.35">
      <c r="A452" s="80" t="s">
        <v>1364</v>
      </c>
      <c r="B452" s="91">
        <v>39</v>
      </c>
      <c r="C452" s="67" t="s">
        <v>1364</v>
      </c>
      <c r="D452" s="95" t="str">
        <f t="shared" si="6"/>
        <v>SUDARSCHEM</v>
      </c>
      <c r="F452" s="2" t="s">
        <v>1013</v>
      </c>
      <c r="G452" s="2" t="s">
        <v>1014</v>
      </c>
      <c r="H452" s="2" t="s">
        <v>4362</v>
      </c>
    </row>
    <row r="453" spans="1:8" x14ac:dyDescent="0.35">
      <c r="A453" s="80" t="s">
        <v>5998</v>
      </c>
      <c r="B453" s="91">
        <v>32</v>
      </c>
      <c r="C453" s="67" t="s">
        <v>1364</v>
      </c>
      <c r="D453" s="95" t="str">
        <f t="shared" si="6"/>
        <v>SUDARSCHEM</v>
      </c>
      <c r="F453" s="2" t="s">
        <v>1015</v>
      </c>
      <c r="G453" s="2" t="s">
        <v>1016</v>
      </c>
      <c r="H453" s="2" t="s">
        <v>4362</v>
      </c>
    </row>
    <row r="454" spans="1:8" x14ac:dyDescent="0.35">
      <c r="A454" s="80" t="s">
        <v>89</v>
      </c>
      <c r="B454" s="91">
        <v>21</v>
      </c>
      <c r="C454" s="67" t="s">
        <v>89</v>
      </c>
      <c r="D454" s="95" t="str">
        <f t="shared" si="6"/>
        <v>SULA</v>
      </c>
      <c r="F454" s="2" t="s">
        <v>1017</v>
      </c>
      <c r="G454" s="2" t="s">
        <v>1018</v>
      </c>
      <c r="H454" s="2" t="s">
        <v>4362</v>
      </c>
    </row>
    <row r="455" spans="1:8" x14ac:dyDescent="0.35">
      <c r="A455" s="80" t="s">
        <v>6111</v>
      </c>
      <c r="B455" s="91">
        <v>55</v>
      </c>
      <c r="C455" s="67" t="s">
        <v>554</v>
      </c>
      <c r="D455" s="95" t="str">
        <f t="shared" si="6"/>
        <v>SUMICHEM</v>
      </c>
      <c r="F455" s="2" t="s">
        <v>1019</v>
      </c>
      <c r="G455" s="2" t="s">
        <v>1020</v>
      </c>
      <c r="H455" s="2" t="s">
        <v>4362</v>
      </c>
    </row>
    <row r="456" spans="1:8" x14ac:dyDescent="0.35">
      <c r="A456" s="80" t="s">
        <v>6139</v>
      </c>
      <c r="B456" s="91">
        <v>71</v>
      </c>
      <c r="C456" s="67" t="s">
        <v>6222</v>
      </c>
      <c r="D456" s="95" t="s">
        <v>213</v>
      </c>
      <c r="F456" s="2" t="s">
        <v>1021</v>
      </c>
      <c r="G456" s="2" t="s">
        <v>1022</v>
      </c>
      <c r="H456" s="2" t="s">
        <v>4362</v>
      </c>
    </row>
    <row r="457" spans="1:8" x14ac:dyDescent="0.35">
      <c r="A457" s="80" t="s">
        <v>95</v>
      </c>
      <c r="B457" s="91">
        <v>65</v>
      </c>
      <c r="C457" s="67" t="s">
        <v>95</v>
      </c>
      <c r="D457" s="95" t="str">
        <f t="shared" ref="D457:D519" si="7">IFERROR(INDEX($F$6:$G$1048576,MATCH($C457,$G$6:$G$1048576,0),MATCH($D$6,$F$6:$G$6,0)),"")</f>
        <v>SUNPHARMA</v>
      </c>
      <c r="F457" s="2" t="s">
        <v>1023</v>
      </c>
      <c r="G457" s="2" t="s">
        <v>1024</v>
      </c>
      <c r="H457" s="2" t="s">
        <v>4362</v>
      </c>
    </row>
    <row r="458" spans="1:8" x14ac:dyDescent="0.35">
      <c r="A458" s="80" t="s">
        <v>1623</v>
      </c>
      <c r="B458" s="91">
        <v>101</v>
      </c>
      <c r="C458" s="67" t="s">
        <v>1623</v>
      </c>
      <c r="D458" s="95" t="str">
        <f t="shared" si="7"/>
        <v>SUNDARMHLD</v>
      </c>
      <c r="F458" s="2" t="s">
        <v>1025</v>
      </c>
      <c r="G458" s="2" t="s">
        <v>1026</v>
      </c>
      <c r="H458" s="2" t="s">
        <v>4362</v>
      </c>
    </row>
    <row r="459" spans="1:8" x14ac:dyDescent="0.35">
      <c r="A459" s="80" t="s">
        <v>513</v>
      </c>
      <c r="B459" s="91">
        <v>38</v>
      </c>
      <c r="C459" s="67" t="s">
        <v>513</v>
      </c>
      <c r="D459" s="95" t="str">
        <f t="shared" si="7"/>
        <v>SUNDARMFIN</v>
      </c>
      <c r="F459" s="2" t="s">
        <v>1027</v>
      </c>
      <c r="G459" s="2" t="s">
        <v>1028</v>
      </c>
      <c r="H459" s="2" t="s">
        <v>4362</v>
      </c>
    </row>
    <row r="460" spans="1:8" x14ac:dyDescent="0.35">
      <c r="A460" s="80" t="s">
        <v>6125</v>
      </c>
      <c r="B460" s="91">
        <v>12</v>
      </c>
      <c r="C460" s="67" t="s">
        <v>513</v>
      </c>
      <c r="D460" s="95" t="str">
        <f t="shared" si="7"/>
        <v>SUNDARMFIN</v>
      </c>
      <c r="F460" s="2" t="s">
        <v>1029</v>
      </c>
      <c r="G460" s="2" t="s">
        <v>1030</v>
      </c>
      <c r="H460" s="2" t="s">
        <v>4362</v>
      </c>
    </row>
    <row r="461" spans="1:8" x14ac:dyDescent="0.35">
      <c r="A461" s="80" t="s">
        <v>4468</v>
      </c>
      <c r="B461" s="91">
        <v>9</v>
      </c>
      <c r="C461" s="67" t="s">
        <v>513</v>
      </c>
      <c r="D461" s="95" t="str">
        <f t="shared" si="7"/>
        <v>SUNDARMFIN</v>
      </c>
      <c r="F461" s="2" t="s">
        <v>1031</v>
      </c>
      <c r="G461" s="2" t="s">
        <v>1032</v>
      </c>
      <c r="H461" s="2" t="s">
        <v>4362</v>
      </c>
    </row>
    <row r="462" spans="1:8" x14ac:dyDescent="0.35">
      <c r="A462" s="80" t="s">
        <v>574</v>
      </c>
      <c r="B462" s="91">
        <v>91</v>
      </c>
      <c r="C462" s="67" t="s">
        <v>574</v>
      </c>
      <c r="D462" s="95" t="str">
        <f t="shared" si="7"/>
        <v>SUNDRMFAST</v>
      </c>
      <c r="F462" s="2" t="s">
        <v>1033</v>
      </c>
      <c r="G462" s="2" t="s">
        <v>1034</v>
      </c>
      <c r="H462" s="2" t="s">
        <v>4362</v>
      </c>
    </row>
    <row r="463" spans="1:8" x14ac:dyDescent="0.35">
      <c r="A463" s="80" t="s">
        <v>6126</v>
      </c>
      <c r="B463" s="91">
        <v>19</v>
      </c>
      <c r="C463" s="67" t="s">
        <v>574</v>
      </c>
      <c r="D463" s="95" t="str">
        <f t="shared" si="7"/>
        <v>SUNDRMFAST</v>
      </c>
      <c r="F463" s="2" t="s">
        <v>1035</v>
      </c>
      <c r="G463" s="2" t="s">
        <v>1036</v>
      </c>
      <c r="H463" s="2" t="s">
        <v>4362</v>
      </c>
    </row>
    <row r="464" spans="1:8" x14ac:dyDescent="0.35">
      <c r="A464" s="80" t="s">
        <v>1102</v>
      </c>
      <c r="B464" s="91">
        <v>92</v>
      </c>
      <c r="C464" s="67" t="s">
        <v>1102</v>
      </c>
      <c r="D464" s="95" t="str">
        <f t="shared" si="7"/>
        <v>SUPRAJIT</v>
      </c>
      <c r="F464" s="2" t="s">
        <v>1037</v>
      </c>
      <c r="G464" s="2" t="s">
        <v>1038</v>
      </c>
      <c r="H464" s="2" t="s">
        <v>4362</v>
      </c>
    </row>
    <row r="465" spans="1:8" x14ac:dyDescent="0.35">
      <c r="A465" s="80" t="s">
        <v>461</v>
      </c>
      <c r="B465" s="91">
        <v>4</v>
      </c>
      <c r="C465" s="67" t="s">
        <v>461</v>
      </c>
      <c r="D465" s="95" t="str">
        <f t="shared" si="7"/>
        <v>SUPREMEIND</v>
      </c>
      <c r="F465" s="2" t="s">
        <v>1039</v>
      </c>
      <c r="G465" s="2" t="s">
        <v>1040</v>
      </c>
      <c r="H465" s="2" t="s">
        <v>4362</v>
      </c>
    </row>
    <row r="466" spans="1:8" x14ac:dyDescent="0.35">
      <c r="A466" s="80" t="s">
        <v>6099</v>
      </c>
      <c r="B466" s="91">
        <v>33</v>
      </c>
      <c r="C466" s="67" t="s">
        <v>461</v>
      </c>
      <c r="D466" s="95" t="str">
        <f t="shared" si="7"/>
        <v>SUPREMEIND</v>
      </c>
      <c r="F466" s="2" t="s">
        <v>1041</v>
      </c>
      <c r="G466" s="2" t="s">
        <v>1042</v>
      </c>
      <c r="H466" s="2" t="s">
        <v>4362</v>
      </c>
    </row>
    <row r="467" spans="1:8" x14ac:dyDescent="0.35">
      <c r="A467" s="80" t="s">
        <v>1987</v>
      </c>
      <c r="B467" s="91">
        <v>68</v>
      </c>
      <c r="C467" s="67" t="s">
        <v>1987</v>
      </c>
      <c r="D467" s="95" t="str">
        <f t="shared" si="7"/>
        <v>SURYODAY</v>
      </c>
      <c r="F467" s="2" t="s">
        <v>1043</v>
      </c>
      <c r="G467" s="2" t="s">
        <v>1044</v>
      </c>
      <c r="H467" s="2" t="s">
        <v>4362</v>
      </c>
    </row>
    <row r="468" spans="1:8" x14ac:dyDescent="0.35">
      <c r="A468" s="80" t="s">
        <v>158</v>
      </c>
      <c r="B468" s="91">
        <v>57</v>
      </c>
      <c r="C468" s="67" t="s">
        <v>158</v>
      </c>
      <c r="D468" s="95" t="str">
        <f t="shared" si="7"/>
        <v>SUVENPHAR</v>
      </c>
      <c r="F468" s="2" t="s">
        <v>1045</v>
      </c>
      <c r="G468" s="2" t="s">
        <v>1046</v>
      </c>
      <c r="H468" s="2" t="s">
        <v>4362</v>
      </c>
    </row>
    <row r="469" spans="1:8" x14ac:dyDescent="0.35">
      <c r="A469" s="80" t="s">
        <v>6163</v>
      </c>
      <c r="B469" s="91">
        <v>57</v>
      </c>
      <c r="C469" s="67" t="s">
        <v>1581</v>
      </c>
      <c r="D469" s="95" t="str">
        <f t="shared" si="7"/>
        <v>SWARAJENG</v>
      </c>
      <c r="F469" s="2" t="s">
        <v>1047</v>
      </c>
      <c r="G469" s="2" t="s">
        <v>1048</v>
      </c>
      <c r="H469" s="2" t="s">
        <v>4362</v>
      </c>
    </row>
    <row r="470" spans="1:8" x14ac:dyDescent="0.35">
      <c r="A470" s="80" t="s">
        <v>917</v>
      </c>
      <c r="B470" s="91">
        <v>86</v>
      </c>
      <c r="C470" s="67" t="s">
        <v>917</v>
      </c>
      <c r="D470" s="95" t="str">
        <f t="shared" si="7"/>
        <v>SYMPHONY</v>
      </c>
      <c r="F470" s="2" t="s">
        <v>1049</v>
      </c>
      <c r="G470" s="2" t="s">
        <v>1050</v>
      </c>
      <c r="H470" s="2" t="s">
        <v>4362</v>
      </c>
    </row>
    <row r="471" spans="1:8" x14ac:dyDescent="0.35">
      <c r="A471" s="80" t="s">
        <v>4431</v>
      </c>
      <c r="B471" s="91">
        <v>46</v>
      </c>
      <c r="C471" s="67" t="s">
        <v>533</v>
      </c>
      <c r="D471" s="95" t="str">
        <f t="shared" si="7"/>
        <v>SYNGENE</v>
      </c>
      <c r="F471" s="2" t="s">
        <v>1051</v>
      </c>
      <c r="G471" s="2" t="s">
        <v>1052</v>
      </c>
      <c r="H471" s="2" t="s">
        <v>4362</v>
      </c>
    </row>
    <row r="472" spans="1:8" x14ac:dyDescent="0.35">
      <c r="A472" s="80" t="s">
        <v>161</v>
      </c>
      <c r="B472" s="91">
        <v>60</v>
      </c>
      <c r="C472" s="67" t="s">
        <v>161</v>
      </c>
      <c r="D472" s="95" t="str">
        <f t="shared" si="7"/>
        <v>TAJGVK</v>
      </c>
      <c r="F472" s="2" t="s">
        <v>1053</v>
      </c>
      <c r="G472" s="2" t="s">
        <v>1054</v>
      </c>
      <c r="H472" s="2" t="s">
        <v>4362</v>
      </c>
    </row>
    <row r="473" spans="1:8" x14ac:dyDescent="0.35">
      <c r="A473" s="80" t="s">
        <v>1344</v>
      </c>
      <c r="B473" s="91">
        <v>176</v>
      </c>
      <c r="C473" s="67" t="s">
        <v>1344</v>
      </c>
      <c r="D473" s="95" t="str">
        <f t="shared" si="7"/>
        <v>TARSONS</v>
      </c>
      <c r="F473" s="2" t="s">
        <v>1055</v>
      </c>
      <c r="G473" s="2" t="s">
        <v>1056</v>
      </c>
      <c r="H473" s="2" t="s">
        <v>4362</v>
      </c>
    </row>
    <row r="474" spans="1:8" x14ac:dyDescent="0.35">
      <c r="A474" s="80" t="s">
        <v>5986</v>
      </c>
      <c r="B474" s="91">
        <v>11</v>
      </c>
      <c r="C474" s="67" t="s">
        <v>1344</v>
      </c>
      <c r="D474" s="95" t="str">
        <f t="shared" si="7"/>
        <v>TARSONS</v>
      </c>
      <c r="F474" s="2" t="s">
        <v>1057</v>
      </c>
      <c r="G474" s="2" t="s">
        <v>80</v>
      </c>
      <c r="H474" s="2" t="s">
        <v>4362</v>
      </c>
    </row>
    <row r="475" spans="1:8" x14ac:dyDescent="0.35">
      <c r="A475" s="80" t="s">
        <v>522</v>
      </c>
      <c r="B475" s="91">
        <v>45</v>
      </c>
      <c r="C475" s="67" t="s">
        <v>522</v>
      </c>
      <c r="D475" s="95" t="str">
        <f t="shared" si="7"/>
        <v>TATACHEM</v>
      </c>
      <c r="F475" s="2" t="s">
        <v>1058</v>
      </c>
      <c r="G475" s="2" t="s">
        <v>1059</v>
      </c>
      <c r="H475" s="2" t="s">
        <v>4362</v>
      </c>
    </row>
    <row r="476" spans="1:8" x14ac:dyDescent="0.35">
      <c r="A476" s="80" t="s">
        <v>6057</v>
      </c>
      <c r="B476" s="91">
        <v>48</v>
      </c>
      <c r="C476" s="67" t="s">
        <v>522</v>
      </c>
      <c r="D476" s="95" t="str">
        <f t="shared" si="7"/>
        <v>TATACHEM</v>
      </c>
      <c r="F476" s="2" t="s">
        <v>1060</v>
      </c>
      <c r="G476" s="2" t="s">
        <v>1061</v>
      </c>
      <c r="H476" s="2" t="s">
        <v>4362</v>
      </c>
    </row>
    <row r="477" spans="1:8" x14ac:dyDescent="0.35">
      <c r="A477" s="80" t="s">
        <v>1195</v>
      </c>
      <c r="B477" s="91">
        <v>149</v>
      </c>
      <c r="C477" s="67" t="s">
        <v>1195</v>
      </c>
      <c r="D477" s="95" t="str">
        <f t="shared" si="7"/>
        <v>TATACOFFEE</v>
      </c>
      <c r="F477" s="2" t="s">
        <v>1062</v>
      </c>
      <c r="G477" s="2" t="s">
        <v>1063</v>
      </c>
      <c r="H477" s="2" t="s">
        <v>4362</v>
      </c>
    </row>
    <row r="478" spans="1:8" x14ac:dyDescent="0.35">
      <c r="A478" s="80" t="s">
        <v>63</v>
      </c>
      <c r="B478" s="91">
        <v>67</v>
      </c>
      <c r="C478" s="67" t="s">
        <v>63</v>
      </c>
      <c r="D478" s="95" t="str">
        <f t="shared" si="7"/>
        <v>TATACOMM</v>
      </c>
      <c r="F478" s="2" t="s">
        <v>1064</v>
      </c>
      <c r="G478" s="2" t="s">
        <v>142</v>
      </c>
      <c r="H478" s="2" t="s">
        <v>4362</v>
      </c>
    </row>
    <row r="479" spans="1:8" x14ac:dyDescent="0.35">
      <c r="A479" s="80" t="s">
        <v>5921</v>
      </c>
      <c r="B479" s="91">
        <v>7</v>
      </c>
      <c r="C479" s="67" t="s">
        <v>187</v>
      </c>
      <c r="D479" s="95" t="str">
        <f t="shared" si="7"/>
        <v>TCS</v>
      </c>
      <c r="F479" s="2" t="s">
        <v>1065</v>
      </c>
      <c r="G479" s="2" t="s">
        <v>1066</v>
      </c>
      <c r="H479" s="2" t="s">
        <v>4362</v>
      </c>
    </row>
    <row r="480" spans="1:8" x14ac:dyDescent="0.35">
      <c r="A480" s="80" t="s">
        <v>6071</v>
      </c>
      <c r="B480" s="91">
        <v>46</v>
      </c>
      <c r="C480" s="67" t="s">
        <v>6071</v>
      </c>
      <c r="D480" s="95" t="str">
        <f t="shared" si="7"/>
        <v>TATACONSUM</v>
      </c>
      <c r="F480" s="2" t="s">
        <v>1067</v>
      </c>
      <c r="G480" s="2" t="s">
        <v>1068</v>
      </c>
      <c r="H480" s="2" t="s">
        <v>4362</v>
      </c>
    </row>
    <row r="481" spans="1:8" x14ac:dyDescent="0.35">
      <c r="A481" s="80" t="s">
        <v>5946</v>
      </c>
      <c r="B481" s="91">
        <v>39</v>
      </c>
      <c r="C481" s="67" t="s">
        <v>6071</v>
      </c>
      <c r="D481" s="95" t="str">
        <f t="shared" si="7"/>
        <v>TATACONSUM</v>
      </c>
      <c r="F481" s="2" t="s">
        <v>1069</v>
      </c>
      <c r="G481" s="2" t="s">
        <v>1070</v>
      </c>
      <c r="H481" s="2" t="s">
        <v>4363</v>
      </c>
    </row>
    <row r="482" spans="1:8" x14ac:dyDescent="0.35">
      <c r="A482" s="80" t="s">
        <v>6038</v>
      </c>
      <c r="B482" s="91">
        <v>51</v>
      </c>
      <c r="C482" s="67" t="s">
        <v>6071</v>
      </c>
      <c r="D482" s="95" t="str">
        <f t="shared" si="7"/>
        <v>TATACONSUM</v>
      </c>
      <c r="F482" s="2" t="s">
        <v>1071</v>
      </c>
      <c r="G482" s="2" t="s">
        <v>1072</v>
      </c>
      <c r="H482" s="2" t="s">
        <v>4363</v>
      </c>
    </row>
    <row r="483" spans="1:8" x14ac:dyDescent="0.35">
      <c r="A483" s="80" t="s">
        <v>413</v>
      </c>
      <c r="B483" s="91">
        <v>48</v>
      </c>
      <c r="C483" s="67" t="s">
        <v>413</v>
      </c>
      <c r="D483" s="95" t="str">
        <f t="shared" si="7"/>
        <v>TATAELXSI</v>
      </c>
      <c r="F483" s="2" t="s">
        <v>1073</v>
      </c>
      <c r="G483" s="2" t="s">
        <v>1074</v>
      </c>
      <c r="H483" s="2" t="s">
        <v>4363</v>
      </c>
    </row>
    <row r="484" spans="1:8" x14ac:dyDescent="0.35">
      <c r="A484" s="80" t="s">
        <v>5927</v>
      </c>
      <c r="B484" s="91">
        <v>18</v>
      </c>
      <c r="C484" s="67" t="s">
        <v>235</v>
      </c>
      <c r="D484" s="95" t="str">
        <f t="shared" si="7"/>
        <v>TATAMOTORS</v>
      </c>
      <c r="F484" s="2" t="s">
        <v>1075</v>
      </c>
      <c r="G484" s="2" t="s">
        <v>1076</v>
      </c>
      <c r="H484" s="2" t="s">
        <v>4363</v>
      </c>
    </row>
    <row r="485" spans="1:8" x14ac:dyDescent="0.35">
      <c r="A485" s="80" t="s">
        <v>243</v>
      </c>
      <c r="B485" s="91">
        <v>20</v>
      </c>
      <c r="C485" s="67" t="s">
        <v>243</v>
      </c>
      <c r="D485" s="95" t="str">
        <f t="shared" si="7"/>
        <v>TATASTEEL</v>
      </c>
      <c r="F485" s="2" t="s">
        <v>1077</v>
      </c>
      <c r="G485" s="2" t="s">
        <v>1078</v>
      </c>
      <c r="H485" s="2" t="s">
        <v>4363</v>
      </c>
    </row>
    <row r="486" spans="1:8" x14ac:dyDescent="0.35">
      <c r="A486" s="80" t="s">
        <v>1342</v>
      </c>
      <c r="B486" s="91">
        <v>84</v>
      </c>
      <c r="C486" s="67" t="s">
        <v>1342</v>
      </c>
      <c r="D486" s="95" t="str">
        <f t="shared" si="7"/>
        <v>TATASTLLP</v>
      </c>
      <c r="F486" s="2" t="s">
        <v>1079</v>
      </c>
      <c r="G486" s="2" t="s">
        <v>1080</v>
      </c>
      <c r="H486" s="2" t="s">
        <v>4363</v>
      </c>
    </row>
    <row r="487" spans="1:8" x14ac:dyDescent="0.35">
      <c r="A487" s="80" t="s">
        <v>5937</v>
      </c>
      <c r="B487" s="91">
        <v>30</v>
      </c>
      <c r="C487" s="67" t="s">
        <v>243</v>
      </c>
      <c r="D487" s="95" t="str">
        <f t="shared" si="7"/>
        <v>TATASTEEL</v>
      </c>
      <c r="F487" s="2" t="s">
        <v>1081</v>
      </c>
      <c r="G487" s="2" t="s">
        <v>1082</v>
      </c>
      <c r="H487" s="2" t="s">
        <v>4363</v>
      </c>
    </row>
    <row r="488" spans="1:8" x14ac:dyDescent="0.35">
      <c r="A488" s="80" t="s">
        <v>1231</v>
      </c>
      <c r="B488" s="91">
        <v>157</v>
      </c>
      <c r="C488" s="67" t="s">
        <v>1231</v>
      </c>
      <c r="D488" s="95" t="str">
        <f t="shared" si="7"/>
        <v>TATVA</v>
      </c>
      <c r="F488" s="2" t="s">
        <v>1083</v>
      </c>
      <c r="G488" s="2" t="s">
        <v>1084</v>
      </c>
      <c r="H488" s="2" t="s">
        <v>4363</v>
      </c>
    </row>
    <row r="489" spans="1:8" x14ac:dyDescent="0.35">
      <c r="A489" s="80" t="s">
        <v>6153</v>
      </c>
      <c r="B489" s="91">
        <v>39</v>
      </c>
      <c r="C489" s="67" t="s">
        <v>1231</v>
      </c>
      <c r="D489" s="95" t="str">
        <f t="shared" si="7"/>
        <v>TATVA</v>
      </c>
      <c r="F489" s="2" t="s">
        <v>1085</v>
      </c>
      <c r="G489" s="2" t="s">
        <v>1086</v>
      </c>
      <c r="H489" s="2" t="s">
        <v>4363</v>
      </c>
    </row>
    <row r="490" spans="1:8" x14ac:dyDescent="0.35">
      <c r="A490" s="80" t="s">
        <v>1382</v>
      </c>
      <c r="B490" s="91">
        <v>62</v>
      </c>
      <c r="C490" s="67" t="s">
        <v>6223</v>
      </c>
      <c r="D490" s="95" t="s">
        <v>6240</v>
      </c>
      <c r="F490" s="2" t="s">
        <v>1087</v>
      </c>
      <c r="G490" s="2" t="s">
        <v>1088</v>
      </c>
      <c r="H490" s="2" t="s">
        <v>4363</v>
      </c>
    </row>
    <row r="491" spans="1:8" x14ac:dyDescent="0.35">
      <c r="A491" s="80" t="s">
        <v>1414</v>
      </c>
      <c r="B491" s="91">
        <v>37</v>
      </c>
      <c r="C491" s="67" t="s">
        <v>1414</v>
      </c>
      <c r="D491" s="95" t="str">
        <f t="shared" si="7"/>
        <v>TDPOWERSYS</v>
      </c>
      <c r="F491" s="2" t="s">
        <v>1089</v>
      </c>
      <c r="G491" s="2" t="s">
        <v>1090</v>
      </c>
      <c r="H491" s="2" t="s">
        <v>4363</v>
      </c>
    </row>
    <row r="492" spans="1:8" x14ac:dyDescent="0.35">
      <c r="A492" s="80" t="s">
        <v>5999</v>
      </c>
      <c r="B492" s="91">
        <v>33</v>
      </c>
      <c r="C492" s="67" t="s">
        <v>1414</v>
      </c>
      <c r="D492" s="95" t="str">
        <f t="shared" si="7"/>
        <v>TDPOWERSYS</v>
      </c>
      <c r="F492" s="2" t="s">
        <v>1091</v>
      </c>
      <c r="G492" s="2" t="s">
        <v>1092</v>
      </c>
      <c r="H492" s="2" t="s">
        <v>4363</v>
      </c>
    </row>
    <row r="493" spans="1:8" x14ac:dyDescent="0.35">
      <c r="A493" s="80" t="s">
        <v>5914</v>
      </c>
      <c r="B493" s="91">
        <v>81</v>
      </c>
      <c r="C493" s="67" t="s">
        <v>5914</v>
      </c>
      <c r="D493" s="95" t="str">
        <f t="shared" si="7"/>
        <v>TEAMLEASE</v>
      </c>
      <c r="F493" s="2" t="s">
        <v>1093</v>
      </c>
      <c r="G493" s="2" t="s">
        <v>1094</v>
      </c>
      <c r="H493" s="2" t="s">
        <v>4363</v>
      </c>
    </row>
    <row r="494" spans="1:8" x14ac:dyDescent="0.35">
      <c r="A494" s="80" t="s">
        <v>6017</v>
      </c>
      <c r="B494" s="91">
        <v>61</v>
      </c>
      <c r="C494" s="67" t="s">
        <v>1197</v>
      </c>
      <c r="D494" s="95" t="str">
        <f t="shared" si="7"/>
        <v>TEAMLEASE</v>
      </c>
      <c r="F494" s="2" t="s">
        <v>1095</v>
      </c>
      <c r="G494" s="2" t="s">
        <v>1096</v>
      </c>
      <c r="H494" s="2" t="s">
        <v>4363</v>
      </c>
    </row>
    <row r="495" spans="1:8" x14ac:dyDescent="0.35">
      <c r="A495" s="80" t="s">
        <v>261</v>
      </c>
      <c r="B495" s="91">
        <v>43</v>
      </c>
      <c r="C495" s="67" t="s">
        <v>261</v>
      </c>
      <c r="D495" s="95" t="str">
        <f t="shared" si="7"/>
        <v>TECHM</v>
      </c>
      <c r="F495" s="2" t="s">
        <v>1097</v>
      </c>
      <c r="G495" s="2" t="s">
        <v>1098</v>
      </c>
      <c r="H495" s="2" t="s">
        <v>4363</v>
      </c>
    </row>
    <row r="496" spans="1:8" x14ac:dyDescent="0.35">
      <c r="A496" s="80" t="s">
        <v>5951</v>
      </c>
      <c r="B496" s="91">
        <v>13</v>
      </c>
      <c r="C496" s="67" t="s">
        <v>261</v>
      </c>
      <c r="D496" s="95" t="str">
        <f t="shared" si="7"/>
        <v>TECHM</v>
      </c>
      <c r="F496" s="2" t="s">
        <v>1099</v>
      </c>
      <c r="G496" s="2" t="s">
        <v>1100</v>
      </c>
      <c r="H496" s="2" t="s">
        <v>4363</v>
      </c>
    </row>
    <row r="497" spans="1:8" x14ac:dyDescent="0.35">
      <c r="A497" s="80" t="s">
        <v>1241</v>
      </c>
      <c r="B497" s="91">
        <v>171</v>
      </c>
      <c r="C497" s="67" t="s">
        <v>1241</v>
      </c>
      <c r="D497" s="95" t="str">
        <f t="shared" si="7"/>
        <v>TECHNOE</v>
      </c>
      <c r="F497" s="2" t="s">
        <v>1101</v>
      </c>
      <c r="G497" s="2" t="s">
        <v>1102</v>
      </c>
      <c r="H497" s="2" t="s">
        <v>4363</v>
      </c>
    </row>
    <row r="498" spans="1:8" x14ac:dyDescent="0.35">
      <c r="A498" s="80" t="s">
        <v>178</v>
      </c>
      <c r="B498" s="91">
        <v>5</v>
      </c>
      <c r="C498" s="67" t="s">
        <v>178</v>
      </c>
      <c r="D498" s="95" t="str">
        <f t="shared" si="7"/>
        <v>TEJASNET</v>
      </c>
      <c r="F498" s="2" t="s">
        <v>1103</v>
      </c>
      <c r="G498" s="2" t="s">
        <v>1104</v>
      </c>
      <c r="H498" s="2" t="s">
        <v>4363</v>
      </c>
    </row>
    <row r="499" spans="1:8" x14ac:dyDescent="0.35">
      <c r="A499" s="80" t="s">
        <v>1789</v>
      </c>
      <c r="B499" s="91">
        <v>124</v>
      </c>
      <c r="C499" s="67" t="s">
        <v>1789</v>
      </c>
      <c r="D499" s="95" t="str">
        <f t="shared" si="7"/>
        <v>TEXRAIL</v>
      </c>
      <c r="F499" s="2" t="s">
        <v>1105</v>
      </c>
      <c r="G499" s="2" t="s">
        <v>1106</v>
      </c>
      <c r="H499" s="2" t="s">
        <v>4363</v>
      </c>
    </row>
    <row r="500" spans="1:8" x14ac:dyDescent="0.35">
      <c r="A500" s="80" t="s">
        <v>144</v>
      </c>
      <c r="B500" s="91">
        <v>22</v>
      </c>
      <c r="C500" s="67" t="s">
        <v>144</v>
      </c>
      <c r="D500" s="95" t="str">
        <f t="shared" si="7"/>
        <v>INDIACEM</v>
      </c>
      <c r="F500" s="2" t="s">
        <v>1107</v>
      </c>
      <c r="G500" s="2" t="s">
        <v>148</v>
      </c>
      <c r="H500" s="2" t="s">
        <v>4363</v>
      </c>
    </row>
    <row r="501" spans="1:8" x14ac:dyDescent="0.35">
      <c r="A501" s="80" t="s">
        <v>359</v>
      </c>
      <c r="B501" s="91">
        <v>21</v>
      </c>
      <c r="C501" s="67" t="s">
        <v>359</v>
      </c>
      <c r="D501" s="95" t="str">
        <f t="shared" si="7"/>
        <v>INDHOTEL</v>
      </c>
      <c r="F501" s="2" t="s">
        <v>1108</v>
      </c>
      <c r="G501" s="2" t="s">
        <v>1109</v>
      </c>
      <c r="H501" s="2" t="s">
        <v>4363</v>
      </c>
    </row>
    <row r="502" spans="1:8" x14ac:dyDescent="0.35">
      <c r="A502" s="80" t="s">
        <v>6101</v>
      </c>
      <c r="B502" s="91">
        <v>38</v>
      </c>
      <c r="C502" s="67" t="s">
        <v>359</v>
      </c>
      <c r="D502" s="95" t="str">
        <f t="shared" si="7"/>
        <v>INDHOTEL</v>
      </c>
      <c r="F502" s="2" t="s">
        <v>1110</v>
      </c>
      <c r="G502" s="2" t="s">
        <v>1111</v>
      </c>
      <c r="H502" s="2" t="s">
        <v>4363</v>
      </c>
    </row>
    <row r="503" spans="1:8" x14ac:dyDescent="0.35">
      <c r="A503" s="80" t="s">
        <v>148</v>
      </c>
      <c r="B503" s="91">
        <v>36</v>
      </c>
      <c r="C503" s="67" t="s">
        <v>148</v>
      </c>
      <c r="D503" s="95" t="str">
        <f t="shared" si="7"/>
        <v>J&amp;KBANK</v>
      </c>
      <c r="F503" s="2" t="s">
        <v>1112</v>
      </c>
      <c r="G503" s="2" t="s">
        <v>1113</v>
      </c>
      <c r="H503" s="2" t="s">
        <v>4363</v>
      </c>
    </row>
    <row r="504" spans="1:8" x14ac:dyDescent="0.35">
      <c r="A504" s="80" t="s">
        <v>540</v>
      </c>
      <c r="B504" s="91">
        <v>27</v>
      </c>
      <c r="C504" s="67" t="s">
        <v>540</v>
      </c>
      <c r="D504" s="95" t="str">
        <f t="shared" si="7"/>
        <v>PHOENIXLTD</v>
      </c>
      <c r="F504" s="2" t="s">
        <v>1114</v>
      </c>
      <c r="G504" s="2" t="s">
        <v>1115</v>
      </c>
      <c r="H504" s="2" t="s">
        <v>4363</v>
      </c>
    </row>
    <row r="505" spans="1:8" x14ac:dyDescent="0.35">
      <c r="A505" s="80" t="s">
        <v>4429</v>
      </c>
      <c r="B505" s="91">
        <v>27</v>
      </c>
      <c r="C505" s="67" t="s">
        <v>540</v>
      </c>
      <c r="D505" s="95" t="str">
        <f t="shared" si="7"/>
        <v>PHOENIXLTD</v>
      </c>
      <c r="F505" s="2" t="s">
        <v>1116</v>
      </c>
      <c r="G505" s="2" t="s">
        <v>1117</v>
      </c>
      <c r="H505" s="2" t="s">
        <v>4363</v>
      </c>
    </row>
    <row r="506" spans="1:8" x14ac:dyDescent="0.35">
      <c r="A506" s="80" t="s">
        <v>612</v>
      </c>
      <c r="B506" s="91">
        <v>73</v>
      </c>
      <c r="C506" s="67" t="s">
        <v>612</v>
      </c>
      <c r="D506" s="95" t="str">
        <f t="shared" si="7"/>
        <v>RAMCOCEM</v>
      </c>
      <c r="F506" s="2" t="s">
        <v>1118</v>
      </c>
      <c r="G506" s="2" t="s">
        <v>1119</v>
      </c>
      <c r="H506" s="2" t="s">
        <v>4363</v>
      </c>
    </row>
    <row r="507" spans="1:8" x14ac:dyDescent="0.35">
      <c r="A507" s="80" t="s">
        <v>4473</v>
      </c>
      <c r="B507" s="91">
        <v>59</v>
      </c>
      <c r="C507" s="67" t="s">
        <v>612</v>
      </c>
      <c r="D507" s="95" t="str">
        <f t="shared" si="7"/>
        <v>RAMCOCEM</v>
      </c>
      <c r="F507" s="2" t="s">
        <v>1120</v>
      </c>
      <c r="G507" s="2" t="s">
        <v>1121</v>
      </c>
      <c r="H507" s="2" t="s">
        <v>4363</v>
      </c>
    </row>
    <row r="508" spans="1:8" x14ac:dyDescent="0.35">
      <c r="A508" s="80" t="s">
        <v>6150</v>
      </c>
      <c r="B508" s="91">
        <v>32</v>
      </c>
      <c r="C508" s="67" t="s">
        <v>612</v>
      </c>
      <c r="D508" s="95" t="str">
        <f t="shared" si="7"/>
        <v>RAMCOCEM</v>
      </c>
      <c r="F508" s="2" t="s">
        <v>1122</v>
      </c>
      <c r="G508" s="2" t="s">
        <v>1123</v>
      </c>
      <c r="H508" s="2" t="s">
        <v>4363</v>
      </c>
    </row>
    <row r="509" spans="1:8" x14ac:dyDescent="0.35">
      <c r="A509" s="80" t="s">
        <v>6019</v>
      </c>
      <c r="B509" s="91">
        <v>43</v>
      </c>
      <c r="C509" s="67" t="s">
        <v>504</v>
      </c>
      <c r="D509" s="95" t="str">
        <f t="shared" si="7"/>
        <v>THERMAX</v>
      </c>
      <c r="F509" s="2" t="s">
        <v>1124</v>
      </c>
      <c r="G509" s="2" t="s">
        <v>1125</v>
      </c>
      <c r="H509" s="2" t="s">
        <v>4363</v>
      </c>
    </row>
    <row r="510" spans="1:8" x14ac:dyDescent="0.35">
      <c r="A510" s="80" t="s">
        <v>1453</v>
      </c>
      <c r="B510" s="91">
        <v>109</v>
      </c>
      <c r="C510" s="67" t="s">
        <v>1453</v>
      </c>
      <c r="D510" s="95" t="str">
        <f t="shared" si="7"/>
        <v>THYROCARE</v>
      </c>
      <c r="F510" s="2" t="s">
        <v>1126</v>
      </c>
      <c r="G510" s="2" t="s">
        <v>150</v>
      </c>
      <c r="H510" s="2" t="s">
        <v>4363</v>
      </c>
    </row>
    <row r="511" spans="1:8" x14ac:dyDescent="0.35">
      <c r="A511" s="80" t="s">
        <v>570</v>
      </c>
      <c r="B511" s="91">
        <v>49</v>
      </c>
      <c r="C511" s="67" t="s">
        <v>570</v>
      </c>
      <c r="D511" s="95" t="str">
        <f t="shared" si="7"/>
        <v>TIMKEN</v>
      </c>
      <c r="F511" s="2" t="s">
        <v>1127</v>
      </c>
      <c r="G511" s="2" t="s">
        <v>1128</v>
      </c>
      <c r="H511" s="2" t="s">
        <v>4363</v>
      </c>
    </row>
    <row r="512" spans="1:8" x14ac:dyDescent="0.35">
      <c r="A512" s="80" t="s">
        <v>4430</v>
      </c>
      <c r="B512" s="91">
        <v>50</v>
      </c>
      <c r="C512" s="67" t="s">
        <v>570</v>
      </c>
      <c r="D512" s="95" t="str">
        <f t="shared" si="7"/>
        <v>TIMKEN</v>
      </c>
      <c r="F512" s="2" t="s">
        <v>1129</v>
      </c>
      <c r="G512" s="2" t="s">
        <v>1130</v>
      </c>
      <c r="H512" s="2" t="s">
        <v>4363</v>
      </c>
    </row>
    <row r="513" spans="1:8" x14ac:dyDescent="0.35">
      <c r="A513" s="80" t="s">
        <v>5930</v>
      </c>
      <c r="B513" s="91">
        <v>21</v>
      </c>
      <c r="C513" s="67" t="s">
        <v>6190</v>
      </c>
      <c r="D513" s="95" t="s">
        <v>214</v>
      </c>
      <c r="F513" s="2" t="s">
        <v>1131</v>
      </c>
      <c r="G513" s="2" t="s">
        <v>1132</v>
      </c>
      <c r="H513" s="2" t="s">
        <v>4363</v>
      </c>
    </row>
    <row r="514" spans="1:8" x14ac:dyDescent="0.35">
      <c r="A514" s="80" t="s">
        <v>5965</v>
      </c>
      <c r="B514" s="91">
        <v>44</v>
      </c>
      <c r="C514" s="67" t="s">
        <v>215</v>
      </c>
      <c r="D514" s="95" t="str">
        <f t="shared" si="7"/>
        <v>TITAN</v>
      </c>
      <c r="F514" s="2" t="s">
        <v>1133</v>
      </c>
      <c r="G514" s="2" t="s">
        <v>1134</v>
      </c>
      <c r="H514" s="2" t="s">
        <v>4363</v>
      </c>
    </row>
    <row r="515" spans="1:8" x14ac:dyDescent="0.35">
      <c r="A515" s="80" t="s">
        <v>339</v>
      </c>
      <c r="B515" s="91">
        <v>34</v>
      </c>
      <c r="C515" s="67" t="s">
        <v>339</v>
      </c>
      <c r="D515" s="95" t="str">
        <f t="shared" si="7"/>
        <v>TORNTPHARM</v>
      </c>
      <c r="F515" s="2" t="s">
        <v>1135</v>
      </c>
      <c r="G515" s="2" t="s">
        <v>1136</v>
      </c>
      <c r="H515" s="2" t="s">
        <v>4363</v>
      </c>
    </row>
    <row r="516" spans="1:8" x14ac:dyDescent="0.35">
      <c r="A516" s="80" t="s">
        <v>4422</v>
      </c>
      <c r="B516" s="91">
        <v>50</v>
      </c>
      <c r="C516" s="67" t="s">
        <v>339</v>
      </c>
      <c r="D516" s="95" t="str">
        <f t="shared" si="7"/>
        <v>TORNTPHARM</v>
      </c>
      <c r="F516" s="2" t="s">
        <v>1137</v>
      </c>
      <c r="G516" s="2" t="s">
        <v>1138</v>
      </c>
      <c r="H516" s="2" t="s">
        <v>4363</v>
      </c>
    </row>
    <row r="517" spans="1:8" x14ac:dyDescent="0.35">
      <c r="A517" s="80" t="s">
        <v>6142</v>
      </c>
      <c r="B517" s="91">
        <v>8</v>
      </c>
      <c r="C517" s="67" t="s">
        <v>90</v>
      </c>
      <c r="D517" s="95" t="str">
        <f t="shared" si="7"/>
        <v>TORNTPOWER</v>
      </c>
      <c r="F517" s="2" t="s">
        <v>1139</v>
      </c>
      <c r="G517" s="2" t="s">
        <v>1140</v>
      </c>
      <c r="H517" s="2" t="s">
        <v>4363</v>
      </c>
    </row>
    <row r="518" spans="1:8" x14ac:dyDescent="0.35">
      <c r="A518" s="80" t="s">
        <v>2240</v>
      </c>
      <c r="B518" s="91">
        <v>151</v>
      </c>
      <c r="C518" s="67" t="s">
        <v>2240</v>
      </c>
      <c r="D518" s="95" t="str">
        <f t="shared" si="7"/>
        <v>TRACXN</v>
      </c>
      <c r="F518" s="2" t="s">
        <v>1141</v>
      </c>
      <c r="G518" s="2" t="s">
        <v>1142</v>
      </c>
      <c r="H518" s="2" t="s">
        <v>4363</v>
      </c>
    </row>
    <row r="519" spans="1:8" x14ac:dyDescent="0.35">
      <c r="A519" s="80" t="s">
        <v>349</v>
      </c>
      <c r="B519" s="91">
        <v>58</v>
      </c>
      <c r="C519" s="67" t="s">
        <v>349</v>
      </c>
      <c r="D519" s="95" t="str">
        <f t="shared" si="7"/>
        <v>TRENT</v>
      </c>
      <c r="F519" s="2" t="s">
        <v>1143</v>
      </c>
      <c r="G519" s="2" t="s">
        <v>1144</v>
      </c>
      <c r="H519" s="2" t="s">
        <v>4363</v>
      </c>
    </row>
    <row r="520" spans="1:8" x14ac:dyDescent="0.35">
      <c r="A520" s="80" t="s">
        <v>5967</v>
      </c>
      <c r="B520" s="91">
        <v>48</v>
      </c>
      <c r="C520" s="67" t="s">
        <v>349</v>
      </c>
      <c r="D520" s="95" t="str">
        <f t="shared" ref="D520:D583" si="8">IFERROR(INDEX($F$6:$G$1048576,MATCH($C520,$G$6:$G$1048576,0),MATCH($D$6,$F$6:$G$6,0)),"")</f>
        <v>TRENT</v>
      </c>
      <c r="F520" s="2" t="s">
        <v>1145</v>
      </c>
      <c r="G520" s="2" t="s">
        <v>1146</v>
      </c>
      <c r="H520" s="2" t="s">
        <v>4363</v>
      </c>
    </row>
    <row r="521" spans="1:8" x14ac:dyDescent="0.35">
      <c r="A521" s="80" t="s">
        <v>977</v>
      </c>
      <c r="B521" s="91">
        <v>135</v>
      </c>
      <c r="C521" s="67" t="s">
        <v>977</v>
      </c>
      <c r="D521" s="95" t="str">
        <f t="shared" si="8"/>
        <v>TRIVENI</v>
      </c>
      <c r="F521" s="2" t="s">
        <v>1147</v>
      </c>
      <c r="G521" s="2" t="s">
        <v>1148</v>
      </c>
      <c r="H521" s="2" t="s">
        <v>4363</v>
      </c>
    </row>
    <row r="522" spans="1:8" x14ac:dyDescent="0.35">
      <c r="A522" s="80" t="s">
        <v>804</v>
      </c>
      <c r="B522" s="91">
        <v>116</v>
      </c>
      <c r="C522" s="67" t="s">
        <v>804</v>
      </c>
      <c r="D522" s="95" t="str">
        <f t="shared" si="8"/>
        <v>TTKPRESTIG</v>
      </c>
      <c r="F522" s="2" t="s">
        <v>1149</v>
      </c>
      <c r="G522" s="2" t="s">
        <v>1150</v>
      </c>
      <c r="H522" s="2" t="s">
        <v>4363</v>
      </c>
    </row>
    <row r="523" spans="1:8" x14ac:dyDescent="0.35">
      <c r="A523" s="80" t="s">
        <v>347</v>
      </c>
      <c r="B523" s="91">
        <v>24</v>
      </c>
      <c r="C523" s="67" t="s">
        <v>347</v>
      </c>
      <c r="D523" s="95" t="str">
        <f t="shared" si="8"/>
        <v>TIINDIA</v>
      </c>
      <c r="F523" s="2" t="s">
        <v>1151</v>
      </c>
      <c r="G523" s="2" t="s">
        <v>1152</v>
      </c>
      <c r="H523" s="2" t="s">
        <v>4363</v>
      </c>
    </row>
    <row r="524" spans="1:8" x14ac:dyDescent="0.35">
      <c r="A524" s="80" t="s">
        <v>6083</v>
      </c>
      <c r="B524" s="91">
        <v>3</v>
      </c>
      <c r="C524" s="67" t="s">
        <v>6224</v>
      </c>
      <c r="D524" s="95" t="str">
        <f t="shared" si="8"/>
        <v>TIINDIA</v>
      </c>
      <c r="F524" s="2" t="s">
        <v>1153</v>
      </c>
      <c r="G524" s="2" t="s">
        <v>1154</v>
      </c>
      <c r="H524" s="2" t="s">
        <v>4363</v>
      </c>
    </row>
    <row r="525" spans="1:8" x14ac:dyDescent="0.35">
      <c r="A525" s="80" t="s">
        <v>163</v>
      </c>
      <c r="B525" s="91">
        <v>62</v>
      </c>
      <c r="C525" s="67" t="s">
        <v>163</v>
      </c>
      <c r="D525" s="95" t="str">
        <f t="shared" si="8"/>
        <v>TVTODAY</v>
      </c>
      <c r="F525" s="2" t="s">
        <v>1155</v>
      </c>
      <c r="G525" s="2" t="s">
        <v>1156</v>
      </c>
      <c r="H525" s="2" t="s">
        <v>4363</v>
      </c>
    </row>
    <row r="526" spans="1:8" x14ac:dyDescent="0.35">
      <c r="A526" s="80" t="s">
        <v>6128</v>
      </c>
      <c r="B526" s="91">
        <v>19</v>
      </c>
      <c r="C526" s="67" t="s">
        <v>1074</v>
      </c>
      <c r="D526" s="95" t="str">
        <f t="shared" si="8"/>
        <v>TV18BRDCST</v>
      </c>
      <c r="F526" s="2" t="s">
        <v>1157</v>
      </c>
      <c r="G526" s="2" t="s">
        <v>1158</v>
      </c>
      <c r="H526" s="2" t="s">
        <v>4363</v>
      </c>
    </row>
    <row r="527" spans="1:8" x14ac:dyDescent="0.35">
      <c r="A527" s="80" t="s">
        <v>4401</v>
      </c>
      <c r="B527" s="91">
        <v>15</v>
      </c>
      <c r="C527" s="67" t="s">
        <v>343</v>
      </c>
      <c r="D527" s="95" t="str">
        <f t="shared" si="8"/>
        <v>TVSMOTOR</v>
      </c>
      <c r="F527" s="2" t="s">
        <v>1159</v>
      </c>
      <c r="G527" s="2" t="s">
        <v>1160</v>
      </c>
      <c r="H527" s="2" t="s">
        <v>4363</v>
      </c>
    </row>
    <row r="528" spans="1:8" x14ac:dyDescent="0.35">
      <c r="A528" s="80" t="s">
        <v>73</v>
      </c>
      <c r="B528" s="91">
        <v>10</v>
      </c>
      <c r="C528" s="67" t="s">
        <v>73</v>
      </c>
      <c r="D528" s="95" t="str">
        <f t="shared" si="8"/>
        <v>ULTRACEMCO</v>
      </c>
      <c r="F528" s="2" t="s">
        <v>1161</v>
      </c>
      <c r="G528" s="2" t="s">
        <v>1162</v>
      </c>
      <c r="H528" s="2" t="s">
        <v>4363</v>
      </c>
    </row>
    <row r="529" spans="1:8" x14ac:dyDescent="0.35">
      <c r="A529" s="80" t="s">
        <v>1422</v>
      </c>
      <c r="B529" s="91">
        <v>177</v>
      </c>
      <c r="C529" s="67" t="s">
        <v>1422</v>
      </c>
      <c r="D529" s="95" t="str">
        <f t="shared" si="8"/>
        <v>UNIPARTS</v>
      </c>
      <c r="F529" s="2" t="s">
        <v>1163</v>
      </c>
      <c r="G529" s="2" t="s">
        <v>1164</v>
      </c>
      <c r="H529" s="2" t="s">
        <v>4363</v>
      </c>
    </row>
    <row r="530" spans="1:8" x14ac:dyDescent="0.35">
      <c r="A530" s="80" t="s">
        <v>5957</v>
      </c>
      <c r="B530" s="91">
        <v>26</v>
      </c>
      <c r="C530" s="67" t="s">
        <v>409</v>
      </c>
      <c r="D530" s="95" t="str">
        <f t="shared" si="8"/>
        <v>UBL</v>
      </c>
      <c r="F530" s="2" t="s">
        <v>1165</v>
      </c>
      <c r="G530" s="2" t="s">
        <v>1166</v>
      </c>
      <c r="H530" s="2" t="s">
        <v>4363</v>
      </c>
    </row>
    <row r="531" spans="1:8" x14ac:dyDescent="0.35">
      <c r="A531" s="80" t="s">
        <v>5933</v>
      </c>
      <c r="B531" s="91">
        <v>63</v>
      </c>
      <c r="C531" s="67" t="s">
        <v>332</v>
      </c>
      <c r="D531" s="95" t="str">
        <f t="shared" si="8"/>
        <v>MCDOWELL-N</v>
      </c>
      <c r="F531" s="2" t="s">
        <v>1167</v>
      </c>
      <c r="G531" s="2" t="s">
        <v>152</v>
      </c>
      <c r="H531" s="2" t="s">
        <v>4363</v>
      </c>
    </row>
    <row r="532" spans="1:8" x14ac:dyDescent="0.35">
      <c r="A532" s="80" t="s">
        <v>6105</v>
      </c>
      <c r="B532" s="91">
        <v>45</v>
      </c>
      <c r="C532" s="67" t="s">
        <v>332</v>
      </c>
      <c r="D532" s="95" t="str">
        <f t="shared" si="8"/>
        <v>MCDOWELL-N</v>
      </c>
      <c r="F532" s="2" t="s">
        <v>1168</v>
      </c>
      <c r="G532" s="2" t="s">
        <v>1169</v>
      </c>
      <c r="H532" s="2" t="s">
        <v>4363</v>
      </c>
    </row>
    <row r="533" spans="1:8" x14ac:dyDescent="0.35">
      <c r="A533" s="80" t="s">
        <v>500</v>
      </c>
      <c r="B533" s="91">
        <v>46</v>
      </c>
      <c r="C533" s="67" t="s">
        <v>500</v>
      </c>
      <c r="D533" s="95" t="str">
        <f t="shared" si="8"/>
        <v>UNOMINDA</v>
      </c>
      <c r="F533" s="2" t="s">
        <v>1170</v>
      </c>
      <c r="G533" s="2" t="s">
        <v>1171</v>
      </c>
      <c r="H533" s="2" t="s">
        <v>4363</v>
      </c>
    </row>
    <row r="534" spans="1:8" x14ac:dyDescent="0.35">
      <c r="A534" s="80" t="s">
        <v>6089</v>
      </c>
      <c r="B534" s="91">
        <v>34</v>
      </c>
      <c r="C534" s="67" t="s">
        <v>500</v>
      </c>
      <c r="D534" s="95" t="str">
        <f t="shared" si="8"/>
        <v>UNOMINDA</v>
      </c>
      <c r="F534" s="2" t="s">
        <v>1172</v>
      </c>
      <c r="G534" s="2" t="s">
        <v>1173</v>
      </c>
      <c r="H534" s="2" t="s">
        <v>4363</v>
      </c>
    </row>
    <row r="535" spans="1:8" x14ac:dyDescent="0.35">
      <c r="A535" s="80" t="s">
        <v>865</v>
      </c>
      <c r="B535" s="91">
        <v>81</v>
      </c>
      <c r="C535" s="67" t="s">
        <v>865</v>
      </c>
      <c r="D535" s="95" t="str">
        <f t="shared" si="8"/>
        <v>UTIAMC</v>
      </c>
      <c r="F535" s="2" t="s">
        <v>1174</v>
      </c>
      <c r="G535" s="2" t="s">
        <v>1175</v>
      </c>
      <c r="H535" s="2" t="s">
        <v>4363</v>
      </c>
    </row>
    <row r="536" spans="1:8" x14ac:dyDescent="0.35">
      <c r="A536" s="80" t="s">
        <v>1545</v>
      </c>
      <c r="B536" s="91">
        <v>95</v>
      </c>
      <c r="C536" s="67" t="s">
        <v>6225</v>
      </c>
      <c r="D536" s="95" t="s">
        <v>1544</v>
      </c>
      <c r="F536" s="2" t="s">
        <v>1176</v>
      </c>
      <c r="G536" s="2" t="s">
        <v>1177</v>
      </c>
      <c r="H536" s="2" t="s">
        <v>4363</v>
      </c>
    </row>
    <row r="537" spans="1:8" x14ac:dyDescent="0.35">
      <c r="A537" s="80" t="s">
        <v>6058</v>
      </c>
      <c r="B537" s="91">
        <v>42</v>
      </c>
      <c r="C537" s="67" t="s">
        <v>6225</v>
      </c>
      <c r="D537" s="95" t="s">
        <v>1544</v>
      </c>
      <c r="F537" s="2" t="s">
        <v>1178</v>
      </c>
      <c r="G537" s="2" t="s">
        <v>1179</v>
      </c>
      <c r="H537" s="2" t="s">
        <v>4363</v>
      </c>
    </row>
    <row r="538" spans="1:8" x14ac:dyDescent="0.35">
      <c r="A538" s="80" t="s">
        <v>6003</v>
      </c>
      <c r="B538" s="91">
        <v>40</v>
      </c>
      <c r="C538" s="67" t="s">
        <v>6225</v>
      </c>
      <c r="D538" s="95" t="s">
        <v>1544</v>
      </c>
      <c r="F538" s="2" t="s">
        <v>1180</v>
      </c>
      <c r="G538" s="2" t="s">
        <v>1181</v>
      </c>
      <c r="H538" s="2" t="s">
        <v>4363</v>
      </c>
    </row>
    <row r="539" spans="1:8" x14ac:dyDescent="0.35">
      <c r="A539" s="80" t="s">
        <v>154</v>
      </c>
      <c r="B539" s="91">
        <v>52</v>
      </c>
      <c r="C539" s="67" t="s">
        <v>154</v>
      </c>
      <c r="D539" s="95" t="str">
        <f t="shared" si="8"/>
        <v>VTL</v>
      </c>
      <c r="F539" s="2" t="s">
        <v>1182</v>
      </c>
      <c r="G539" s="2" t="s">
        <v>1183</v>
      </c>
      <c r="H539" s="2" t="s">
        <v>4363</v>
      </c>
    </row>
    <row r="540" spans="1:8" x14ac:dyDescent="0.35">
      <c r="A540" s="80" t="s">
        <v>280</v>
      </c>
      <c r="B540" s="91">
        <v>44</v>
      </c>
      <c r="C540" s="67" t="s">
        <v>280</v>
      </c>
      <c r="D540" s="95" t="str">
        <f t="shared" si="8"/>
        <v>VBL</v>
      </c>
      <c r="F540" s="2" t="s">
        <v>1184</v>
      </c>
      <c r="G540" s="2" t="s">
        <v>1185</v>
      </c>
      <c r="H540" s="2" t="s">
        <v>4363</v>
      </c>
    </row>
    <row r="541" spans="1:8" x14ac:dyDescent="0.35">
      <c r="A541" s="80" t="s">
        <v>498</v>
      </c>
      <c r="B541" s="91">
        <v>67</v>
      </c>
      <c r="C541" s="67" t="s">
        <v>498</v>
      </c>
      <c r="D541" s="95" t="str">
        <f t="shared" si="8"/>
        <v>MANYAVAR</v>
      </c>
      <c r="F541" s="2" t="s">
        <v>1186</v>
      </c>
      <c r="G541" s="2" t="s">
        <v>1187</v>
      </c>
      <c r="H541" s="2" t="s">
        <v>4363</v>
      </c>
    </row>
    <row r="542" spans="1:8" x14ac:dyDescent="0.35">
      <c r="A542" s="80" t="s">
        <v>6027</v>
      </c>
      <c r="B542" s="91">
        <v>33</v>
      </c>
      <c r="C542" s="67" t="s">
        <v>498</v>
      </c>
      <c r="D542" s="95" t="str">
        <f t="shared" si="8"/>
        <v>MANYAVAR</v>
      </c>
      <c r="F542" s="2" t="s">
        <v>1188</v>
      </c>
      <c r="G542" s="2" t="s">
        <v>1189</v>
      </c>
      <c r="H542" s="2" t="s">
        <v>4363</v>
      </c>
    </row>
    <row r="543" spans="1:8" x14ac:dyDescent="0.35">
      <c r="A543" s="80" t="s">
        <v>6078</v>
      </c>
      <c r="B543" s="91">
        <v>112</v>
      </c>
      <c r="C543" s="67" t="s">
        <v>6078</v>
      </c>
      <c r="D543" s="95" t="s">
        <v>1722</v>
      </c>
      <c r="F543" s="2" t="s">
        <v>1190</v>
      </c>
      <c r="G543" s="2" t="s">
        <v>1191</v>
      </c>
      <c r="H543" s="2" t="s">
        <v>4363</v>
      </c>
    </row>
    <row r="544" spans="1:8" x14ac:dyDescent="0.35">
      <c r="A544" s="80" t="s">
        <v>1282</v>
      </c>
      <c r="B544" s="91">
        <v>113</v>
      </c>
      <c r="C544" s="67" t="s">
        <v>1282</v>
      </c>
      <c r="D544" s="95" t="str">
        <f t="shared" si="8"/>
        <v>VESUVIUS</v>
      </c>
      <c r="F544" s="2" t="s">
        <v>1192</v>
      </c>
      <c r="G544" s="2" t="s">
        <v>1193</v>
      </c>
      <c r="H544" s="2" t="s">
        <v>4363</v>
      </c>
    </row>
    <row r="545" spans="1:8" x14ac:dyDescent="0.35">
      <c r="A545" s="80" t="s">
        <v>759</v>
      </c>
      <c r="B545" s="91">
        <v>89</v>
      </c>
      <c r="C545" s="67" t="s">
        <v>759</v>
      </c>
      <c r="D545" s="95" t="str">
        <f t="shared" si="8"/>
        <v>VGUARD</v>
      </c>
      <c r="F545" s="2" t="s">
        <v>1194</v>
      </c>
      <c r="G545" s="2" t="s">
        <v>1195</v>
      </c>
      <c r="H545" s="2" t="s">
        <v>4363</v>
      </c>
    </row>
    <row r="546" spans="1:8" x14ac:dyDescent="0.35">
      <c r="A546" s="80" t="s">
        <v>1181</v>
      </c>
      <c r="B546" s="91">
        <v>70</v>
      </c>
      <c r="C546" s="67" t="s">
        <v>1181</v>
      </c>
      <c r="D546" s="95" t="str">
        <f t="shared" si="8"/>
        <v>VIJAYA</v>
      </c>
      <c r="F546" s="2" t="s">
        <v>1196</v>
      </c>
      <c r="G546" s="2" t="s">
        <v>1197</v>
      </c>
      <c r="H546" s="2" t="s">
        <v>4363</v>
      </c>
    </row>
    <row r="547" spans="1:8" x14ac:dyDescent="0.35">
      <c r="A547" s="80" t="s">
        <v>5989</v>
      </c>
      <c r="B547" s="91">
        <v>14</v>
      </c>
      <c r="C547" s="67" t="s">
        <v>6226</v>
      </c>
      <c r="D547" s="95" t="s">
        <v>1180</v>
      </c>
      <c r="F547" s="2" t="s">
        <v>1198</v>
      </c>
      <c r="G547" s="2" t="s">
        <v>1199</v>
      </c>
      <c r="H547" s="2" t="s">
        <v>4363</v>
      </c>
    </row>
    <row r="548" spans="1:8" x14ac:dyDescent="0.35">
      <c r="A548" s="80" t="s">
        <v>6106</v>
      </c>
      <c r="B548" s="91">
        <v>47</v>
      </c>
      <c r="C548" s="67" t="s">
        <v>600</v>
      </c>
      <c r="D548" s="95" t="str">
        <f t="shared" si="8"/>
        <v>VINATIORGA</v>
      </c>
      <c r="F548" s="2" t="s">
        <v>1200</v>
      </c>
      <c r="G548" s="2" t="s">
        <v>1201</v>
      </c>
      <c r="H548" s="2" t="s">
        <v>4363</v>
      </c>
    </row>
    <row r="549" spans="1:8" x14ac:dyDescent="0.35">
      <c r="A549" s="80" t="s">
        <v>1512</v>
      </c>
      <c r="B549" s="91">
        <v>66</v>
      </c>
      <c r="C549" s="67" t="s">
        <v>1512</v>
      </c>
      <c r="D549" s="95" t="str">
        <f t="shared" si="8"/>
        <v>VINDHYATEL</v>
      </c>
      <c r="F549" s="2" t="s">
        <v>1202</v>
      </c>
      <c r="G549" s="2" t="s">
        <v>1203</v>
      </c>
      <c r="H549" s="2" t="s">
        <v>4363</v>
      </c>
    </row>
    <row r="550" spans="1:8" x14ac:dyDescent="0.35">
      <c r="A550" s="80" t="s">
        <v>873</v>
      </c>
      <c r="B550" s="91">
        <v>108</v>
      </c>
      <c r="C550" s="67" t="s">
        <v>873</v>
      </c>
      <c r="D550" s="95" t="str">
        <f t="shared" si="8"/>
        <v>VIPIND</v>
      </c>
      <c r="F550" s="2" t="s">
        <v>1204</v>
      </c>
      <c r="G550" s="2" t="s">
        <v>1205</v>
      </c>
      <c r="H550" s="2" t="s">
        <v>4363</v>
      </c>
    </row>
    <row r="551" spans="1:8" x14ac:dyDescent="0.35">
      <c r="A551" s="80" t="s">
        <v>5983</v>
      </c>
      <c r="B551" s="91">
        <v>25</v>
      </c>
      <c r="C551" s="67" t="s">
        <v>1154</v>
      </c>
      <c r="D551" s="95" t="str">
        <f t="shared" si="8"/>
        <v>VMART</v>
      </c>
      <c r="F551" s="2" t="s">
        <v>1206</v>
      </c>
      <c r="G551" s="2" t="s">
        <v>1207</v>
      </c>
      <c r="H551" s="2" t="s">
        <v>4363</v>
      </c>
    </row>
    <row r="552" spans="1:8" x14ac:dyDescent="0.35">
      <c r="A552" s="80" t="s">
        <v>1360</v>
      </c>
      <c r="B552" s="91">
        <v>9</v>
      </c>
      <c r="C552" s="67" t="s">
        <v>1360</v>
      </c>
      <c r="D552" s="95" t="str">
        <f t="shared" si="8"/>
        <v>VOLTAMP</v>
      </c>
      <c r="F552" s="2" t="s">
        <v>1208</v>
      </c>
      <c r="G552" s="2" t="s">
        <v>1209</v>
      </c>
      <c r="H552" s="2" t="s">
        <v>4363</v>
      </c>
    </row>
    <row r="553" spans="1:8" x14ac:dyDescent="0.35">
      <c r="A553" s="80" t="s">
        <v>99</v>
      </c>
      <c r="B553" s="91">
        <v>38</v>
      </c>
      <c r="C553" s="67" t="s">
        <v>99</v>
      </c>
      <c r="D553" s="95" t="str">
        <f t="shared" si="8"/>
        <v>VOLTAS</v>
      </c>
      <c r="F553" s="2" t="s">
        <v>1210</v>
      </c>
      <c r="G553" s="2" t="s">
        <v>155</v>
      </c>
      <c r="H553" s="2" t="s">
        <v>4363</v>
      </c>
    </row>
    <row r="554" spans="1:8" x14ac:dyDescent="0.35">
      <c r="A554" s="80" t="s">
        <v>5995</v>
      </c>
      <c r="B554" s="91">
        <v>27</v>
      </c>
      <c r="C554" s="67" t="s">
        <v>147</v>
      </c>
      <c r="D554" s="95" t="str">
        <f t="shared" si="8"/>
        <v>VRLLOG</v>
      </c>
      <c r="F554" s="2" t="s">
        <v>1211</v>
      </c>
      <c r="G554" s="2" t="s">
        <v>169</v>
      </c>
      <c r="H554" s="2" t="s">
        <v>4363</v>
      </c>
    </row>
    <row r="555" spans="1:8" x14ac:dyDescent="0.35">
      <c r="A555" s="80" t="s">
        <v>1084</v>
      </c>
      <c r="B555" s="91">
        <v>57</v>
      </c>
      <c r="C555" s="67" t="s">
        <v>1084</v>
      </c>
      <c r="D555" s="95" t="str">
        <f t="shared" si="8"/>
        <v>VSTIND</v>
      </c>
      <c r="F555" s="2" t="s">
        <v>1212</v>
      </c>
      <c r="G555" s="2" t="s">
        <v>1213</v>
      </c>
      <c r="H555" s="2" t="s">
        <v>4363</v>
      </c>
    </row>
    <row r="556" spans="1:8" x14ac:dyDescent="0.35">
      <c r="A556" s="80" t="s">
        <v>5962</v>
      </c>
      <c r="B556" s="91">
        <v>37</v>
      </c>
      <c r="C556" s="67" t="s">
        <v>5962</v>
      </c>
      <c r="D556" s="95" t="s">
        <v>4538</v>
      </c>
      <c r="F556" s="2" t="s">
        <v>1214</v>
      </c>
      <c r="G556" s="2" t="s">
        <v>1215</v>
      </c>
      <c r="H556" s="2" t="s">
        <v>4363</v>
      </c>
    </row>
    <row r="557" spans="1:8" x14ac:dyDescent="0.35">
      <c r="A557" s="80" t="s">
        <v>170</v>
      </c>
      <c r="B557" s="91">
        <v>79</v>
      </c>
      <c r="C557" s="67" t="s">
        <v>170</v>
      </c>
      <c r="D557" s="95" t="str">
        <f t="shared" si="8"/>
        <v>WSTCSTPAPR</v>
      </c>
      <c r="F557" s="2" t="s">
        <v>1216</v>
      </c>
      <c r="G557" s="2" t="s">
        <v>1217</v>
      </c>
      <c r="H557" s="2" t="s">
        <v>4363</v>
      </c>
    </row>
    <row r="558" spans="1:8" x14ac:dyDescent="0.35">
      <c r="A558" s="80" t="s">
        <v>6081</v>
      </c>
      <c r="B558" s="91">
        <v>185</v>
      </c>
      <c r="C558" s="67" t="s">
        <v>6081</v>
      </c>
      <c r="D558" s="95" t="s">
        <v>6241</v>
      </c>
      <c r="F558" s="2" t="s">
        <v>1218</v>
      </c>
      <c r="G558" s="2" t="s">
        <v>1219</v>
      </c>
      <c r="H558" s="2" t="s">
        <v>4363</v>
      </c>
    </row>
    <row r="559" spans="1:8" x14ac:dyDescent="0.35">
      <c r="A559" s="80" t="s">
        <v>4469</v>
      </c>
      <c r="B559" s="91">
        <v>63</v>
      </c>
      <c r="C559" s="67" t="s">
        <v>624</v>
      </c>
      <c r="D559" s="95" t="str">
        <f t="shared" si="8"/>
        <v>WHIRLPOOL</v>
      </c>
      <c r="F559" s="2" t="s">
        <v>1220</v>
      </c>
      <c r="G559" s="2" t="s">
        <v>1221</v>
      </c>
      <c r="H559" s="2" t="s">
        <v>4363</v>
      </c>
    </row>
    <row r="560" spans="1:8" x14ac:dyDescent="0.35">
      <c r="A560" s="80" t="s">
        <v>6013</v>
      </c>
      <c r="B560" s="91">
        <v>54</v>
      </c>
      <c r="C560" s="67" t="s">
        <v>2400</v>
      </c>
      <c r="D560" s="95" t="str">
        <f t="shared" si="8"/>
        <v>WINDLAS</v>
      </c>
      <c r="F560" s="2" t="s">
        <v>1222</v>
      </c>
      <c r="G560" s="2" t="s">
        <v>1223</v>
      </c>
      <c r="H560" s="2" t="s">
        <v>4363</v>
      </c>
    </row>
    <row r="561" spans="1:8" x14ac:dyDescent="0.35">
      <c r="A561" s="80" t="s">
        <v>6063</v>
      </c>
      <c r="B561" s="91">
        <v>60</v>
      </c>
      <c r="C561" s="67" t="s">
        <v>6191</v>
      </c>
      <c r="D561" s="95" t="s">
        <v>6239</v>
      </c>
      <c r="F561" s="2" t="s">
        <v>1224</v>
      </c>
      <c r="G561" s="2" t="s">
        <v>1225</v>
      </c>
      <c r="H561" s="2" t="s">
        <v>4363</v>
      </c>
    </row>
    <row r="562" spans="1:8" x14ac:dyDescent="0.35">
      <c r="A562" s="80" t="s">
        <v>578</v>
      </c>
      <c r="B562" s="91">
        <v>34</v>
      </c>
      <c r="C562" s="67" t="s">
        <v>578</v>
      </c>
      <c r="D562" s="95" t="str">
        <f t="shared" si="8"/>
        <v>ZEEL</v>
      </c>
      <c r="F562" s="2" t="s">
        <v>1226</v>
      </c>
      <c r="G562" s="2" t="s">
        <v>1227</v>
      </c>
      <c r="H562" s="2" t="s">
        <v>4363</v>
      </c>
    </row>
    <row r="563" spans="1:8" x14ac:dyDescent="0.35">
      <c r="A563" s="80" t="s">
        <v>4409</v>
      </c>
      <c r="B563" s="91">
        <v>40</v>
      </c>
      <c r="C563" s="67" t="s">
        <v>578</v>
      </c>
      <c r="D563" s="95" t="str">
        <f t="shared" si="8"/>
        <v>ZEEL</v>
      </c>
      <c r="F563" s="2" t="s">
        <v>1228</v>
      </c>
      <c r="G563" s="2" t="s">
        <v>1229</v>
      </c>
      <c r="H563" s="2" t="s">
        <v>4363</v>
      </c>
    </row>
    <row r="564" spans="1:8" x14ac:dyDescent="0.35">
      <c r="A564" s="80" t="s">
        <v>6040</v>
      </c>
      <c r="B564" s="91">
        <v>55</v>
      </c>
      <c r="C564" s="67" t="s">
        <v>588</v>
      </c>
      <c r="D564" s="95" t="str">
        <f t="shared" si="8"/>
        <v>ZFCVINDIA</v>
      </c>
      <c r="F564" s="2" t="s">
        <v>1230</v>
      </c>
      <c r="G564" s="2" t="s">
        <v>1231</v>
      </c>
      <c r="H564" s="2" t="s">
        <v>4363</v>
      </c>
    </row>
    <row r="565" spans="1:8" x14ac:dyDescent="0.35">
      <c r="A565" s="80" t="s">
        <v>6151</v>
      </c>
      <c r="B565" s="91">
        <v>33</v>
      </c>
      <c r="C565" s="67" t="s">
        <v>588</v>
      </c>
      <c r="D565" s="95" t="str">
        <f t="shared" si="8"/>
        <v>ZFCVINDIA</v>
      </c>
      <c r="F565" s="2" t="s">
        <v>1232</v>
      </c>
      <c r="G565" s="2" t="s">
        <v>1233</v>
      </c>
      <c r="H565" s="2" t="s">
        <v>4363</v>
      </c>
    </row>
    <row r="566" spans="1:8" x14ac:dyDescent="0.35">
      <c r="A566" s="80" t="s">
        <v>6108</v>
      </c>
      <c r="B566" s="91">
        <v>52</v>
      </c>
      <c r="C566" s="67" t="s">
        <v>6227</v>
      </c>
      <c r="D566" s="95" t="s">
        <v>587</v>
      </c>
      <c r="F566" s="2" t="s">
        <v>1234</v>
      </c>
      <c r="G566" s="2" t="s">
        <v>1235</v>
      </c>
      <c r="H566" s="2" t="s">
        <v>4363</v>
      </c>
    </row>
    <row r="567" spans="1:8" x14ac:dyDescent="0.35">
      <c r="A567" s="80" t="s">
        <v>375</v>
      </c>
      <c r="B567" s="91">
        <v>125</v>
      </c>
      <c r="C567" s="67" t="s">
        <v>375</v>
      </c>
      <c r="D567" s="95" t="str">
        <f t="shared" si="8"/>
        <v>ZOMATO</v>
      </c>
      <c r="F567" s="2" t="s">
        <v>1236</v>
      </c>
      <c r="G567" s="2" t="s">
        <v>1237</v>
      </c>
      <c r="H567" s="2" t="s">
        <v>4363</v>
      </c>
    </row>
    <row r="568" spans="1:8" x14ac:dyDescent="0.35">
      <c r="A568" s="80" t="s">
        <v>6033</v>
      </c>
      <c r="B568" s="91">
        <v>64</v>
      </c>
      <c r="C568" s="67" t="s">
        <v>345</v>
      </c>
      <c r="D568" s="95" t="str">
        <f t="shared" si="8"/>
        <v>ZYDUSLIFE</v>
      </c>
      <c r="F568" s="2" t="s">
        <v>1238</v>
      </c>
      <c r="G568" s="2" t="s">
        <v>1239</v>
      </c>
      <c r="H568" s="2" t="s">
        <v>4363</v>
      </c>
    </row>
    <row r="569" spans="1:8" x14ac:dyDescent="0.35">
      <c r="A569" s="80" t="s">
        <v>789</v>
      </c>
      <c r="B569" s="91">
        <v>8</v>
      </c>
      <c r="C569" s="67" t="s">
        <v>789</v>
      </c>
      <c r="D569" s="95" t="str">
        <f t="shared" si="8"/>
        <v>ZYDUSWELL</v>
      </c>
      <c r="F569" s="2" t="s">
        <v>1240</v>
      </c>
      <c r="G569" s="2" t="s">
        <v>1241</v>
      </c>
      <c r="H569" s="2" t="s">
        <v>4363</v>
      </c>
    </row>
    <row r="570" spans="1:8" x14ac:dyDescent="0.35">
      <c r="A570" s="76" t="s">
        <v>125</v>
      </c>
      <c r="B570" s="92">
        <v>193</v>
      </c>
      <c r="C570" s="67" t="s">
        <v>125</v>
      </c>
      <c r="D570" s="95" t="str">
        <f t="shared" si="8"/>
        <v/>
      </c>
      <c r="F570" s="2" t="s">
        <v>1242</v>
      </c>
      <c r="G570" s="2" t="s">
        <v>1243</v>
      </c>
      <c r="H570" s="2" t="s">
        <v>4363</v>
      </c>
    </row>
    <row r="571" spans="1:8" x14ac:dyDescent="0.35">
      <c r="B571"/>
      <c r="D571" s="95" t="str">
        <f t="shared" si="8"/>
        <v/>
      </c>
      <c r="F571" s="2" t="s">
        <v>1244</v>
      </c>
      <c r="G571" s="2" t="s">
        <v>1245</v>
      </c>
      <c r="H571" s="2" t="s">
        <v>4363</v>
      </c>
    </row>
    <row r="572" spans="1:8" x14ac:dyDescent="0.35">
      <c r="B572"/>
      <c r="D572" s="95" t="str">
        <f t="shared" si="8"/>
        <v/>
      </c>
      <c r="F572" s="2" t="s">
        <v>1246</v>
      </c>
      <c r="G572" s="2" t="s">
        <v>1247</v>
      </c>
      <c r="H572" s="2" t="s">
        <v>4363</v>
      </c>
    </row>
    <row r="573" spans="1:8" x14ac:dyDescent="0.35">
      <c r="B573"/>
      <c r="D573" s="95" t="str">
        <f t="shared" si="8"/>
        <v/>
      </c>
      <c r="F573" s="2" t="s">
        <v>1248</v>
      </c>
      <c r="G573" s="2" t="s">
        <v>1249</v>
      </c>
      <c r="H573" s="2" t="s">
        <v>4363</v>
      </c>
    </row>
    <row r="574" spans="1:8" x14ac:dyDescent="0.35">
      <c r="B574"/>
      <c r="D574" s="95" t="str">
        <f t="shared" si="8"/>
        <v/>
      </c>
      <c r="F574" s="2" t="s">
        <v>1250</v>
      </c>
      <c r="G574" s="2" t="s">
        <v>1251</v>
      </c>
      <c r="H574" s="2" t="s">
        <v>4363</v>
      </c>
    </row>
    <row r="575" spans="1:8" x14ac:dyDescent="0.35">
      <c r="B575"/>
      <c r="D575" s="95" t="str">
        <f t="shared" si="8"/>
        <v/>
      </c>
      <c r="F575" s="2" t="s">
        <v>1252</v>
      </c>
      <c r="G575" s="2" t="s">
        <v>141</v>
      </c>
      <c r="H575" s="2" t="s">
        <v>4363</v>
      </c>
    </row>
    <row r="576" spans="1:8" x14ac:dyDescent="0.35">
      <c r="B576"/>
      <c r="D576" s="95" t="str">
        <f t="shared" si="8"/>
        <v/>
      </c>
      <c r="F576" s="2" t="s">
        <v>1253</v>
      </c>
      <c r="G576" s="2" t="s">
        <v>1254</v>
      </c>
      <c r="H576" s="2" t="s">
        <v>4363</v>
      </c>
    </row>
    <row r="577" spans="2:8" x14ac:dyDescent="0.35">
      <c r="B577"/>
      <c r="D577" s="95" t="str">
        <f t="shared" si="8"/>
        <v/>
      </c>
      <c r="F577" s="2" t="s">
        <v>1255</v>
      </c>
      <c r="G577" s="2" t="s">
        <v>1256</v>
      </c>
      <c r="H577" s="2" t="s">
        <v>4363</v>
      </c>
    </row>
    <row r="578" spans="2:8" x14ac:dyDescent="0.35">
      <c r="B578"/>
      <c r="D578" s="95" t="str">
        <f t="shared" si="8"/>
        <v/>
      </c>
      <c r="F578" s="2" t="s">
        <v>1257</v>
      </c>
      <c r="G578" s="2" t="s">
        <v>170</v>
      </c>
      <c r="H578" s="2" t="s">
        <v>4363</v>
      </c>
    </row>
    <row r="579" spans="2:8" x14ac:dyDescent="0.35">
      <c r="B579"/>
      <c r="D579" s="95" t="str">
        <f t="shared" si="8"/>
        <v/>
      </c>
      <c r="F579" s="2" t="s">
        <v>1258</v>
      </c>
      <c r="G579" s="2" t="s">
        <v>1259</v>
      </c>
      <c r="H579" s="2" t="s">
        <v>4363</v>
      </c>
    </row>
    <row r="580" spans="2:8" x14ac:dyDescent="0.35">
      <c r="B580"/>
      <c r="D580" s="95" t="str">
        <f t="shared" si="8"/>
        <v/>
      </c>
      <c r="F580" s="2" t="s">
        <v>1260</v>
      </c>
      <c r="G580" s="2" t="s">
        <v>1261</v>
      </c>
      <c r="H580" s="2" t="s">
        <v>4363</v>
      </c>
    </row>
    <row r="581" spans="2:8" x14ac:dyDescent="0.35">
      <c r="B581"/>
      <c r="D581" s="95" t="str">
        <f t="shared" si="8"/>
        <v/>
      </c>
      <c r="F581" s="2" t="s">
        <v>1262</v>
      </c>
      <c r="G581" s="2" t="s">
        <v>1263</v>
      </c>
      <c r="H581" s="2" t="s">
        <v>4363</v>
      </c>
    </row>
    <row r="582" spans="2:8" x14ac:dyDescent="0.35">
      <c r="B582"/>
      <c r="D582" s="95" t="str">
        <f t="shared" si="8"/>
        <v/>
      </c>
      <c r="F582" s="2" t="s">
        <v>1264</v>
      </c>
      <c r="G582" s="2" t="s">
        <v>1265</v>
      </c>
      <c r="H582" s="2" t="s">
        <v>4363</v>
      </c>
    </row>
    <row r="583" spans="2:8" x14ac:dyDescent="0.35">
      <c r="B583"/>
      <c r="D583" s="95" t="str">
        <f t="shared" si="8"/>
        <v/>
      </c>
      <c r="F583" s="2" t="s">
        <v>1266</v>
      </c>
      <c r="G583" s="2" t="s">
        <v>1267</v>
      </c>
      <c r="H583" s="2" t="s">
        <v>4363</v>
      </c>
    </row>
    <row r="584" spans="2:8" x14ac:dyDescent="0.35">
      <c r="B584"/>
      <c r="D584" s="95" t="str">
        <f t="shared" ref="D584:D647" si="9">IFERROR(INDEX($F$6:$G$1048576,MATCH($C584,$G$6:$G$1048576,0),MATCH($D$6,$F$6:$G$6,0)),"")</f>
        <v/>
      </c>
      <c r="F584" s="2" t="s">
        <v>1268</v>
      </c>
      <c r="G584" s="2" t="s">
        <v>1269</v>
      </c>
      <c r="H584" s="2" t="s">
        <v>4363</v>
      </c>
    </row>
    <row r="585" spans="2:8" x14ac:dyDescent="0.35">
      <c r="B585"/>
      <c r="D585" s="95" t="str">
        <f t="shared" si="9"/>
        <v/>
      </c>
      <c r="F585" s="2" t="s">
        <v>1270</v>
      </c>
      <c r="G585" s="2" t="s">
        <v>1271</v>
      </c>
      <c r="H585" s="2" t="s">
        <v>4363</v>
      </c>
    </row>
    <row r="586" spans="2:8" x14ac:dyDescent="0.35">
      <c r="B586"/>
      <c r="D586" s="95" t="str">
        <f t="shared" si="9"/>
        <v/>
      </c>
      <c r="F586" s="2" t="s">
        <v>1272</v>
      </c>
      <c r="G586" s="2" t="s">
        <v>1273</v>
      </c>
      <c r="H586" s="2" t="s">
        <v>4363</v>
      </c>
    </row>
    <row r="587" spans="2:8" x14ac:dyDescent="0.35">
      <c r="B587"/>
      <c r="D587" s="95" t="str">
        <f t="shared" si="9"/>
        <v/>
      </c>
      <c r="F587" s="2" t="s">
        <v>1274</v>
      </c>
      <c r="G587" s="2" t="s">
        <v>145</v>
      </c>
      <c r="H587" s="2" t="s">
        <v>4363</v>
      </c>
    </row>
    <row r="588" spans="2:8" x14ac:dyDescent="0.35">
      <c r="B588"/>
      <c r="D588" s="95" t="str">
        <f t="shared" si="9"/>
        <v/>
      </c>
      <c r="F588" s="2" t="s">
        <v>1275</v>
      </c>
      <c r="G588" s="2" t="s">
        <v>1276</v>
      </c>
      <c r="H588" s="2" t="s">
        <v>4363</v>
      </c>
    </row>
    <row r="589" spans="2:8" x14ac:dyDescent="0.35">
      <c r="B589"/>
      <c r="D589" s="95" t="str">
        <f t="shared" si="9"/>
        <v/>
      </c>
      <c r="F589" s="2" t="s">
        <v>1277</v>
      </c>
      <c r="G589" s="2" t="s">
        <v>1278</v>
      </c>
      <c r="H589" s="2" t="s">
        <v>4363</v>
      </c>
    </row>
    <row r="590" spans="2:8" x14ac:dyDescent="0.35">
      <c r="B590"/>
      <c r="D590" s="95" t="str">
        <f t="shared" si="9"/>
        <v/>
      </c>
      <c r="F590" s="2" t="s">
        <v>1279</v>
      </c>
      <c r="G590" s="2" t="s">
        <v>1280</v>
      </c>
      <c r="H590" s="2" t="s">
        <v>4363</v>
      </c>
    </row>
    <row r="591" spans="2:8" x14ac:dyDescent="0.35">
      <c r="B591"/>
      <c r="D591" s="95" t="str">
        <f t="shared" si="9"/>
        <v/>
      </c>
      <c r="F591" s="2" t="s">
        <v>1281</v>
      </c>
      <c r="G591" s="2" t="s">
        <v>1282</v>
      </c>
      <c r="H591" s="2" t="s">
        <v>4363</v>
      </c>
    </row>
    <row r="592" spans="2:8" x14ac:dyDescent="0.35">
      <c r="B592"/>
      <c r="D592" s="95" t="str">
        <f t="shared" si="9"/>
        <v/>
      </c>
      <c r="F592" s="2" t="s">
        <v>1283</v>
      </c>
      <c r="G592" s="2" t="s">
        <v>1284</v>
      </c>
      <c r="H592" s="2" t="s">
        <v>4363</v>
      </c>
    </row>
    <row r="593" spans="2:8" x14ac:dyDescent="0.35">
      <c r="B593"/>
      <c r="D593" s="95" t="str">
        <f t="shared" si="9"/>
        <v/>
      </c>
      <c r="F593" s="2" t="s">
        <v>1285</v>
      </c>
      <c r="G593" s="2" t="s">
        <v>157</v>
      </c>
      <c r="H593" s="2" t="s">
        <v>4363</v>
      </c>
    </row>
    <row r="594" spans="2:8" x14ac:dyDescent="0.35">
      <c r="B594"/>
      <c r="D594" s="95" t="str">
        <f t="shared" si="9"/>
        <v/>
      </c>
      <c r="F594" s="2" t="s">
        <v>1286</v>
      </c>
      <c r="G594" s="2" t="s">
        <v>1287</v>
      </c>
      <c r="H594" s="2" t="s">
        <v>4363</v>
      </c>
    </row>
    <row r="595" spans="2:8" x14ac:dyDescent="0.35">
      <c r="B595"/>
      <c r="D595" s="95" t="str">
        <f t="shared" si="9"/>
        <v/>
      </c>
      <c r="F595" s="2" t="s">
        <v>1288</v>
      </c>
      <c r="G595" s="2" t="s">
        <v>1289</v>
      </c>
      <c r="H595" s="2" t="s">
        <v>4363</v>
      </c>
    </row>
    <row r="596" spans="2:8" x14ac:dyDescent="0.35">
      <c r="B596"/>
      <c r="D596" s="95" t="str">
        <f t="shared" si="9"/>
        <v/>
      </c>
      <c r="F596" s="2" t="s">
        <v>1290</v>
      </c>
      <c r="G596" s="2" t="s">
        <v>1291</v>
      </c>
      <c r="H596" s="2" t="s">
        <v>4363</v>
      </c>
    </row>
    <row r="597" spans="2:8" x14ac:dyDescent="0.35">
      <c r="B597"/>
      <c r="D597" s="95" t="str">
        <f t="shared" si="9"/>
        <v/>
      </c>
      <c r="F597" s="2" t="s">
        <v>1292</v>
      </c>
      <c r="G597" s="2" t="s">
        <v>151</v>
      </c>
      <c r="H597" s="2" t="s">
        <v>4363</v>
      </c>
    </row>
    <row r="598" spans="2:8" x14ac:dyDescent="0.35">
      <c r="B598"/>
      <c r="D598" s="95" t="str">
        <f t="shared" si="9"/>
        <v/>
      </c>
      <c r="F598" s="2" t="s">
        <v>1293</v>
      </c>
      <c r="G598" s="2" t="s">
        <v>1294</v>
      </c>
      <c r="H598" s="2" t="s">
        <v>4363</v>
      </c>
    </row>
    <row r="599" spans="2:8" x14ac:dyDescent="0.35">
      <c r="B599"/>
      <c r="D599" s="95" t="str">
        <f t="shared" si="9"/>
        <v/>
      </c>
      <c r="F599" s="2" t="s">
        <v>1295</v>
      </c>
      <c r="G599" s="2" t="s">
        <v>1296</v>
      </c>
      <c r="H599" s="2" t="s">
        <v>4363</v>
      </c>
    </row>
    <row r="600" spans="2:8" x14ac:dyDescent="0.35">
      <c r="B600"/>
      <c r="D600" s="95" t="str">
        <f t="shared" si="9"/>
        <v/>
      </c>
      <c r="F600" s="2" t="s">
        <v>1297</v>
      </c>
      <c r="G600" s="2" t="s">
        <v>1298</v>
      </c>
      <c r="H600" s="2" t="s">
        <v>4363</v>
      </c>
    </row>
    <row r="601" spans="2:8" x14ac:dyDescent="0.35">
      <c r="B601"/>
      <c r="D601" s="95" t="str">
        <f t="shared" si="9"/>
        <v/>
      </c>
      <c r="F601" s="2" t="s">
        <v>1299</v>
      </c>
      <c r="G601" s="2" t="s">
        <v>140</v>
      </c>
      <c r="H601" s="2" t="s">
        <v>4363</v>
      </c>
    </row>
    <row r="602" spans="2:8" x14ac:dyDescent="0.35">
      <c r="B602"/>
      <c r="D602" s="95" t="str">
        <f t="shared" si="9"/>
        <v/>
      </c>
      <c r="F602" s="2" t="s">
        <v>1300</v>
      </c>
      <c r="G602" s="2" t="s">
        <v>1301</v>
      </c>
      <c r="H602" s="2" t="s">
        <v>4363</v>
      </c>
    </row>
    <row r="603" spans="2:8" x14ac:dyDescent="0.35">
      <c r="B603"/>
      <c r="D603" s="95" t="str">
        <f t="shared" si="9"/>
        <v/>
      </c>
      <c r="F603" s="2" t="s">
        <v>1302</v>
      </c>
      <c r="G603" s="2" t="s">
        <v>1303</v>
      </c>
      <c r="H603" s="2" t="s">
        <v>4363</v>
      </c>
    </row>
    <row r="604" spans="2:8" x14ac:dyDescent="0.35">
      <c r="B604"/>
      <c r="D604" s="95" t="str">
        <f t="shared" si="9"/>
        <v/>
      </c>
      <c r="F604" s="2" t="s">
        <v>1304</v>
      </c>
      <c r="G604" s="2" t="s">
        <v>1305</v>
      </c>
      <c r="H604" s="2" t="s">
        <v>4363</v>
      </c>
    </row>
    <row r="605" spans="2:8" x14ac:dyDescent="0.35">
      <c r="B605"/>
      <c r="D605" s="95" t="str">
        <f t="shared" si="9"/>
        <v/>
      </c>
      <c r="F605" s="2" t="s">
        <v>1306</v>
      </c>
      <c r="G605" s="2" t="s">
        <v>1307</v>
      </c>
      <c r="H605" s="2" t="s">
        <v>4363</v>
      </c>
    </row>
    <row r="606" spans="2:8" x14ac:dyDescent="0.35">
      <c r="B606"/>
      <c r="D606" s="95" t="str">
        <f t="shared" si="9"/>
        <v/>
      </c>
      <c r="F606" s="2" t="s">
        <v>1308</v>
      </c>
      <c r="G606" s="2" t="s">
        <v>1309</v>
      </c>
      <c r="H606" s="2" t="s">
        <v>4363</v>
      </c>
    </row>
    <row r="607" spans="2:8" x14ac:dyDescent="0.35">
      <c r="B607"/>
      <c r="D607" s="95" t="str">
        <f t="shared" si="9"/>
        <v/>
      </c>
      <c r="F607" s="2" t="s">
        <v>1310</v>
      </c>
      <c r="G607" s="2" t="s">
        <v>1311</v>
      </c>
      <c r="H607" s="2" t="s">
        <v>4363</v>
      </c>
    </row>
    <row r="608" spans="2:8" x14ac:dyDescent="0.35">
      <c r="B608"/>
      <c r="D608" s="95" t="str">
        <f t="shared" si="9"/>
        <v/>
      </c>
      <c r="F608" s="2" t="s">
        <v>1312</v>
      </c>
      <c r="G608" s="2" t="s">
        <v>1313</v>
      </c>
      <c r="H608" s="2" t="s">
        <v>4363</v>
      </c>
    </row>
    <row r="609" spans="2:8" x14ac:dyDescent="0.35">
      <c r="B609"/>
      <c r="D609" s="95" t="str">
        <f t="shared" si="9"/>
        <v/>
      </c>
      <c r="F609" s="2" t="s">
        <v>1314</v>
      </c>
      <c r="G609" s="2" t="s">
        <v>89</v>
      </c>
      <c r="H609" s="2" t="s">
        <v>4363</v>
      </c>
    </row>
    <row r="610" spans="2:8" x14ac:dyDescent="0.35">
      <c r="B610"/>
      <c r="D610" s="95" t="str">
        <f t="shared" si="9"/>
        <v/>
      </c>
      <c r="F610" s="2" t="s">
        <v>1315</v>
      </c>
      <c r="G610" s="2" t="s">
        <v>1316</v>
      </c>
      <c r="H610" s="2" t="s">
        <v>4363</v>
      </c>
    </row>
    <row r="611" spans="2:8" x14ac:dyDescent="0.35">
      <c r="B611"/>
      <c r="D611" s="95" t="str">
        <f t="shared" si="9"/>
        <v/>
      </c>
      <c r="F611" s="2" t="s">
        <v>1317</v>
      </c>
      <c r="G611" s="2" t="s">
        <v>1318</v>
      </c>
      <c r="H611" s="2" t="s">
        <v>4363</v>
      </c>
    </row>
    <row r="612" spans="2:8" x14ac:dyDescent="0.35">
      <c r="B612"/>
      <c r="D612" s="95" t="str">
        <f t="shared" si="9"/>
        <v/>
      </c>
      <c r="F612" s="2" t="s">
        <v>1319</v>
      </c>
      <c r="G612" s="2" t="s">
        <v>1320</v>
      </c>
      <c r="H612" s="2" t="s">
        <v>4363</v>
      </c>
    </row>
    <row r="613" spans="2:8" x14ac:dyDescent="0.35">
      <c r="B613"/>
      <c r="D613" s="95" t="str">
        <f t="shared" si="9"/>
        <v/>
      </c>
      <c r="F613" s="2" t="s">
        <v>1321</v>
      </c>
      <c r="G613" s="2" t="s">
        <v>1322</v>
      </c>
      <c r="H613" s="2" t="s">
        <v>4363</v>
      </c>
    </row>
    <row r="614" spans="2:8" x14ac:dyDescent="0.35">
      <c r="B614"/>
      <c r="D614" s="95" t="str">
        <f t="shared" si="9"/>
        <v/>
      </c>
      <c r="F614" s="2" t="s">
        <v>1323</v>
      </c>
      <c r="G614" s="2" t="s">
        <v>1324</v>
      </c>
      <c r="H614" s="2" t="s">
        <v>4363</v>
      </c>
    </row>
    <row r="615" spans="2:8" x14ac:dyDescent="0.35">
      <c r="B615"/>
      <c r="D615" s="95" t="str">
        <f t="shared" si="9"/>
        <v/>
      </c>
      <c r="F615" s="2" t="s">
        <v>1325</v>
      </c>
      <c r="G615" s="2" t="s">
        <v>1326</v>
      </c>
      <c r="H615" s="2" t="s">
        <v>4363</v>
      </c>
    </row>
    <row r="616" spans="2:8" x14ac:dyDescent="0.35">
      <c r="B616"/>
      <c r="D616" s="95" t="str">
        <f t="shared" si="9"/>
        <v/>
      </c>
      <c r="F616" s="2" t="s">
        <v>1327</v>
      </c>
      <c r="G616" s="2" t="s">
        <v>1328</v>
      </c>
      <c r="H616" s="2" t="s">
        <v>4363</v>
      </c>
    </row>
    <row r="617" spans="2:8" x14ac:dyDescent="0.35">
      <c r="B617"/>
      <c r="D617" s="95" t="str">
        <f t="shared" si="9"/>
        <v/>
      </c>
      <c r="F617" s="2" t="s">
        <v>1329</v>
      </c>
      <c r="G617" s="2" t="s">
        <v>1330</v>
      </c>
      <c r="H617" s="2" t="s">
        <v>4363</v>
      </c>
    </row>
    <row r="618" spans="2:8" x14ac:dyDescent="0.35">
      <c r="B618"/>
      <c r="D618" s="95" t="str">
        <f t="shared" si="9"/>
        <v/>
      </c>
      <c r="F618" s="2" t="s">
        <v>1331</v>
      </c>
      <c r="G618" s="2" t="s">
        <v>1332</v>
      </c>
      <c r="H618" s="2" t="s">
        <v>4363</v>
      </c>
    </row>
    <row r="619" spans="2:8" x14ac:dyDescent="0.35">
      <c r="B619"/>
      <c r="D619" s="95" t="str">
        <f t="shared" si="9"/>
        <v/>
      </c>
      <c r="F619" s="2" t="s">
        <v>1333</v>
      </c>
      <c r="G619" s="2" t="s">
        <v>1334</v>
      </c>
      <c r="H619" s="2" t="s">
        <v>4363</v>
      </c>
    </row>
    <row r="620" spans="2:8" x14ac:dyDescent="0.35">
      <c r="B620"/>
      <c r="D620" s="95" t="str">
        <f t="shared" si="9"/>
        <v/>
      </c>
      <c r="F620" s="2" t="s">
        <v>1335</v>
      </c>
      <c r="G620" s="2" t="s">
        <v>1336</v>
      </c>
      <c r="H620" s="2" t="s">
        <v>4363</v>
      </c>
    </row>
    <row r="621" spans="2:8" x14ac:dyDescent="0.35">
      <c r="B621"/>
      <c r="D621" s="95" t="str">
        <f t="shared" si="9"/>
        <v/>
      </c>
      <c r="F621" s="2" t="s">
        <v>1337</v>
      </c>
      <c r="G621" s="2" t="s">
        <v>1338</v>
      </c>
      <c r="H621" s="2" t="s">
        <v>4363</v>
      </c>
    </row>
    <row r="622" spans="2:8" x14ac:dyDescent="0.35">
      <c r="B622"/>
      <c r="D622" s="95" t="str">
        <f t="shared" si="9"/>
        <v/>
      </c>
      <c r="F622" s="2" t="s">
        <v>1339</v>
      </c>
      <c r="G622" s="2" t="s">
        <v>1340</v>
      </c>
      <c r="H622" s="2" t="s">
        <v>4363</v>
      </c>
    </row>
    <row r="623" spans="2:8" x14ac:dyDescent="0.35">
      <c r="B623"/>
      <c r="D623" s="95" t="str">
        <f t="shared" si="9"/>
        <v/>
      </c>
      <c r="F623" s="2" t="s">
        <v>1341</v>
      </c>
      <c r="G623" s="2" t="s">
        <v>1342</v>
      </c>
      <c r="H623" s="2" t="s">
        <v>4363</v>
      </c>
    </row>
    <row r="624" spans="2:8" x14ac:dyDescent="0.35">
      <c r="B624"/>
      <c r="D624" s="95" t="str">
        <f t="shared" si="9"/>
        <v/>
      </c>
      <c r="F624" s="2" t="s">
        <v>1343</v>
      </c>
      <c r="G624" s="2" t="s">
        <v>1344</v>
      </c>
      <c r="H624" s="2" t="s">
        <v>4363</v>
      </c>
    </row>
    <row r="625" spans="2:8" x14ac:dyDescent="0.35">
      <c r="B625"/>
      <c r="D625" s="95" t="str">
        <f t="shared" si="9"/>
        <v/>
      </c>
      <c r="F625" s="2" t="s">
        <v>1345</v>
      </c>
      <c r="G625" s="2" t="s">
        <v>1346</v>
      </c>
      <c r="H625" s="2" t="s">
        <v>4363</v>
      </c>
    </row>
    <row r="626" spans="2:8" x14ac:dyDescent="0.35">
      <c r="B626"/>
      <c r="D626" s="95" t="str">
        <f t="shared" si="9"/>
        <v/>
      </c>
      <c r="F626" s="2" t="s">
        <v>1347</v>
      </c>
      <c r="G626" s="2" t="s">
        <v>1348</v>
      </c>
      <c r="H626" s="2" t="s">
        <v>4363</v>
      </c>
    </row>
    <row r="627" spans="2:8" x14ac:dyDescent="0.35">
      <c r="B627"/>
      <c r="D627" s="95" t="str">
        <f t="shared" si="9"/>
        <v/>
      </c>
      <c r="F627" s="2" t="s">
        <v>1349</v>
      </c>
      <c r="G627" s="2" t="s">
        <v>1350</v>
      </c>
      <c r="H627" s="2" t="s">
        <v>4363</v>
      </c>
    </row>
    <row r="628" spans="2:8" x14ac:dyDescent="0.35">
      <c r="B628"/>
      <c r="D628" s="95" t="str">
        <f t="shared" si="9"/>
        <v/>
      </c>
      <c r="F628" s="2" t="s">
        <v>1351</v>
      </c>
      <c r="G628" s="2" t="s">
        <v>1352</v>
      </c>
      <c r="H628" s="2" t="s">
        <v>4363</v>
      </c>
    </row>
    <row r="629" spans="2:8" x14ac:dyDescent="0.35">
      <c r="B629"/>
      <c r="D629" s="95" t="str">
        <f t="shared" si="9"/>
        <v/>
      </c>
      <c r="F629" s="2" t="s">
        <v>1353</v>
      </c>
      <c r="G629" s="2" t="s">
        <v>1354</v>
      </c>
      <c r="H629" s="2" t="s">
        <v>4363</v>
      </c>
    </row>
    <row r="630" spans="2:8" x14ac:dyDescent="0.35">
      <c r="B630"/>
      <c r="D630" s="95" t="str">
        <f t="shared" si="9"/>
        <v/>
      </c>
      <c r="F630" s="2" t="s">
        <v>1355</v>
      </c>
      <c r="G630" s="2" t="s">
        <v>1356</v>
      </c>
      <c r="H630" s="2" t="s">
        <v>4363</v>
      </c>
    </row>
    <row r="631" spans="2:8" x14ac:dyDescent="0.35">
      <c r="B631"/>
      <c r="D631" s="95" t="str">
        <f t="shared" si="9"/>
        <v/>
      </c>
      <c r="F631" s="2" t="s">
        <v>1357</v>
      </c>
      <c r="G631" s="2" t="s">
        <v>1358</v>
      </c>
      <c r="H631" s="2" t="s">
        <v>4363</v>
      </c>
    </row>
    <row r="632" spans="2:8" x14ac:dyDescent="0.35">
      <c r="B632"/>
      <c r="D632" s="95" t="str">
        <f t="shared" si="9"/>
        <v/>
      </c>
      <c r="F632" s="2" t="s">
        <v>1359</v>
      </c>
      <c r="G632" s="2" t="s">
        <v>1360</v>
      </c>
      <c r="H632" s="2" t="s">
        <v>4363</v>
      </c>
    </row>
    <row r="633" spans="2:8" x14ac:dyDescent="0.35">
      <c r="B633"/>
      <c r="D633" s="95" t="str">
        <f t="shared" si="9"/>
        <v/>
      </c>
      <c r="F633" s="2" t="s">
        <v>1361</v>
      </c>
      <c r="G633" s="2" t="s">
        <v>1362</v>
      </c>
      <c r="H633" s="2" t="s">
        <v>4363</v>
      </c>
    </row>
    <row r="634" spans="2:8" x14ac:dyDescent="0.35">
      <c r="B634"/>
      <c r="D634" s="95" t="str">
        <f t="shared" si="9"/>
        <v/>
      </c>
      <c r="F634" s="2" t="s">
        <v>1363</v>
      </c>
      <c r="G634" s="2" t="s">
        <v>1364</v>
      </c>
      <c r="H634" s="2" t="s">
        <v>4363</v>
      </c>
    </row>
    <row r="635" spans="2:8" x14ac:dyDescent="0.35">
      <c r="B635"/>
      <c r="D635" s="95" t="str">
        <f t="shared" si="9"/>
        <v/>
      </c>
      <c r="F635" s="2" t="s">
        <v>1365</v>
      </c>
      <c r="G635" s="2" t="s">
        <v>1366</v>
      </c>
      <c r="H635" s="2" t="s">
        <v>4363</v>
      </c>
    </row>
    <row r="636" spans="2:8" x14ac:dyDescent="0.35">
      <c r="B636"/>
      <c r="D636" s="95" t="str">
        <f t="shared" si="9"/>
        <v/>
      </c>
      <c r="F636" s="2" t="s">
        <v>1367</v>
      </c>
      <c r="G636" s="2" t="s">
        <v>1368</v>
      </c>
      <c r="H636" s="2" t="s">
        <v>4363</v>
      </c>
    </row>
    <row r="637" spans="2:8" x14ac:dyDescent="0.35">
      <c r="B637"/>
      <c r="D637" s="95" t="str">
        <f t="shared" si="9"/>
        <v/>
      </c>
      <c r="F637" s="2" t="s">
        <v>1369</v>
      </c>
      <c r="G637" s="2" t="s">
        <v>1370</v>
      </c>
      <c r="H637" s="2" t="s">
        <v>4363</v>
      </c>
    </row>
    <row r="638" spans="2:8" x14ac:dyDescent="0.35">
      <c r="B638"/>
      <c r="D638" s="95" t="str">
        <f t="shared" si="9"/>
        <v/>
      </c>
      <c r="F638" s="2" t="s">
        <v>1371</v>
      </c>
      <c r="G638" s="2" t="s">
        <v>1372</v>
      </c>
      <c r="H638" s="2" t="s">
        <v>4363</v>
      </c>
    </row>
    <row r="639" spans="2:8" x14ac:dyDescent="0.35">
      <c r="B639"/>
      <c r="D639" s="95" t="str">
        <f t="shared" si="9"/>
        <v/>
      </c>
      <c r="F639" s="2" t="s">
        <v>1373</v>
      </c>
      <c r="G639" s="2" t="s">
        <v>1374</v>
      </c>
      <c r="H639" s="2" t="s">
        <v>4363</v>
      </c>
    </row>
    <row r="640" spans="2:8" x14ac:dyDescent="0.35">
      <c r="B640"/>
      <c r="D640" s="95" t="str">
        <f t="shared" si="9"/>
        <v/>
      </c>
      <c r="F640" s="2" t="s">
        <v>1375</v>
      </c>
      <c r="G640" s="2" t="s">
        <v>1376</v>
      </c>
      <c r="H640" s="2" t="s">
        <v>4363</v>
      </c>
    </row>
    <row r="641" spans="2:8" x14ac:dyDescent="0.35">
      <c r="B641"/>
      <c r="D641" s="95" t="str">
        <f t="shared" si="9"/>
        <v/>
      </c>
      <c r="F641" s="2" t="s">
        <v>1377</v>
      </c>
      <c r="G641" s="2" t="s">
        <v>1378</v>
      </c>
      <c r="H641" s="2" t="s">
        <v>4363</v>
      </c>
    </row>
    <row r="642" spans="2:8" x14ac:dyDescent="0.35">
      <c r="B642"/>
      <c r="D642" s="95" t="str">
        <f t="shared" si="9"/>
        <v/>
      </c>
      <c r="F642" s="2" t="s">
        <v>1379</v>
      </c>
      <c r="G642" s="2" t="s">
        <v>1380</v>
      </c>
      <c r="H642" s="2" t="s">
        <v>4363</v>
      </c>
    </row>
    <row r="643" spans="2:8" x14ac:dyDescent="0.35">
      <c r="B643"/>
      <c r="D643" s="95" t="str">
        <f t="shared" si="9"/>
        <v/>
      </c>
      <c r="F643" s="2" t="s">
        <v>1381</v>
      </c>
      <c r="G643" s="2" t="s">
        <v>1382</v>
      </c>
      <c r="H643" s="2" t="s">
        <v>4363</v>
      </c>
    </row>
    <row r="644" spans="2:8" x14ac:dyDescent="0.35">
      <c r="B644"/>
      <c r="D644" s="95" t="str">
        <f t="shared" si="9"/>
        <v/>
      </c>
      <c r="F644" s="2" t="s">
        <v>1383</v>
      </c>
      <c r="G644" s="2" t="s">
        <v>1384</v>
      </c>
      <c r="H644" s="2" t="s">
        <v>4363</v>
      </c>
    </row>
    <row r="645" spans="2:8" x14ac:dyDescent="0.35">
      <c r="B645"/>
      <c r="D645" s="95" t="str">
        <f t="shared" si="9"/>
        <v/>
      </c>
      <c r="F645" s="2" t="s">
        <v>1385</v>
      </c>
      <c r="G645" s="2" t="s">
        <v>1386</v>
      </c>
      <c r="H645" s="2" t="s">
        <v>4363</v>
      </c>
    </row>
    <row r="646" spans="2:8" x14ac:dyDescent="0.35">
      <c r="B646"/>
      <c r="D646" s="95" t="str">
        <f t="shared" si="9"/>
        <v/>
      </c>
      <c r="F646" s="2" t="s">
        <v>1387</v>
      </c>
      <c r="G646" s="2" t="s">
        <v>1388</v>
      </c>
      <c r="H646" s="2" t="s">
        <v>4363</v>
      </c>
    </row>
    <row r="647" spans="2:8" x14ac:dyDescent="0.35">
      <c r="B647"/>
      <c r="D647" s="95" t="str">
        <f t="shared" si="9"/>
        <v/>
      </c>
      <c r="F647" s="2" t="s">
        <v>1389</v>
      </c>
      <c r="G647" s="2" t="s">
        <v>1390</v>
      </c>
      <c r="H647" s="2" t="s">
        <v>4363</v>
      </c>
    </row>
    <row r="648" spans="2:8" x14ac:dyDescent="0.35">
      <c r="B648"/>
      <c r="D648" s="95" t="str">
        <f t="shared" ref="D648:D711" si="10">IFERROR(INDEX($F$6:$G$1048576,MATCH($C648,$G$6:$G$1048576,0),MATCH($D$6,$F$6:$G$6,0)),"")</f>
        <v/>
      </c>
      <c r="F648" s="2" t="s">
        <v>1391</v>
      </c>
      <c r="G648" s="2" t="s">
        <v>1392</v>
      </c>
      <c r="H648" s="2" t="s">
        <v>4363</v>
      </c>
    </row>
    <row r="649" spans="2:8" x14ac:dyDescent="0.35">
      <c r="B649"/>
      <c r="D649" s="95" t="str">
        <f t="shared" si="10"/>
        <v/>
      </c>
      <c r="F649" s="2" t="s">
        <v>1393</v>
      </c>
      <c r="G649" s="2" t="s">
        <v>1394</v>
      </c>
      <c r="H649" s="2" t="s">
        <v>4363</v>
      </c>
    </row>
    <row r="650" spans="2:8" x14ac:dyDescent="0.35">
      <c r="B650"/>
      <c r="D650" s="95" t="str">
        <f t="shared" si="10"/>
        <v/>
      </c>
      <c r="F650" s="2" t="s">
        <v>1395</v>
      </c>
      <c r="G650" s="2" t="s">
        <v>1396</v>
      </c>
      <c r="H650" s="2" t="s">
        <v>4363</v>
      </c>
    </row>
    <row r="651" spans="2:8" x14ac:dyDescent="0.35">
      <c r="B651"/>
      <c r="D651" s="95" t="str">
        <f t="shared" si="10"/>
        <v/>
      </c>
      <c r="F651" s="2" t="s">
        <v>1397</v>
      </c>
      <c r="G651" s="2" t="s">
        <v>1398</v>
      </c>
      <c r="H651" s="2" t="s">
        <v>4363</v>
      </c>
    </row>
    <row r="652" spans="2:8" x14ac:dyDescent="0.35">
      <c r="B652"/>
      <c r="D652" s="95" t="str">
        <f t="shared" si="10"/>
        <v/>
      </c>
      <c r="F652" s="2" t="s">
        <v>1399</v>
      </c>
      <c r="G652" s="2" t="s">
        <v>146</v>
      </c>
      <c r="H652" s="2" t="s">
        <v>4363</v>
      </c>
    </row>
    <row r="653" spans="2:8" x14ac:dyDescent="0.35">
      <c r="B653"/>
      <c r="D653" s="95" t="str">
        <f t="shared" si="10"/>
        <v/>
      </c>
      <c r="F653" s="2" t="s">
        <v>1400</v>
      </c>
      <c r="G653" s="2" t="s">
        <v>1401</v>
      </c>
      <c r="H653" s="2" t="s">
        <v>4363</v>
      </c>
    </row>
    <row r="654" spans="2:8" x14ac:dyDescent="0.35">
      <c r="B654"/>
      <c r="D654" s="95" t="str">
        <f t="shared" si="10"/>
        <v/>
      </c>
      <c r="F654" s="2" t="s">
        <v>1402</v>
      </c>
      <c r="G654" s="2" t="s">
        <v>1403</v>
      </c>
      <c r="H654" s="2" t="s">
        <v>4363</v>
      </c>
    </row>
    <row r="655" spans="2:8" x14ac:dyDescent="0.35">
      <c r="B655"/>
      <c r="D655" s="95" t="str">
        <f t="shared" si="10"/>
        <v/>
      </c>
      <c r="F655" s="2" t="s">
        <v>1404</v>
      </c>
      <c r="G655" s="2" t="s">
        <v>179</v>
      </c>
      <c r="H655" s="2" t="s">
        <v>4363</v>
      </c>
    </row>
    <row r="656" spans="2:8" x14ac:dyDescent="0.35">
      <c r="B656"/>
      <c r="D656" s="95" t="str">
        <f t="shared" si="10"/>
        <v/>
      </c>
      <c r="F656" s="2" t="s">
        <v>1405</v>
      </c>
      <c r="G656" s="2" t="s">
        <v>1406</v>
      </c>
      <c r="H656" s="2" t="s">
        <v>4363</v>
      </c>
    </row>
    <row r="657" spans="2:8" x14ac:dyDescent="0.35">
      <c r="B657"/>
      <c r="D657" s="95" t="str">
        <f t="shared" si="10"/>
        <v/>
      </c>
      <c r="F657" s="2" t="s">
        <v>1407</v>
      </c>
      <c r="G657" s="2" t="s">
        <v>1408</v>
      </c>
      <c r="H657" s="2" t="s">
        <v>4363</v>
      </c>
    </row>
    <row r="658" spans="2:8" x14ac:dyDescent="0.35">
      <c r="B658"/>
      <c r="D658" s="95" t="str">
        <f t="shared" si="10"/>
        <v/>
      </c>
      <c r="F658" s="2" t="s">
        <v>1409</v>
      </c>
      <c r="G658" s="2" t="s">
        <v>1410</v>
      </c>
      <c r="H658" s="2" t="s">
        <v>4363</v>
      </c>
    </row>
    <row r="659" spans="2:8" x14ac:dyDescent="0.35">
      <c r="B659"/>
      <c r="D659" s="95" t="str">
        <f t="shared" si="10"/>
        <v/>
      </c>
      <c r="F659" s="2" t="s">
        <v>1411</v>
      </c>
      <c r="G659" s="2" t="s">
        <v>1412</v>
      </c>
      <c r="H659" s="2" t="s">
        <v>4363</v>
      </c>
    </row>
    <row r="660" spans="2:8" x14ac:dyDescent="0.35">
      <c r="B660"/>
      <c r="D660" s="95" t="str">
        <f t="shared" si="10"/>
        <v/>
      </c>
      <c r="F660" s="2" t="s">
        <v>1413</v>
      </c>
      <c r="G660" s="2" t="s">
        <v>1414</v>
      </c>
      <c r="H660" s="2" t="s">
        <v>4363</v>
      </c>
    </row>
    <row r="661" spans="2:8" x14ac:dyDescent="0.35">
      <c r="B661"/>
      <c r="D661" s="95" t="str">
        <f t="shared" si="10"/>
        <v/>
      </c>
      <c r="F661" s="2" t="s">
        <v>1415</v>
      </c>
      <c r="G661" s="2" t="s">
        <v>1416</v>
      </c>
      <c r="H661" s="2" t="s">
        <v>4363</v>
      </c>
    </row>
    <row r="662" spans="2:8" x14ac:dyDescent="0.35">
      <c r="B662"/>
      <c r="D662" s="95" t="str">
        <f t="shared" si="10"/>
        <v/>
      </c>
      <c r="F662" s="2" t="s">
        <v>1417</v>
      </c>
      <c r="G662" s="2" t="s">
        <v>1418</v>
      </c>
      <c r="H662" s="2" t="s">
        <v>4363</v>
      </c>
    </row>
    <row r="663" spans="2:8" x14ac:dyDescent="0.35">
      <c r="B663"/>
      <c r="D663" s="95" t="str">
        <f t="shared" si="10"/>
        <v/>
      </c>
      <c r="F663" s="2" t="s">
        <v>1419</v>
      </c>
      <c r="G663" s="2" t="s">
        <v>1420</v>
      </c>
      <c r="H663" s="2" t="s">
        <v>4363</v>
      </c>
    </row>
    <row r="664" spans="2:8" x14ac:dyDescent="0.35">
      <c r="B664"/>
      <c r="D664" s="95" t="str">
        <f t="shared" si="10"/>
        <v/>
      </c>
      <c r="F664" s="2" t="s">
        <v>1421</v>
      </c>
      <c r="G664" s="2" t="s">
        <v>1422</v>
      </c>
      <c r="H664" s="2" t="s">
        <v>4363</v>
      </c>
    </row>
    <row r="665" spans="2:8" x14ac:dyDescent="0.35">
      <c r="B665"/>
      <c r="D665" s="95" t="str">
        <f t="shared" si="10"/>
        <v/>
      </c>
      <c r="F665" s="2" t="s">
        <v>1423</v>
      </c>
      <c r="G665" s="2" t="s">
        <v>1424</v>
      </c>
      <c r="H665" s="2" t="s">
        <v>4363</v>
      </c>
    </row>
    <row r="666" spans="2:8" x14ac:dyDescent="0.35">
      <c r="B666"/>
      <c r="D666" s="95" t="str">
        <f t="shared" si="10"/>
        <v/>
      </c>
      <c r="F666" s="2" t="s">
        <v>1425</v>
      </c>
      <c r="G666" s="2" t="s">
        <v>1426</v>
      </c>
      <c r="H666" s="2" t="s">
        <v>4363</v>
      </c>
    </row>
    <row r="667" spans="2:8" x14ac:dyDescent="0.35">
      <c r="B667"/>
      <c r="D667" s="95" t="str">
        <f t="shared" si="10"/>
        <v/>
      </c>
      <c r="F667" s="2" t="s">
        <v>1427</v>
      </c>
      <c r="G667" s="2" t="s">
        <v>1428</v>
      </c>
      <c r="H667" s="2" t="s">
        <v>4363</v>
      </c>
    </row>
    <row r="668" spans="2:8" x14ac:dyDescent="0.35">
      <c r="B668"/>
      <c r="D668" s="95" t="str">
        <f t="shared" si="10"/>
        <v/>
      </c>
      <c r="F668" s="2" t="s">
        <v>1429</v>
      </c>
      <c r="G668" s="2" t="s">
        <v>1430</v>
      </c>
      <c r="H668" s="2" t="s">
        <v>4363</v>
      </c>
    </row>
    <row r="669" spans="2:8" x14ac:dyDescent="0.35">
      <c r="B669"/>
      <c r="D669" s="95" t="str">
        <f t="shared" si="10"/>
        <v/>
      </c>
      <c r="F669" s="2" t="s">
        <v>1431</v>
      </c>
      <c r="G669" s="2" t="s">
        <v>85</v>
      </c>
      <c r="H669" s="2" t="s">
        <v>4363</v>
      </c>
    </row>
    <row r="670" spans="2:8" x14ac:dyDescent="0.35">
      <c r="B670"/>
      <c r="D670" s="95" t="str">
        <f t="shared" si="10"/>
        <v/>
      </c>
      <c r="F670" s="2" t="s">
        <v>1432</v>
      </c>
      <c r="G670" s="2" t="s">
        <v>1433</v>
      </c>
      <c r="H670" s="2" t="s">
        <v>4363</v>
      </c>
    </row>
    <row r="671" spans="2:8" x14ac:dyDescent="0.35">
      <c r="B671"/>
      <c r="D671" s="95" t="str">
        <f t="shared" si="10"/>
        <v/>
      </c>
      <c r="F671" s="2" t="s">
        <v>1434</v>
      </c>
      <c r="G671" s="2" t="s">
        <v>1435</v>
      </c>
      <c r="H671" s="2" t="s">
        <v>4363</v>
      </c>
    </row>
    <row r="672" spans="2:8" x14ac:dyDescent="0.35">
      <c r="B672"/>
      <c r="D672" s="95" t="str">
        <f t="shared" si="10"/>
        <v/>
      </c>
      <c r="F672" s="2" t="s">
        <v>1436</v>
      </c>
      <c r="G672" s="2" t="s">
        <v>1437</v>
      </c>
      <c r="H672" s="2" t="s">
        <v>4363</v>
      </c>
    </row>
    <row r="673" spans="2:8" x14ac:dyDescent="0.35">
      <c r="B673"/>
      <c r="D673" s="95" t="str">
        <f t="shared" si="10"/>
        <v/>
      </c>
      <c r="F673" s="2" t="s">
        <v>1438</v>
      </c>
      <c r="G673" s="2" t="s">
        <v>1439</v>
      </c>
      <c r="H673" s="2" t="s">
        <v>4363</v>
      </c>
    </row>
    <row r="674" spans="2:8" x14ac:dyDescent="0.35">
      <c r="B674"/>
      <c r="D674" s="95" t="str">
        <f t="shared" si="10"/>
        <v/>
      </c>
      <c r="F674" s="2" t="s">
        <v>1440</v>
      </c>
      <c r="G674" s="2" t="s">
        <v>1441</v>
      </c>
      <c r="H674" s="2" t="s">
        <v>4363</v>
      </c>
    </row>
    <row r="675" spans="2:8" x14ac:dyDescent="0.35">
      <c r="B675"/>
      <c r="D675" s="95" t="str">
        <f t="shared" si="10"/>
        <v/>
      </c>
      <c r="F675" s="2" t="s">
        <v>1442</v>
      </c>
      <c r="G675" s="2" t="s">
        <v>1443</v>
      </c>
      <c r="H675" s="2" t="s">
        <v>4363</v>
      </c>
    </row>
    <row r="676" spans="2:8" x14ac:dyDescent="0.35">
      <c r="B676"/>
      <c r="D676" s="95" t="str">
        <f t="shared" si="10"/>
        <v/>
      </c>
      <c r="F676" s="2" t="s">
        <v>1444</v>
      </c>
      <c r="G676" s="2" t="s">
        <v>1445</v>
      </c>
      <c r="H676" s="2" t="s">
        <v>4363</v>
      </c>
    </row>
    <row r="677" spans="2:8" x14ac:dyDescent="0.35">
      <c r="B677"/>
      <c r="D677" s="95" t="str">
        <f t="shared" si="10"/>
        <v/>
      </c>
      <c r="F677" s="2" t="s">
        <v>1446</v>
      </c>
      <c r="G677" s="2" t="s">
        <v>1447</v>
      </c>
      <c r="H677" s="2" t="s">
        <v>4363</v>
      </c>
    </row>
    <row r="678" spans="2:8" x14ac:dyDescent="0.35">
      <c r="B678"/>
      <c r="D678" s="95" t="str">
        <f t="shared" si="10"/>
        <v/>
      </c>
      <c r="F678" s="2" t="s">
        <v>1448</v>
      </c>
      <c r="G678" s="2" t="s">
        <v>1449</v>
      </c>
      <c r="H678" s="2" t="s">
        <v>4363</v>
      </c>
    </row>
    <row r="679" spans="2:8" x14ac:dyDescent="0.35">
      <c r="B679"/>
      <c r="D679" s="95" t="str">
        <f t="shared" si="10"/>
        <v/>
      </c>
      <c r="F679" s="2" t="s">
        <v>1450</v>
      </c>
      <c r="G679" s="2" t="s">
        <v>1451</v>
      </c>
      <c r="H679" s="2" t="s">
        <v>4363</v>
      </c>
    </row>
    <row r="680" spans="2:8" x14ac:dyDescent="0.35">
      <c r="B680"/>
      <c r="D680" s="95" t="str">
        <f t="shared" si="10"/>
        <v/>
      </c>
      <c r="F680" s="2" t="s">
        <v>1452</v>
      </c>
      <c r="G680" s="2" t="s">
        <v>1453</v>
      </c>
      <c r="H680" s="2" t="s">
        <v>4363</v>
      </c>
    </row>
    <row r="681" spans="2:8" x14ac:dyDescent="0.35">
      <c r="B681"/>
      <c r="D681" s="95" t="str">
        <f t="shared" si="10"/>
        <v/>
      </c>
      <c r="F681" s="2" t="s">
        <v>1454</v>
      </c>
      <c r="G681" s="2" t="s">
        <v>1455</v>
      </c>
      <c r="H681" s="2" t="s">
        <v>4363</v>
      </c>
    </row>
    <row r="682" spans="2:8" x14ac:dyDescent="0.35">
      <c r="B682"/>
      <c r="D682" s="95" t="str">
        <f t="shared" si="10"/>
        <v/>
      </c>
      <c r="F682" s="2" t="s">
        <v>1456</v>
      </c>
      <c r="G682" s="2" t="s">
        <v>1457</v>
      </c>
      <c r="H682" s="2" t="s">
        <v>4363</v>
      </c>
    </row>
    <row r="683" spans="2:8" x14ac:dyDescent="0.35">
      <c r="B683"/>
      <c r="D683" s="95" t="str">
        <f t="shared" si="10"/>
        <v/>
      </c>
      <c r="F683" s="2" t="s">
        <v>1458</v>
      </c>
      <c r="G683" s="2" t="s">
        <v>1459</v>
      </c>
      <c r="H683" s="2" t="s">
        <v>4363</v>
      </c>
    </row>
    <row r="684" spans="2:8" x14ac:dyDescent="0.35">
      <c r="B684"/>
      <c r="D684" s="95" t="str">
        <f t="shared" si="10"/>
        <v/>
      </c>
      <c r="F684" s="2" t="s">
        <v>1460</v>
      </c>
      <c r="G684" s="2" t="s">
        <v>1461</v>
      </c>
      <c r="H684" s="2" t="s">
        <v>4363</v>
      </c>
    </row>
    <row r="685" spans="2:8" x14ac:dyDescent="0.35">
      <c r="B685"/>
      <c r="D685" s="95" t="str">
        <f t="shared" si="10"/>
        <v/>
      </c>
      <c r="F685" s="2" t="s">
        <v>1462</v>
      </c>
      <c r="G685" s="2" t="s">
        <v>1463</v>
      </c>
      <c r="H685" s="2" t="s">
        <v>4363</v>
      </c>
    </row>
    <row r="686" spans="2:8" x14ac:dyDescent="0.35">
      <c r="B686"/>
      <c r="D686" s="95" t="str">
        <f t="shared" si="10"/>
        <v/>
      </c>
      <c r="F686" s="2" t="s">
        <v>1464</v>
      </c>
      <c r="G686" s="2" t="s">
        <v>139</v>
      </c>
      <c r="H686" s="2" t="s">
        <v>4363</v>
      </c>
    </row>
    <row r="687" spans="2:8" x14ac:dyDescent="0.35">
      <c r="B687"/>
      <c r="D687" s="95" t="str">
        <f t="shared" si="10"/>
        <v/>
      </c>
      <c r="F687" s="2" t="s">
        <v>1465</v>
      </c>
      <c r="G687" s="2" t="s">
        <v>1466</v>
      </c>
      <c r="H687" s="2" t="s">
        <v>4363</v>
      </c>
    </row>
    <row r="688" spans="2:8" x14ac:dyDescent="0.35">
      <c r="B688"/>
      <c r="D688" s="95" t="str">
        <f t="shared" si="10"/>
        <v/>
      </c>
      <c r="F688" s="2" t="s">
        <v>1467</v>
      </c>
      <c r="G688" s="2" t="s">
        <v>1468</v>
      </c>
      <c r="H688" s="2" t="s">
        <v>4363</v>
      </c>
    </row>
    <row r="689" spans="2:8" x14ac:dyDescent="0.35">
      <c r="B689"/>
      <c r="D689" s="95" t="str">
        <f t="shared" si="10"/>
        <v/>
      </c>
      <c r="F689" s="2" t="s">
        <v>1469</v>
      </c>
      <c r="G689" s="2" t="s">
        <v>1470</v>
      </c>
      <c r="H689" s="2" t="s">
        <v>4363</v>
      </c>
    </row>
    <row r="690" spans="2:8" x14ac:dyDescent="0.35">
      <c r="B690"/>
      <c r="D690" s="95" t="str">
        <f t="shared" si="10"/>
        <v/>
      </c>
      <c r="F690" s="2" t="s">
        <v>1471</v>
      </c>
      <c r="G690" s="2" t="s">
        <v>1472</v>
      </c>
      <c r="H690" s="2" t="s">
        <v>4363</v>
      </c>
    </row>
    <row r="691" spans="2:8" x14ac:dyDescent="0.35">
      <c r="B691"/>
      <c r="D691" s="95" t="str">
        <f t="shared" si="10"/>
        <v/>
      </c>
      <c r="F691" s="2" t="s">
        <v>1473</v>
      </c>
      <c r="G691" s="2" t="s">
        <v>1474</v>
      </c>
      <c r="H691" s="2" t="s">
        <v>4363</v>
      </c>
    </row>
    <row r="692" spans="2:8" x14ac:dyDescent="0.35">
      <c r="B692"/>
      <c r="D692" s="95" t="str">
        <f t="shared" si="10"/>
        <v/>
      </c>
      <c r="F692" s="2" t="s">
        <v>1475</v>
      </c>
      <c r="G692" s="2" t="s">
        <v>1476</v>
      </c>
      <c r="H692" s="2" t="s">
        <v>4363</v>
      </c>
    </row>
    <row r="693" spans="2:8" x14ac:dyDescent="0.35">
      <c r="B693"/>
      <c r="D693" s="95" t="str">
        <f t="shared" si="10"/>
        <v/>
      </c>
      <c r="F693" s="2" t="s">
        <v>1477</v>
      </c>
      <c r="G693" s="2" t="s">
        <v>1478</v>
      </c>
      <c r="H693" s="2" t="s">
        <v>4363</v>
      </c>
    </row>
    <row r="694" spans="2:8" x14ac:dyDescent="0.35">
      <c r="B694"/>
      <c r="D694" s="95" t="str">
        <f t="shared" si="10"/>
        <v/>
      </c>
      <c r="F694" s="2" t="s">
        <v>1479</v>
      </c>
      <c r="G694" s="2" t="s">
        <v>1480</v>
      </c>
      <c r="H694" s="2" t="s">
        <v>4363</v>
      </c>
    </row>
    <row r="695" spans="2:8" x14ac:dyDescent="0.35">
      <c r="B695"/>
      <c r="D695" s="95" t="str">
        <f t="shared" si="10"/>
        <v/>
      </c>
      <c r="F695" s="2" t="s">
        <v>1481</v>
      </c>
      <c r="G695" s="2" t="s">
        <v>1482</v>
      </c>
      <c r="H695" s="2" t="s">
        <v>4363</v>
      </c>
    </row>
    <row r="696" spans="2:8" x14ac:dyDescent="0.35">
      <c r="B696"/>
      <c r="D696" s="95" t="str">
        <f t="shared" si="10"/>
        <v/>
      </c>
      <c r="F696" s="2" t="s">
        <v>1483</v>
      </c>
      <c r="G696" s="2" t="s">
        <v>1484</v>
      </c>
      <c r="H696" s="2" t="s">
        <v>4363</v>
      </c>
    </row>
    <row r="697" spans="2:8" x14ac:dyDescent="0.35">
      <c r="B697"/>
      <c r="D697" s="95" t="str">
        <f t="shared" si="10"/>
        <v/>
      </c>
      <c r="F697" s="2" t="s">
        <v>1485</v>
      </c>
      <c r="G697" s="2" t="s">
        <v>1486</v>
      </c>
      <c r="H697" s="2" t="s">
        <v>4363</v>
      </c>
    </row>
    <row r="698" spans="2:8" x14ac:dyDescent="0.35">
      <c r="B698"/>
      <c r="D698" s="95" t="str">
        <f t="shared" si="10"/>
        <v/>
      </c>
      <c r="F698" s="2" t="s">
        <v>1487</v>
      </c>
      <c r="G698" s="2" t="s">
        <v>1488</v>
      </c>
      <c r="H698" s="2" t="s">
        <v>4363</v>
      </c>
    </row>
    <row r="699" spans="2:8" x14ac:dyDescent="0.35">
      <c r="B699"/>
      <c r="D699" s="95" t="str">
        <f t="shared" si="10"/>
        <v/>
      </c>
      <c r="F699" s="2" t="s">
        <v>1489</v>
      </c>
      <c r="G699" s="2" t="s">
        <v>1490</v>
      </c>
      <c r="H699" s="2" t="s">
        <v>4363</v>
      </c>
    </row>
    <row r="700" spans="2:8" x14ac:dyDescent="0.35">
      <c r="B700"/>
      <c r="D700" s="95" t="str">
        <f t="shared" si="10"/>
        <v/>
      </c>
      <c r="F700" s="2" t="s">
        <v>1491</v>
      </c>
      <c r="G700" s="2" t="s">
        <v>1492</v>
      </c>
      <c r="H700" s="2" t="s">
        <v>4363</v>
      </c>
    </row>
    <row r="701" spans="2:8" x14ac:dyDescent="0.35">
      <c r="B701"/>
      <c r="D701" s="95" t="str">
        <f t="shared" si="10"/>
        <v/>
      </c>
      <c r="F701" s="2" t="s">
        <v>1493</v>
      </c>
      <c r="G701" s="2" t="s">
        <v>1494</v>
      </c>
      <c r="H701" s="2" t="s">
        <v>4363</v>
      </c>
    </row>
    <row r="702" spans="2:8" x14ac:dyDescent="0.35">
      <c r="B702"/>
      <c r="D702" s="95" t="str">
        <f t="shared" si="10"/>
        <v/>
      </c>
      <c r="F702" s="2" t="s">
        <v>1495</v>
      </c>
      <c r="G702" s="2" t="s">
        <v>1496</v>
      </c>
      <c r="H702" s="2" t="s">
        <v>4363</v>
      </c>
    </row>
    <row r="703" spans="2:8" x14ac:dyDescent="0.35">
      <c r="B703"/>
      <c r="D703" s="95" t="str">
        <f t="shared" si="10"/>
        <v/>
      </c>
      <c r="F703" s="2" t="s">
        <v>1497</v>
      </c>
      <c r="G703" s="2" t="s">
        <v>1498</v>
      </c>
      <c r="H703" s="2" t="s">
        <v>4363</v>
      </c>
    </row>
    <row r="704" spans="2:8" x14ac:dyDescent="0.35">
      <c r="B704"/>
      <c r="D704" s="95" t="str">
        <f t="shared" si="10"/>
        <v/>
      </c>
      <c r="F704" s="2" t="s">
        <v>1499</v>
      </c>
      <c r="G704" s="2" t="s">
        <v>1500</v>
      </c>
      <c r="H704" s="2" t="s">
        <v>4363</v>
      </c>
    </row>
    <row r="705" spans="2:8" x14ac:dyDescent="0.35">
      <c r="B705"/>
      <c r="D705" s="95" t="str">
        <f t="shared" si="10"/>
        <v/>
      </c>
      <c r="F705" s="2" t="s">
        <v>1501</v>
      </c>
      <c r="G705" s="2" t="s">
        <v>1502</v>
      </c>
      <c r="H705" s="2" t="s">
        <v>4363</v>
      </c>
    </row>
    <row r="706" spans="2:8" x14ac:dyDescent="0.35">
      <c r="B706"/>
      <c r="D706" s="95" t="str">
        <f t="shared" si="10"/>
        <v/>
      </c>
      <c r="F706" s="2" t="s">
        <v>1503</v>
      </c>
      <c r="G706" s="2" t="s">
        <v>1504</v>
      </c>
      <c r="H706" s="2" t="s">
        <v>4363</v>
      </c>
    </row>
    <row r="707" spans="2:8" x14ac:dyDescent="0.35">
      <c r="B707"/>
      <c r="D707" s="95" t="str">
        <f t="shared" si="10"/>
        <v/>
      </c>
      <c r="F707" s="2" t="s">
        <v>1505</v>
      </c>
      <c r="G707" s="2" t="s">
        <v>1506</v>
      </c>
      <c r="H707" s="2" t="s">
        <v>4363</v>
      </c>
    </row>
    <row r="708" spans="2:8" x14ac:dyDescent="0.35">
      <c r="B708"/>
      <c r="D708" s="95" t="str">
        <f t="shared" si="10"/>
        <v/>
      </c>
      <c r="F708" s="2" t="s">
        <v>1507</v>
      </c>
      <c r="G708" s="2" t="s">
        <v>1508</v>
      </c>
      <c r="H708" s="2" t="s">
        <v>4363</v>
      </c>
    </row>
    <row r="709" spans="2:8" x14ac:dyDescent="0.35">
      <c r="B709"/>
      <c r="D709" s="95" t="str">
        <f t="shared" si="10"/>
        <v/>
      </c>
      <c r="F709" s="2" t="s">
        <v>1509</v>
      </c>
      <c r="G709" s="2" t="s">
        <v>1510</v>
      </c>
      <c r="H709" s="2" t="s">
        <v>4363</v>
      </c>
    </row>
    <row r="710" spans="2:8" x14ac:dyDescent="0.35">
      <c r="B710"/>
      <c r="D710" s="95" t="str">
        <f t="shared" si="10"/>
        <v/>
      </c>
      <c r="F710" s="2" t="s">
        <v>1511</v>
      </c>
      <c r="G710" s="2" t="s">
        <v>1512</v>
      </c>
      <c r="H710" s="2" t="s">
        <v>4363</v>
      </c>
    </row>
    <row r="711" spans="2:8" x14ac:dyDescent="0.35">
      <c r="B711"/>
      <c r="D711" s="95" t="str">
        <f t="shared" si="10"/>
        <v/>
      </c>
      <c r="F711" s="2" t="s">
        <v>1513</v>
      </c>
      <c r="G711" s="2" t="s">
        <v>1514</v>
      </c>
      <c r="H711" s="2" t="s">
        <v>4363</v>
      </c>
    </row>
    <row r="712" spans="2:8" x14ac:dyDescent="0.35">
      <c r="B712"/>
      <c r="D712" s="95" t="str">
        <f t="shared" ref="D712:D775" si="11">IFERROR(INDEX($F$6:$G$1048576,MATCH($C712,$G$6:$G$1048576,0),MATCH($D$6,$F$6:$G$6,0)),"")</f>
        <v/>
      </c>
      <c r="F712" s="2" t="s">
        <v>1515</v>
      </c>
      <c r="G712" s="2" t="s">
        <v>1516</v>
      </c>
      <c r="H712" s="2" t="s">
        <v>4363</v>
      </c>
    </row>
    <row r="713" spans="2:8" x14ac:dyDescent="0.35">
      <c r="B713"/>
      <c r="D713" s="95" t="str">
        <f t="shared" si="11"/>
        <v/>
      </c>
      <c r="F713" s="2" t="s">
        <v>1517</v>
      </c>
      <c r="G713" s="2" t="s">
        <v>1518</v>
      </c>
      <c r="H713" s="2" t="s">
        <v>4363</v>
      </c>
    </row>
    <row r="714" spans="2:8" x14ac:dyDescent="0.35">
      <c r="B714"/>
      <c r="D714" s="95" t="str">
        <f t="shared" si="11"/>
        <v/>
      </c>
      <c r="F714" s="2" t="s">
        <v>1519</v>
      </c>
      <c r="G714" s="2" t="s">
        <v>91</v>
      </c>
      <c r="H714" s="2" t="s">
        <v>4363</v>
      </c>
    </row>
    <row r="715" spans="2:8" x14ac:dyDescent="0.35">
      <c r="B715"/>
      <c r="D715" s="95" t="str">
        <f t="shared" si="11"/>
        <v/>
      </c>
      <c r="F715" s="2" t="s">
        <v>1520</v>
      </c>
      <c r="G715" s="2" t="s">
        <v>1521</v>
      </c>
      <c r="H715" s="2" t="s">
        <v>4363</v>
      </c>
    </row>
    <row r="716" spans="2:8" x14ac:dyDescent="0.35">
      <c r="B716"/>
      <c r="D716" s="95" t="str">
        <f t="shared" si="11"/>
        <v/>
      </c>
      <c r="F716" s="2" t="s">
        <v>1522</v>
      </c>
      <c r="G716" s="2" t="s">
        <v>1523</v>
      </c>
      <c r="H716" s="2" t="s">
        <v>4363</v>
      </c>
    </row>
    <row r="717" spans="2:8" x14ac:dyDescent="0.35">
      <c r="B717"/>
      <c r="D717" s="95" t="str">
        <f t="shared" si="11"/>
        <v/>
      </c>
      <c r="F717" s="2" t="s">
        <v>1524</v>
      </c>
      <c r="G717" s="2" t="s">
        <v>1525</v>
      </c>
      <c r="H717" s="2" t="s">
        <v>4363</v>
      </c>
    </row>
    <row r="718" spans="2:8" x14ac:dyDescent="0.35">
      <c r="B718"/>
      <c r="D718" s="95" t="str">
        <f t="shared" si="11"/>
        <v/>
      </c>
      <c r="F718" s="2" t="s">
        <v>1526</v>
      </c>
      <c r="G718" s="2" t="s">
        <v>1527</v>
      </c>
      <c r="H718" s="2" t="s">
        <v>4363</v>
      </c>
    </row>
    <row r="719" spans="2:8" x14ac:dyDescent="0.35">
      <c r="B719"/>
      <c r="D719" s="95" t="str">
        <f t="shared" si="11"/>
        <v/>
      </c>
      <c r="F719" s="2" t="s">
        <v>1528</v>
      </c>
      <c r="G719" s="2" t="s">
        <v>1529</v>
      </c>
      <c r="H719" s="2" t="s">
        <v>4363</v>
      </c>
    </row>
    <row r="720" spans="2:8" x14ac:dyDescent="0.35">
      <c r="B720"/>
      <c r="D720" s="95" t="str">
        <f t="shared" si="11"/>
        <v/>
      </c>
      <c r="F720" s="2" t="s">
        <v>1530</v>
      </c>
      <c r="G720" s="2" t="s">
        <v>1531</v>
      </c>
      <c r="H720" s="2" t="s">
        <v>4363</v>
      </c>
    </row>
    <row r="721" spans="2:8" x14ac:dyDescent="0.35">
      <c r="B721"/>
      <c r="D721" s="95" t="str">
        <f t="shared" si="11"/>
        <v/>
      </c>
      <c r="F721" s="2" t="s">
        <v>1532</v>
      </c>
      <c r="G721" s="2" t="s">
        <v>1533</v>
      </c>
      <c r="H721" s="2" t="s">
        <v>4363</v>
      </c>
    </row>
    <row r="722" spans="2:8" x14ac:dyDescent="0.35">
      <c r="B722"/>
      <c r="D722" s="95" t="str">
        <f t="shared" si="11"/>
        <v/>
      </c>
      <c r="F722" s="2" t="s">
        <v>1534</v>
      </c>
      <c r="G722" s="2" t="s">
        <v>1535</v>
      </c>
      <c r="H722" s="2" t="s">
        <v>4363</v>
      </c>
    </row>
    <row r="723" spans="2:8" x14ac:dyDescent="0.35">
      <c r="B723"/>
      <c r="D723" s="95" t="str">
        <f t="shared" si="11"/>
        <v/>
      </c>
      <c r="F723" s="2" t="s">
        <v>1536</v>
      </c>
      <c r="G723" s="2" t="s">
        <v>1537</v>
      </c>
      <c r="H723" s="2" t="s">
        <v>4363</v>
      </c>
    </row>
    <row r="724" spans="2:8" x14ac:dyDescent="0.35">
      <c r="B724"/>
      <c r="D724" s="95" t="str">
        <f t="shared" si="11"/>
        <v/>
      </c>
      <c r="F724" s="2" t="s">
        <v>1538</v>
      </c>
      <c r="G724" s="2" t="s">
        <v>1539</v>
      </c>
      <c r="H724" s="2" t="s">
        <v>4363</v>
      </c>
    </row>
    <row r="725" spans="2:8" x14ac:dyDescent="0.35">
      <c r="B725"/>
      <c r="D725" s="95" t="str">
        <f t="shared" si="11"/>
        <v/>
      </c>
      <c r="F725" s="2" t="s">
        <v>1540</v>
      </c>
      <c r="G725" s="2" t="s">
        <v>1541</v>
      </c>
      <c r="H725" s="2" t="s">
        <v>4363</v>
      </c>
    </row>
    <row r="726" spans="2:8" x14ac:dyDescent="0.35">
      <c r="B726"/>
      <c r="D726" s="95" t="str">
        <f t="shared" si="11"/>
        <v/>
      </c>
      <c r="F726" s="2" t="s">
        <v>1542</v>
      </c>
      <c r="G726" s="2" t="s">
        <v>1543</v>
      </c>
      <c r="H726" s="2" t="s">
        <v>4363</v>
      </c>
    </row>
    <row r="727" spans="2:8" x14ac:dyDescent="0.35">
      <c r="B727"/>
      <c r="D727" s="95" t="str">
        <f t="shared" si="11"/>
        <v/>
      </c>
      <c r="F727" s="2" t="s">
        <v>1544</v>
      </c>
      <c r="G727" s="2" t="s">
        <v>1545</v>
      </c>
      <c r="H727" s="2" t="s">
        <v>4363</v>
      </c>
    </row>
    <row r="728" spans="2:8" x14ac:dyDescent="0.35">
      <c r="B728"/>
      <c r="D728" s="95" t="str">
        <f t="shared" si="11"/>
        <v/>
      </c>
      <c r="F728" s="2" t="s">
        <v>1546</v>
      </c>
      <c r="G728" s="2" t="s">
        <v>1547</v>
      </c>
      <c r="H728" s="2" t="s">
        <v>4363</v>
      </c>
    </row>
    <row r="729" spans="2:8" x14ac:dyDescent="0.35">
      <c r="B729"/>
      <c r="D729" s="95" t="str">
        <f t="shared" si="11"/>
        <v/>
      </c>
      <c r="F729" s="2" t="s">
        <v>1548</v>
      </c>
      <c r="G729" s="2" t="s">
        <v>1549</v>
      </c>
      <c r="H729" s="2" t="s">
        <v>4363</v>
      </c>
    </row>
    <row r="730" spans="2:8" x14ac:dyDescent="0.35">
      <c r="B730"/>
      <c r="D730" s="95" t="str">
        <f t="shared" si="11"/>
        <v/>
      </c>
      <c r="F730" s="2" t="s">
        <v>1550</v>
      </c>
      <c r="G730" s="2" t="s">
        <v>1551</v>
      </c>
      <c r="H730" s="2" t="s">
        <v>4363</v>
      </c>
    </row>
    <row r="731" spans="2:8" x14ac:dyDescent="0.35">
      <c r="B731"/>
      <c r="D731" s="95" t="str">
        <f t="shared" si="11"/>
        <v/>
      </c>
      <c r="F731" s="2" t="s">
        <v>1552</v>
      </c>
      <c r="G731" s="2" t="s">
        <v>1553</v>
      </c>
      <c r="H731" s="2" t="s">
        <v>4363</v>
      </c>
    </row>
    <row r="732" spans="2:8" x14ac:dyDescent="0.35">
      <c r="B732"/>
      <c r="D732" s="95" t="str">
        <f t="shared" si="11"/>
        <v/>
      </c>
      <c r="F732" s="2" t="s">
        <v>1554</v>
      </c>
      <c r="G732" s="2" t="s">
        <v>1555</v>
      </c>
      <c r="H732" s="2" t="s">
        <v>4363</v>
      </c>
    </row>
    <row r="733" spans="2:8" x14ac:dyDescent="0.35">
      <c r="B733"/>
      <c r="D733" s="95" t="str">
        <f t="shared" si="11"/>
        <v/>
      </c>
      <c r="F733" s="2" t="s">
        <v>1556</v>
      </c>
      <c r="G733" s="2" t="s">
        <v>1557</v>
      </c>
      <c r="H733" s="2" t="s">
        <v>4363</v>
      </c>
    </row>
    <row r="734" spans="2:8" x14ac:dyDescent="0.35">
      <c r="B734"/>
      <c r="D734" s="95" t="str">
        <f t="shared" si="11"/>
        <v/>
      </c>
      <c r="F734" s="2" t="s">
        <v>1558</v>
      </c>
      <c r="G734" s="2" t="s">
        <v>1559</v>
      </c>
      <c r="H734" s="2" t="s">
        <v>4363</v>
      </c>
    </row>
    <row r="735" spans="2:8" x14ac:dyDescent="0.35">
      <c r="B735"/>
      <c r="D735" s="95" t="str">
        <f t="shared" si="11"/>
        <v/>
      </c>
      <c r="F735" s="2" t="s">
        <v>1560</v>
      </c>
      <c r="G735" s="2" t="s">
        <v>1561</v>
      </c>
      <c r="H735" s="2" t="s">
        <v>4363</v>
      </c>
    </row>
    <row r="736" spans="2:8" x14ac:dyDescent="0.35">
      <c r="B736"/>
      <c r="D736" s="95" t="str">
        <f t="shared" si="11"/>
        <v/>
      </c>
      <c r="F736" s="2" t="s">
        <v>1562</v>
      </c>
      <c r="G736" s="2" t="s">
        <v>1563</v>
      </c>
      <c r="H736" s="2" t="s">
        <v>4363</v>
      </c>
    </row>
    <row r="737" spans="2:8" x14ac:dyDescent="0.35">
      <c r="B737"/>
      <c r="D737" s="95" t="str">
        <f t="shared" si="11"/>
        <v/>
      </c>
      <c r="F737" s="2" t="s">
        <v>1564</v>
      </c>
      <c r="G737" s="2" t="s">
        <v>1565</v>
      </c>
      <c r="H737" s="2" t="s">
        <v>4363</v>
      </c>
    </row>
    <row r="738" spans="2:8" x14ac:dyDescent="0.35">
      <c r="B738"/>
      <c r="D738" s="95" t="str">
        <f t="shared" si="11"/>
        <v/>
      </c>
      <c r="F738" s="2" t="s">
        <v>1566</v>
      </c>
      <c r="G738" s="2" t="s">
        <v>1567</v>
      </c>
      <c r="H738" s="2" t="s">
        <v>4363</v>
      </c>
    </row>
    <row r="739" spans="2:8" x14ac:dyDescent="0.35">
      <c r="B739"/>
      <c r="D739" s="95" t="str">
        <f t="shared" si="11"/>
        <v/>
      </c>
      <c r="F739" s="2" t="s">
        <v>1568</v>
      </c>
      <c r="G739" s="2" t="s">
        <v>1569</v>
      </c>
      <c r="H739" s="2" t="s">
        <v>4363</v>
      </c>
    </row>
    <row r="740" spans="2:8" x14ac:dyDescent="0.35">
      <c r="B740"/>
      <c r="D740" s="95" t="str">
        <f t="shared" si="11"/>
        <v/>
      </c>
      <c r="F740" s="2" t="s">
        <v>1570</v>
      </c>
      <c r="G740" s="2" t="s">
        <v>1571</v>
      </c>
      <c r="H740" s="2" t="s">
        <v>4363</v>
      </c>
    </row>
    <row r="741" spans="2:8" x14ac:dyDescent="0.35">
      <c r="B741"/>
      <c r="D741" s="95" t="str">
        <f t="shared" si="11"/>
        <v/>
      </c>
      <c r="F741" s="2" t="s">
        <v>1572</v>
      </c>
      <c r="G741" s="2" t="s">
        <v>1573</v>
      </c>
      <c r="H741" s="2" t="s">
        <v>4363</v>
      </c>
    </row>
    <row r="742" spans="2:8" x14ac:dyDescent="0.35">
      <c r="B742"/>
      <c r="D742" s="95" t="str">
        <f t="shared" si="11"/>
        <v/>
      </c>
      <c r="F742" s="2" t="s">
        <v>1574</v>
      </c>
      <c r="G742" s="2" t="s">
        <v>1575</v>
      </c>
      <c r="H742" s="2" t="s">
        <v>4363</v>
      </c>
    </row>
    <row r="743" spans="2:8" x14ac:dyDescent="0.35">
      <c r="B743"/>
      <c r="D743" s="95" t="str">
        <f t="shared" si="11"/>
        <v/>
      </c>
      <c r="F743" s="2" t="s">
        <v>1576</v>
      </c>
      <c r="G743" s="2" t="s">
        <v>1577</v>
      </c>
      <c r="H743" s="2" t="s">
        <v>4363</v>
      </c>
    </row>
    <row r="744" spans="2:8" x14ac:dyDescent="0.35">
      <c r="B744"/>
      <c r="D744" s="95" t="str">
        <f t="shared" si="11"/>
        <v/>
      </c>
      <c r="F744" s="2" t="s">
        <v>1578</v>
      </c>
      <c r="G744" s="2" t="s">
        <v>1579</v>
      </c>
      <c r="H744" s="2" t="s">
        <v>4363</v>
      </c>
    </row>
    <row r="745" spans="2:8" x14ac:dyDescent="0.35">
      <c r="B745"/>
      <c r="D745" s="95" t="str">
        <f t="shared" si="11"/>
        <v/>
      </c>
      <c r="F745" s="2" t="s">
        <v>1580</v>
      </c>
      <c r="G745" s="2" t="s">
        <v>1581</v>
      </c>
      <c r="H745" s="2" t="s">
        <v>4363</v>
      </c>
    </row>
    <row r="746" spans="2:8" x14ac:dyDescent="0.35">
      <c r="B746"/>
      <c r="D746" s="95" t="str">
        <f t="shared" si="11"/>
        <v/>
      </c>
      <c r="F746" s="2" t="s">
        <v>1582</v>
      </c>
      <c r="G746" s="2" t="s">
        <v>1583</v>
      </c>
      <c r="H746" s="2" t="s">
        <v>4363</v>
      </c>
    </row>
    <row r="747" spans="2:8" x14ac:dyDescent="0.35">
      <c r="B747"/>
      <c r="D747" s="95" t="str">
        <f t="shared" si="11"/>
        <v/>
      </c>
      <c r="F747" s="2" t="s">
        <v>1584</v>
      </c>
      <c r="G747" s="2" t="s">
        <v>1585</v>
      </c>
      <c r="H747" s="2" t="s">
        <v>4363</v>
      </c>
    </row>
    <row r="748" spans="2:8" x14ac:dyDescent="0.35">
      <c r="B748"/>
      <c r="D748" s="95" t="str">
        <f t="shared" si="11"/>
        <v/>
      </c>
      <c r="F748" s="2" t="s">
        <v>1586</v>
      </c>
      <c r="G748" s="2" t="s">
        <v>1587</v>
      </c>
      <c r="H748" s="2" t="s">
        <v>4363</v>
      </c>
    </row>
    <row r="749" spans="2:8" x14ac:dyDescent="0.35">
      <c r="B749"/>
      <c r="D749" s="95" t="str">
        <f t="shared" si="11"/>
        <v/>
      </c>
      <c r="F749" s="2" t="s">
        <v>1588</v>
      </c>
      <c r="G749" s="2" t="s">
        <v>1589</v>
      </c>
      <c r="H749" s="2" t="s">
        <v>4363</v>
      </c>
    </row>
    <row r="750" spans="2:8" x14ac:dyDescent="0.35">
      <c r="B750"/>
      <c r="D750" s="95" t="str">
        <f t="shared" si="11"/>
        <v/>
      </c>
      <c r="F750" s="2" t="s">
        <v>1590</v>
      </c>
      <c r="G750" s="2" t="s">
        <v>1591</v>
      </c>
      <c r="H750" s="2" t="s">
        <v>4363</v>
      </c>
    </row>
    <row r="751" spans="2:8" x14ac:dyDescent="0.35">
      <c r="B751"/>
      <c r="D751" s="95" t="str">
        <f t="shared" si="11"/>
        <v/>
      </c>
      <c r="F751" s="2" t="s">
        <v>1592</v>
      </c>
      <c r="G751" s="2" t="s">
        <v>1593</v>
      </c>
      <c r="H751" s="2" t="s">
        <v>4363</v>
      </c>
    </row>
    <row r="752" spans="2:8" x14ac:dyDescent="0.35">
      <c r="B752"/>
      <c r="D752" s="95" t="str">
        <f t="shared" si="11"/>
        <v/>
      </c>
      <c r="F752" s="2" t="s">
        <v>1594</v>
      </c>
      <c r="G752" s="2" t="s">
        <v>1595</v>
      </c>
      <c r="H752" s="2" t="s">
        <v>4363</v>
      </c>
    </row>
    <row r="753" spans="2:8" x14ac:dyDescent="0.35">
      <c r="B753"/>
      <c r="D753" s="95" t="str">
        <f t="shared" si="11"/>
        <v/>
      </c>
      <c r="F753" s="2" t="s">
        <v>1596</v>
      </c>
      <c r="G753" s="2" t="s">
        <v>1597</v>
      </c>
      <c r="H753" s="2" t="s">
        <v>4363</v>
      </c>
    </row>
    <row r="754" spans="2:8" x14ac:dyDescent="0.35">
      <c r="B754"/>
      <c r="D754" s="95" t="str">
        <f t="shared" si="11"/>
        <v/>
      </c>
      <c r="F754" s="2" t="s">
        <v>1598</v>
      </c>
      <c r="G754" s="2" t="s">
        <v>1599</v>
      </c>
      <c r="H754" s="2" t="s">
        <v>4363</v>
      </c>
    </row>
    <row r="755" spans="2:8" x14ac:dyDescent="0.35">
      <c r="B755"/>
      <c r="D755" s="95" t="str">
        <f t="shared" si="11"/>
        <v/>
      </c>
      <c r="F755" s="2" t="s">
        <v>1600</v>
      </c>
      <c r="G755" s="2" t="s">
        <v>1601</v>
      </c>
      <c r="H755" s="2" t="s">
        <v>4363</v>
      </c>
    </row>
    <row r="756" spans="2:8" x14ac:dyDescent="0.35">
      <c r="B756"/>
      <c r="D756" s="95" t="str">
        <f t="shared" si="11"/>
        <v/>
      </c>
      <c r="F756" s="2" t="s">
        <v>1602</v>
      </c>
      <c r="G756" s="2" t="s">
        <v>1603</v>
      </c>
      <c r="H756" s="2" t="s">
        <v>4363</v>
      </c>
    </row>
    <row r="757" spans="2:8" x14ac:dyDescent="0.35">
      <c r="B757"/>
      <c r="D757" s="95" t="str">
        <f t="shared" si="11"/>
        <v/>
      </c>
      <c r="F757" s="2" t="s">
        <v>1604</v>
      </c>
      <c r="G757" s="2" t="s">
        <v>1605</v>
      </c>
      <c r="H757" s="2" t="s">
        <v>4363</v>
      </c>
    </row>
    <row r="758" spans="2:8" x14ac:dyDescent="0.35">
      <c r="B758"/>
      <c r="D758" s="95" t="str">
        <f t="shared" si="11"/>
        <v/>
      </c>
      <c r="F758" s="2" t="s">
        <v>1606</v>
      </c>
      <c r="G758" s="2" t="s">
        <v>1607</v>
      </c>
      <c r="H758" s="2" t="s">
        <v>4363</v>
      </c>
    </row>
    <row r="759" spans="2:8" x14ac:dyDescent="0.35">
      <c r="B759"/>
      <c r="D759" s="95" t="str">
        <f t="shared" si="11"/>
        <v/>
      </c>
      <c r="F759" s="2" t="s">
        <v>1608</v>
      </c>
      <c r="G759" s="2" t="s">
        <v>1609</v>
      </c>
      <c r="H759" s="2" t="s">
        <v>4363</v>
      </c>
    </row>
    <row r="760" spans="2:8" x14ac:dyDescent="0.35">
      <c r="B760"/>
      <c r="D760" s="95" t="str">
        <f t="shared" si="11"/>
        <v/>
      </c>
      <c r="F760" s="2" t="s">
        <v>1610</v>
      </c>
      <c r="G760" s="2" t="s">
        <v>1611</v>
      </c>
      <c r="H760" s="2" t="s">
        <v>4363</v>
      </c>
    </row>
    <row r="761" spans="2:8" x14ac:dyDescent="0.35">
      <c r="B761"/>
      <c r="D761" s="95" t="str">
        <f t="shared" si="11"/>
        <v/>
      </c>
      <c r="F761" s="2" t="s">
        <v>1612</v>
      </c>
      <c r="G761" s="2" t="s">
        <v>1613</v>
      </c>
      <c r="H761" s="2" t="s">
        <v>4363</v>
      </c>
    </row>
    <row r="762" spans="2:8" x14ac:dyDescent="0.35">
      <c r="B762"/>
      <c r="D762" s="95" t="str">
        <f t="shared" si="11"/>
        <v/>
      </c>
      <c r="F762" s="2" t="s">
        <v>1614</v>
      </c>
      <c r="G762" s="2" t="s">
        <v>1615</v>
      </c>
      <c r="H762" s="2" t="s">
        <v>4363</v>
      </c>
    </row>
    <row r="763" spans="2:8" x14ac:dyDescent="0.35">
      <c r="B763"/>
      <c r="D763" s="95" t="str">
        <f t="shared" si="11"/>
        <v/>
      </c>
      <c r="F763" s="2" t="s">
        <v>1616</v>
      </c>
      <c r="G763" s="2" t="s">
        <v>1617</v>
      </c>
      <c r="H763" s="2" t="s">
        <v>4363</v>
      </c>
    </row>
    <row r="764" spans="2:8" x14ac:dyDescent="0.35">
      <c r="B764"/>
      <c r="D764" s="95" t="str">
        <f t="shared" si="11"/>
        <v/>
      </c>
      <c r="F764" s="2" t="s">
        <v>1618</v>
      </c>
      <c r="G764" s="2" t="s">
        <v>1619</v>
      </c>
      <c r="H764" s="2" t="s">
        <v>4363</v>
      </c>
    </row>
    <row r="765" spans="2:8" x14ac:dyDescent="0.35">
      <c r="B765"/>
      <c r="D765" s="95" t="str">
        <f t="shared" si="11"/>
        <v/>
      </c>
      <c r="F765" s="2" t="s">
        <v>1620</v>
      </c>
      <c r="G765" s="2" t="s">
        <v>1621</v>
      </c>
      <c r="H765" s="2" t="s">
        <v>4363</v>
      </c>
    </row>
    <row r="766" spans="2:8" x14ac:dyDescent="0.35">
      <c r="B766"/>
      <c r="D766" s="95" t="str">
        <f t="shared" si="11"/>
        <v/>
      </c>
      <c r="F766" s="2" t="s">
        <v>1622</v>
      </c>
      <c r="G766" s="2" t="s">
        <v>1623</v>
      </c>
      <c r="H766" s="2" t="s">
        <v>4363</v>
      </c>
    </row>
    <row r="767" spans="2:8" x14ac:dyDescent="0.35">
      <c r="B767"/>
      <c r="D767" s="95" t="str">
        <f t="shared" si="11"/>
        <v/>
      </c>
      <c r="F767" s="2" t="s">
        <v>1624</v>
      </c>
      <c r="G767" s="2" t="s">
        <v>1625</v>
      </c>
      <c r="H767" s="2" t="s">
        <v>4363</v>
      </c>
    </row>
    <row r="768" spans="2:8" x14ac:dyDescent="0.35">
      <c r="B768"/>
      <c r="D768" s="95" t="str">
        <f t="shared" si="11"/>
        <v/>
      </c>
      <c r="F768" s="2" t="s">
        <v>1626</v>
      </c>
      <c r="G768" s="2" t="s">
        <v>1627</v>
      </c>
      <c r="H768" s="2" t="s">
        <v>4363</v>
      </c>
    </row>
    <row r="769" spans="2:8" x14ac:dyDescent="0.35">
      <c r="B769"/>
      <c r="D769" s="95" t="str">
        <f t="shared" si="11"/>
        <v/>
      </c>
      <c r="F769" s="2" t="s">
        <v>1628</v>
      </c>
      <c r="G769" s="2" t="s">
        <v>1629</v>
      </c>
      <c r="H769" s="2" t="s">
        <v>4363</v>
      </c>
    </row>
    <row r="770" spans="2:8" x14ac:dyDescent="0.35">
      <c r="B770"/>
      <c r="D770" s="95" t="str">
        <f t="shared" si="11"/>
        <v/>
      </c>
      <c r="F770" s="2" t="s">
        <v>1630</v>
      </c>
      <c r="G770" s="2" t="s">
        <v>164</v>
      </c>
      <c r="H770" s="2" t="s">
        <v>4363</v>
      </c>
    </row>
    <row r="771" spans="2:8" x14ac:dyDescent="0.35">
      <c r="B771"/>
      <c r="D771" s="95" t="str">
        <f t="shared" si="11"/>
        <v/>
      </c>
      <c r="F771" s="2" t="s">
        <v>1631</v>
      </c>
      <c r="G771" s="2" t="s">
        <v>1632</v>
      </c>
      <c r="H771" s="2" t="s">
        <v>4363</v>
      </c>
    </row>
    <row r="772" spans="2:8" x14ac:dyDescent="0.35">
      <c r="B772"/>
      <c r="D772" s="95" t="str">
        <f t="shared" si="11"/>
        <v/>
      </c>
      <c r="F772" s="2" t="s">
        <v>1633</v>
      </c>
      <c r="G772" s="2" t="s">
        <v>1634</v>
      </c>
      <c r="H772" s="2" t="s">
        <v>4363</v>
      </c>
    </row>
    <row r="773" spans="2:8" x14ac:dyDescent="0.35">
      <c r="B773"/>
      <c r="D773" s="95" t="str">
        <f t="shared" si="11"/>
        <v/>
      </c>
      <c r="F773" s="2" t="s">
        <v>1635</v>
      </c>
      <c r="G773" s="2" t="s">
        <v>1636</v>
      </c>
      <c r="H773" s="2" t="s">
        <v>4363</v>
      </c>
    </row>
    <row r="774" spans="2:8" x14ac:dyDescent="0.35">
      <c r="B774"/>
      <c r="D774" s="95" t="str">
        <f t="shared" si="11"/>
        <v/>
      </c>
      <c r="F774" s="2" t="s">
        <v>1637</v>
      </c>
      <c r="G774" s="2" t="s">
        <v>1638</v>
      </c>
      <c r="H774" s="2" t="s">
        <v>4363</v>
      </c>
    </row>
    <row r="775" spans="2:8" x14ac:dyDescent="0.35">
      <c r="B775"/>
      <c r="D775" s="95" t="str">
        <f t="shared" si="11"/>
        <v/>
      </c>
      <c r="F775" s="2" t="s">
        <v>1639</v>
      </c>
      <c r="G775" s="2" t="s">
        <v>1640</v>
      </c>
      <c r="H775" s="2" t="s">
        <v>4363</v>
      </c>
    </row>
    <row r="776" spans="2:8" x14ac:dyDescent="0.35">
      <c r="B776"/>
      <c r="D776" s="95" t="str">
        <f t="shared" ref="D776:D839" si="12">IFERROR(INDEX($F$6:$G$1048576,MATCH($C776,$G$6:$G$1048576,0),MATCH($D$6,$F$6:$G$6,0)),"")</f>
        <v/>
      </c>
      <c r="F776" s="2" t="s">
        <v>1641</v>
      </c>
      <c r="G776" s="2" t="s">
        <v>1642</v>
      </c>
      <c r="H776" s="2" t="s">
        <v>4363</v>
      </c>
    </row>
    <row r="777" spans="2:8" x14ac:dyDescent="0.35">
      <c r="B777"/>
      <c r="D777" s="95" t="str">
        <f t="shared" si="12"/>
        <v/>
      </c>
      <c r="F777" s="2" t="s">
        <v>1643</v>
      </c>
      <c r="G777" s="2" t="s">
        <v>1644</v>
      </c>
      <c r="H777" s="2" t="s">
        <v>4363</v>
      </c>
    </row>
    <row r="778" spans="2:8" x14ac:dyDescent="0.35">
      <c r="B778"/>
      <c r="D778" s="95" t="str">
        <f t="shared" si="12"/>
        <v/>
      </c>
      <c r="F778" s="2" t="s">
        <v>1645</v>
      </c>
      <c r="G778" s="2" t="s">
        <v>1646</v>
      </c>
      <c r="H778" s="2" t="s">
        <v>4363</v>
      </c>
    </row>
    <row r="779" spans="2:8" x14ac:dyDescent="0.35">
      <c r="B779"/>
      <c r="D779" s="95" t="str">
        <f t="shared" si="12"/>
        <v/>
      </c>
      <c r="F779" s="2" t="s">
        <v>1647</v>
      </c>
      <c r="G779" s="2" t="s">
        <v>1648</v>
      </c>
      <c r="H779" s="2" t="s">
        <v>4363</v>
      </c>
    </row>
    <row r="780" spans="2:8" x14ac:dyDescent="0.35">
      <c r="B780"/>
      <c r="D780" s="95" t="str">
        <f t="shared" si="12"/>
        <v/>
      </c>
      <c r="F780" s="2" t="s">
        <v>1649</v>
      </c>
      <c r="G780" s="2" t="s">
        <v>1650</v>
      </c>
      <c r="H780" s="2" t="s">
        <v>4363</v>
      </c>
    </row>
    <row r="781" spans="2:8" x14ac:dyDescent="0.35">
      <c r="B781"/>
      <c r="D781" s="95" t="str">
        <f t="shared" si="12"/>
        <v/>
      </c>
      <c r="F781" s="2" t="s">
        <v>1651</v>
      </c>
      <c r="G781" s="2" t="s">
        <v>1652</v>
      </c>
      <c r="H781" s="2" t="s">
        <v>4363</v>
      </c>
    </row>
    <row r="782" spans="2:8" x14ac:dyDescent="0.35">
      <c r="B782"/>
      <c r="D782" s="95" t="str">
        <f t="shared" si="12"/>
        <v/>
      </c>
      <c r="F782" s="2" t="s">
        <v>1653</v>
      </c>
      <c r="G782" s="2" t="s">
        <v>1654</v>
      </c>
      <c r="H782" s="2" t="s">
        <v>4363</v>
      </c>
    </row>
    <row r="783" spans="2:8" x14ac:dyDescent="0.35">
      <c r="B783"/>
      <c r="D783" s="95" t="str">
        <f t="shared" si="12"/>
        <v/>
      </c>
      <c r="F783" s="2" t="s">
        <v>1655</v>
      </c>
      <c r="G783" s="2" t="s">
        <v>1656</v>
      </c>
      <c r="H783" s="2" t="s">
        <v>4363</v>
      </c>
    </row>
    <row r="784" spans="2:8" x14ac:dyDescent="0.35">
      <c r="B784"/>
      <c r="D784" s="95" t="str">
        <f t="shared" si="12"/>
        <v/>
      </c>
      <c r="F784" s="2" t="s">
        <v>1657</v>
      </c>
      <c r="G784" s="2" t="s">
        <v>1658</v>
      </c>
      <c r="H784" s="2" t="s">
        <v>4363</v>
      </c>
    </row>
    <row r="785" spans="2:8" x14ac:dyDescent="0.35">
      <c r="B785"/>
      <c r="D785" s="95" t="str">
        <f t="shared" si="12"/>
        <v/>
      </c>
      <c r="F785" s="2" t="s">
        <v>1659</v>
      </c>
      <c r="G785" s="2" t="s">
        <v>1660</v>
      </c>
      <c r="H785" s="2" t="s">
        <v>4363</v>
      </c>
    </row>
    <row r="786" spans="2:8" x14ac:dyDescent="0.35">
      <c r="B786"/>
      <c r="D786" s="95" t="str">
        <f t="shared" si="12"/>
        <v/>
      </c>
      <c r="F786" s="2" t="s">
        <v>1661</v>
      </c>
      <c r="G786" s="2" t="s">
        <v>1662</v>
      </c>
      <c r="H786" s="2" t="s">
        <v>4363</v>
      </c>
    </row>
    <row r="787" spans="2:8" x14ac:dyDescent="0.35">
      <c r="B787"/>
      <c r="D787" s="95" t="str">
        <f t="shared" si="12"/>
        <v/>
      </c>
      <c r="F787" s="2" t="s">
        <v>1663</v>
      </c>
      <c r="G787" s="2" t="s">
        <v>1664</v>
      </c>
      <c r="H787" s="2" t="s">
        <v>4363</v>
      </c>
    </row>
    <row r="788" spans="2:8" x14ac:dyDescent="0.35">
      <c r="B788"/>
      <c r="D788" s="95" t="str">
        <f t="shared" si="12"/>
        <v/>
      </c>
      <c r="F788" s="2" t="s">
        <v>1665</v>
      </c>
      <c r="G788" s="2" t="s">
        <v>102</v>
      </c>
      <c r="H788" s="2" t="s">
        <v>4363</v>
      </c>
    </row>
    <row r="789" spans="2:8" x14ac:dyDescent="0.35">
      <c r="B789"/>
      <c r="D789" s="95" t="str">
        <f t="shared" si="12"/>
        <v/>
      </c>
      <c r="F789" s="2" t="s">
        <v>1666</v>
      </c>
      <c r="G789" s="2" t="s">
        <v>1667</v>
      </c>
      <c r="H789" s="2" t="s">
        <v>4363</v>
      </c>
    </row>
    <row r="790" spans="2:8" x14ac:dyDescent="0.35">
      <c r="B790"/>
      <c r="D790" s="95" t="str">
        <f t="shared" si="12"/>
        <v/>
      </c>
      <c r="F790" s="2" t="s">
        <v>1668</v>
      </c>
      <c r="G790" s="2" t="s">
        <v>1669</v>
      </c>
      <c r="H790" s="2" t="s">
        <v>4363</v>
      </c>
    </row>
    <row r="791" spans="2:8" x14ac:dyDescent="0.35">
      <c r="B791"/>
      <c r="D791" s="95" t="str">
        <f t="shared" si="12"/>
        <v/>
      </c>
      <c r="F791" s="2" t="s">
        <v>1670</v>
      </c>
      <c r="G791" s="2" t="s">
        <v>1671</v>
      </c>
      <c r="H791" s="2" t="s">
        <v>4363</v>
      </c>
    </row>
    <row r="792" spans="2:8" x14ac:dyDescent="0.35">
      <c r="B792"/>
      <c r="D792" s="95" t="str">
        <f t="shared" si="12"/>
        <v/>
      </c>
      <c r="F792" s="2" t="s">
        <v>1672</v>
      </c>
      <c r="G792" s="2" t="s">
        <v>1673</v>
      </c>
      <c r="H792" s="2" t="s">
        <v>4363</v>
      </c>
    </row>
    <row r="793" spans="2:8" x14ac:dyDescent="0.35">
      <c r="B793"/>
      <c r="D793" s="95" t="str">
        <f t="shared" si="12"/>
        <v/>
      </c>
      <c r="F793" s="2" t="s">
        <v>1674</v>
      </c>
      <c r="G793" s="2" t="s">
        <v>1675</v>
      </c>
      <c r="H793" s="2" t="s">
        <v>4363</v>
      </c>
    </row>
    <row r="794" spans="2:8" x14ac:dyDescent="0.35">
      <c r="B794"/>
      <c r="D794" s="95" t="str">
        <f t="shared" si="12"/>
        <v/>
      </c>
      <c r="F794" s="2" t="s">
        <v>1676</v>
      </c>
      <c r="G794" s="2" t="s">
        <v>1677</v>
      </c>
      <c r="H794" s="2" t="s">
        <v>4363</v>
      </c>
    </row>
    <row r="795" spans="2:8" x14ac:dyDescent="0.35">
      <c r="B795"/>
      <c r="D795" s="95" t="str">
        <f t="shared" si="12"/>
        <v/>
      </c>
      <c r="F795" s="2" t="s">
        <v>1678</v>
      </c>
      <c r="G795" s="2" t="s">
        <v>1679</v>
      </c>
      <c r="H795" s="2" t="s">
        <v>4363</v>
      </c>
    </row>
    <row r="796" spans="2:8" x14ac:dyDescent="0.35">
      <c r="B796"/>
      <c r="D796" s="95" t="str">
        <f t="shared" si="12"/>
        <v/>
      </c>
      <c r="F796" s="2" t="s">
        <v>1680</v>
      </c>
      <c r="G796" s="2" t="s">
        <v>171</v>
      </c>
      <c r="H796" s="2" t="s">
        <v>4363</v>
      </c>
    </row>
    <row r="797" spans="2:8" x14ac:dyDescent="0.35">
      <c r="B797"/>
      <c r="D797" s="95" t="str">
        <f t="shared" si="12"/>
        <v/>
      </c>
      <c r="F797" s="2" t="s">
        <v>1681</v>
      </c>
      <c r="G797" s="2" t="s">
        <v>1682</v>
      </c>
      <c r="H797" s="2" t="s">
        <v>4363</v>
      </c>
    </row>
    <row r="798" spans="2:8" x14ac:dyDescent="0.35">
      <c r="B798"/>
      <c r="D798" s="95" t="str">
        <f t="shared" si="12"/>
        <v/>
      </c>
      <c r="F798" s="2" t="s">
        <v>1683</v>
      </c>
      <c r="G798" s="2" t="s">
        <v>1684</v>
      </c>
      <c r="H798" s="2" t="s">
        <v>4363</v>
      </c>
    </row>
    <row r="799" spans="2:8" x14ac:dyDescent="0.35">
      <c r="B799"/>
      <c r="D799" s="95" t="str">
        <f t="shared" si="12"/>
        <v/>
      </c>
      <c r="F799" s="2" t="s">
        <v>1685</v>
      </c>
      <c r="G799" s="2" t="s">
        <v>1686</v>
      </c>
      <c r="H799" s="2" t="s">
        <v>4363</v>
      </c>
    </row>
    <row r="800" spans="2:8" x14ac:dyDescent="0.35">
      <c r="B800"/>
      <c r="D800" s="95" t="str">
        <f t="shared" si="12"/>
        <v/>
      </c>
      <c r="F800" s="2" t="s">
        <v>1687</v>
      </c>
      <c r="G800" s="2" t="s">
        <v>1688</v>
      </c>
      <c r="H800" s="2" t="s">
        <v>4363</v>
      </c>
    </row>
    <row r="801" spans="2:8" x14ac:dyDescent="0.35">
      <c r="B801"/>
      <c r="D801" s="95" t="str">
        <f t="shared" si="12"/>
        <v/>
      </c>
      <c r="F801" s="2" t="s">
        <v>1689</v>
      </c>
      <c r="G801" s="2" t="s">
        <v>1690</v>
      </c>
      <c r="H801" s="2" t="s">
        <v>4363</v>
      </c>
    </row>
    <row r="802" spans="2:8" x14ac:dyDescent="0.35">
      <c r="B802"/>
      <c r="D802" s="95" t="str">
        <f t="shared" si="12"/>
        <v/>
      </c>
      <c r="F802" s="2" t="s">
        <v>1691</v>
      </c>
      <c r="G802" s="2" t="s">
        <v>1692</v>
      </c>
      <c r="H802" s="2" t="s">
        <v>4363</v>
      </c>
    </row>
    <row r="803" spans="2:8" x14ac:dyDescent="0.35">
      <c r="B803"/>
      <c r="D803" s="95" t="str">
        <f t="shared" si="12"/>
        <v/>
      </c>
      <c r="F803" s="2" t="s">
        <v>1693</v>
      </c>
      <c r="G803" s="2" t="s">
        <v>1694</v>
      </c>
      <c r="H803" s="2" t="s">
        <v>4363</v>
      </c>
    </row>
    <row r="804" spans="2:8" x14ac:dyDescent="0.35">
      <c r="B804"/>
      <c r="D804" s="95" t="str">
        <f t="shared" si="12"/>
        <v/>
      </c>
      <c r="F804" s="2" t="s">
        <v>1695</v>
      </c>
      <c r="G804" s="2" t="s">
        <v>1696</v>
      </c>
      <c r="H804" s="2" t="s">
        <v>4363</v>
      </c>
    </row>
    <row r="805" spans="2:8" x14ac:dyDescent="0.35">
      <c r="B805"/>
      <c r="D805" s="95" t="str">
        <f t="shared" si="12"/>
        <v/>
      </c>
      <c r="F805" s="2" t="s">
        <v>1697</v>
      </c>
      <c r="G805" s="2" t="s">
        <v>1698</v>
      </c>
      <c r="H805" s="2" t="s">
        <v>4363</v>
      </c>
    </row>
    <row r="806" spans="2:8" x14ac:dyDescent="0.35">
      <c r="B806"/>
      <c r="D806" s="95" t="str">
        <f t="shared" si="12"/>
        <v/>
      </c>
      <c r="F806" s="2" t="s">
        <v>1699</v>
      </c>
      <c r="G806" s="2" t="s">
        <v>1700</v>
      </c>
      <c r="H806" s="2" t="s">
        <v>4363</v>
      </c>
    </row>
    <row r="807" spans="2:8" x14ac:dyDescent="0.35">
      <c r="D807" s="95" t="str">
        <f t="shared" si="12"/>
        <v/>
      </c>
      <c r="F807" s="2" t="s">
        <v>1701</v>
      </c>
      <c r="G807" s="2" t="s">
        <v>1702</v>
      </c>
      <c r="H807" s="2" t="s">
        <v>4363</v>
      </c>
    </row>
    <row r="808" spans="2:8" x14ac:dyDescent="0.35">
      <c r="D808" s="95" t="str">
        <f t="shared" si="12"/>
        <v/>
      </c>
      <c r="F808" s="2" t="s">
        <v>1703</v>
      </c>
      <c r="G808" s="2" t="s">
        <v>111</v>
      </c>
      <c r="H808" s="2" t="s">
        <v>4363</v>
      </c>
    </row>
    <row r="809" spans="2:8" x14ac:dyDescent="0.35">
      <c r="D809" s="95" t="str">
        <f t="shared" si="12"/>
        <v/>
      </c>
      <c r="F809" s="2" t="s">
        <v>1704</v>
      </c>
      <c r="G809" s="2" t="s">
        <v>1705</v>
      </c>
      <c r="H809" s="2" t="s">
        <v>4363</v>
      </c>
    </row>
    <row r="810" spans="2:8" x14ac:dyDescent="0.35">
      <c r="D810" s="95" t="str">
        <f t="shared" si="12"/>
        <v/>
      </c>
      <c r="F810" s="2" t="s">
        <v>1706</v>
      </c>
      <c r="G810" s="2" t="s">
        <v>1707</v>
      </c>
      <c r="H810" s="2" t="s">
        <v>4363</v>
      </c>
    </row>
    <row r="811" spans="2:8" x14ac:dyDescent="0.35">
      <c r="D811" s="95" t="str">
        <f t="shared" si="12"/>
        <v/>
      </c>
      <c r="F811" s="2" t="s">
        <v>1708</v>
      </c>
      <c r="G811" s="2" t="s">
        <v>1709</v>
      </c>
      <c r="H811" s="2" t="s">
        <v>4363</v>
      </c>
    </row>
    <row r="812" spans="2:8" x14ac:dyDescent="0.35">
      <c r="D812" s="95" t="str">
        <f t="shared" si="12"/>
        <v/>
      </c>
      <c r="F812" s="2" t="s">
        <v>1710</v>
      </c>
      <c r="G812" s="2" t="s">
        <v>1711</v>
      </c>
      <c r="H812" s="2" t="s">
        <v>4363</v>
      </c>
    </row>
    <row r="813" spans="2:8" x14ac:dyDescent="0.35">
      <c r="D813" s="95" t="str">
        <f t="shared" si="12"/>
        <v/>
      </c>
      <c r="F813" s="2" t="s">
        <v>1712</v>
      </c>
      <c r="G813" s="2" t="s">
        <v>1713</v>
      </c>
      <c r="H813" s="2" t="s">
        <v>4363</v>
      </c>
    </row>
    <row r="814" spans="2:8" x14ac:dyDescent="0.35">
      <c r="D814" s="95" t="str">
        <f t="shared" si="12"/>
        <v/>
      </c>
      <c r="F814" s="2" t="s">
        <v>1714</v>
      </c>
      <c r="G814" s="2" t="s">
        <v>1715</v>
      </c>
      <c r="H814" s="2" t="s">
        <v>4363</v>
      </c>
    </row>
    <row r="815" spans="2:8" x14ac:dyDescent="0.35">
      <c r="D815" s="95" t="str">
        <f t="shared" si="12"/>
        <v/>
      </c>
      <c r="F815" s="2" t="s">
        <v>1716</v>
      </c>
      <c r="G815" s="2" t="s">
        <v>1717</v>
      </c>
      <c r="H815" s="2" t="s">
        <v>4363</v>
      </c>
    </row>
    <row r="816" spans="2:8" x14ac:dyDescent="0.35">
      <c r="D816" s="95" t="str">
        <f t="shared" si="12"/>
        <v/>
      </c>
      <c r="F816" s="2" t="s">
        <v>1718</v>
      </c>
      <c r="G816" s="2" t="s">
        <v>1719</v>
      </c>
      <c r="H816" s="2" t="s">
        <v>4363</v>
      </c>
    </row>
    <row r="817" spans="4:8" x14ac:dyDescent="0.35">
      <c r="D817" s="95" t="str">
        <f t="shared" si="12"/>
        <v/>
      </c>
      <c r="F817" s="2" t="s">
        <v>1720</v>
      </c>
      <c r="G817" s="2" t="s">
        <v>1721</v>
      </c>
      <c r="H817" s="2" t="s">
        <v>4363</v>
      </c>
    </row>
    <row r="818" spans="4:8" x14ac:dyDescent="0.35">
      <c r="D818" s="95" t="str">
        <f t="shared" si="12"/>
        <v/>
      </c>
      <c r="F818" s="2" t="s">
        <v>1722</v>
      </c>
      <c r="G818" s="2" t="s">
        <v>1723</v>
      </c>
      <c r="H818" s="2" t="s">
        <v>4363</v>
      </c>
    </row>
    <row r="819" spans="4:8" x14ac:dyDescent="0.35">
      <c r="D819" s="95" t="str">
        <f t="shared" si="12"/>
        <v/>
      </c>
      <c r="F819" s="2" t="s">
        <v>1724</v>
      </c>
      <c r="G819" s="2" t="s">
        <v>1725</v>
      </c>
      <c r="H819" s="2" t="s">
        <v>4363</v>
      </c>
    </row>
    <row r="820" spans="4:8" x14ac:dyDescent="0.35">
      <c r="D820" s="95" t="str">
        <f t="shared" si="12"/>
        <v/>
      </c>
      <c r="F820" s="2" t="s">
        <v>1726</v>
      </c>
      <c r="G820" s="2" t="s">
        <v>1727</v>
      </c>
      <c r="H820" s="2" t="s">
        <v>4363</v>
      </c>
    </row>
    <row r="821" spans="4:8" x14ac:dyDescent="0.35">
      <c r="D821" s="95" t="str">
        <f t="shared" si="12"/>
        <v/>
      </c>
      <c r="F821" s="2" t="s">
        <v>1728</v>
      </c>
      <c r="G821" s="2" t="s">
        <v>1729</v>
      </c>
      <c r="H821" s="2" t="s">
        <v>4363</v>
      </c>
    </row>
    <row r="822" spans="4:8" x14ac:dyDescent="0.35">
      <c r="D822" s="95" t="str">
        <f t="shared" si="12"/>
        <v/>
      </c>
      <c r="F822" s="2" t="s">
        <v>1730</v>
      </c>
      <c r="G822" s="2" t="s">
        <v>1731</v>
      </c>
      <c r="H822" s="2" t="s">
        <v>4363</v>
      </c>
    </row>
    <row r="823" spans="4:8" x14ac:dyDescent="0.35">
      <c r="D823" s="95" t="str">
        <f t="shared" si="12"/>
        <v/>
      </c>
      <c r="F823" s="2" t="s">
        <v>1732</v>
      </c>
      <c r="G823" s="2" t="s">
        <v>1733</v>
      </c>
      <c r="H823" s="2" t="s">
        <v>4363</v>
      </c>
    </row>
    <row r="824" spans="4:8" x14ac:dyDescent="0.35">
      <c r="D824" s="95" t="str">
        <f t="shared" si="12"/>
        <v/>
      </c>
      <c r="F824" s="2" t="s">
        <v>1734</v>
      </c>
      <c r="G824" s="2" t="s">
        <v>1735</v>
      </c>
      <c r="H824" s="2" t="s">
        <v>4363</v>
      </c>
    </row>
    <row r="825" spans="4:8" x14ac:dyDescent="0.35">
      <c r="D825" s="95" t="str">
        <f t="shared" si="12"/>
        <v/>
      </c>
      <c r="F825" s="2" t="s">
        <v>1736</v>
      </c>
      <c r="G825" s="2" t="s">
        <v>1737</v>
      </c>
      <c r="H825" s="2" t="s">
        <v>4363</v>
      </c>
    </row>
    <row r="826" spans="4:8" x14ac:dyDescent="0.35">
      <c r="D826" s="95" t="str">
        <f t="shared" si="12"/>
        <v/>
      </c>
      <c r="F826" s="2" t="s">
        <v>1738</v>
      </c>
      <c r="G826" s="2" t="s">
        <v>1739</v>
      </c>
      <c r="H826" s="2" t="s">
        <v>4363</v>
      </c>
    </row>
    <row r="827" spans="4:8" x14ac:dyDescent="0.35">
      <c r="D827" s="95" t="str">
        <f t="shared" si="12"/>
        <v/>
      </c>
      <c r="F827" s="2" t="s">
        <v>1740</v>
      </c>
      <c r="G827" s="2" t="s">
        <v>1741</v>
      </c>
      <c r="H827" s="2" t="s">
        <v>4363</v>
      </c>
    </row>
    <row r="828" spans="4:8" x14ac:dyDescent="0.35">
      <c r="D828" s="95" t="str">
        <f t="shared" si="12"/>
        <v/>
      </c>
      <c r="F828" s="2" t="s">
        <v>1742</v>
      </c>
      <c r="G828" s="2" t="s">
        <v>1743</v>
      </c>
      <c r="H828" s="2" t="s">
        <v>4363</v>
      </c>
    </row>
    <row r="829" spans="4:8" x14ac:dyDescent="0.35">
      <c r="D829" s="95" t="str">
        <f t="shared" si="12"/>
        <v/>
      </c>
      <c r="F829" s="2" t="s">
        <v>1744</v>
      </c>
      <c r="G829" s="2" t="s">
        <v>1745</v>
      </c>
      <c r="H829" s="2" t="s">
        <v>4363</v>
      </c>
    </row>
    <row r="830" spans="4:8" x14ac:dyDescent="0.35">
      <c r="D830" s="95" t="str">
        <f t="shared" si="12"/>
        <v/>
      </c>
      <c r="F830" s="2" t="s">
        <v>1746</v>
      </c>
      <c r="G830" s="2" t="s">
        <v>1747</v>
      </c>
      <c r="H830" s="2" t="s">
        <v>4363</v>
      </c>
    </row>
    <row r="831" spans="4:8" x14ac:dyDescent="0.35">
      <c r="D831" s="95" t="str">
        <f t="shared" si="12"/>
        <v/>
      </c>
      <c r="F831" s="2" t="s">
        <v>1748</v>
      </c>
      <c r="G831" s="2" t="s">
        <v>1749</v>
      </c>
      <c r="H831" s="2" t="s">
        <v>4363</v>
      </c>
    </row>
    <row r="832" spans="4:8" x14ac:dyDescent="0.35">
      <c r="D832" s="95" t="str">
        <f t="shared" si="12"/>
        <v/>
      </c>
      <c r="F832" s="2" t="s">
        <v>1750</v>
      </c>
      <c r="G832" s="2" t="s">
        <v>1751</v>
      </c>
      <c r="H832" s="2" t="s">
        <v>4363</v>
      </c>
    </row>
    <row r="833" spans="4:8" x14ac:dyDescent="0.35">
      <c r="D833" s="95" t="str">
        <f t="shared" si="12"/>
        <v/>
      </c>
      <c r="F833" s="2" t="s">
        <v>1752</v>
      </c>
      <c r="G833" s="2" t="s">
        <v>1753</v>
      </c>
      <c r="H833" s="2" t="s">
        <v>4363</v>
      </c>
    </row>
    <row r="834" spans="4:8" x14ac:dyDescent="0.35">
      <c r="D834" s="95" t="str">
        <f t="shared" si="12"/>
        <v/>
      </c>
      <c r="F834" s="2" t="s">
        <v>1754</v>
      </c>
      <c r="G834" s="2" t="s">
        <v>1755</v>
      </c>
      <c r="H834" s="2" t="s">
        <v>4363</v>
      </c>
    </row>
    <row r="835" spans="4:8" x14ac:dyDescent="0.35">
      <c r="D835" s="95" t="str">
        <f t="shared" si="12"/>
        <v/>
      </c>
      <c r="F835" s="2" t="s">
        <v>1756</v>
      </c>
      <c r="G835" s="2" t="s">
        <v>1757</v>
      </c>
      <c r="H835" s="2" t="s">
        <v>4363</v>
      </c>
    </row>
    <row r="836" spans="4:8" x14ac:dyDescent="0.35">
      <c r="D836" s="95" t="str">
        <f t="shared" si="12"/>
        <v/>
      </c>
      <c r="F836" s="2" t="s">
        <v>1758</v>
      </c>
      <c r="G836" s="2" t="s">
        <v>1759</v>
      </c>
      <c r="H836" s="2" t="s">
        <v>4363</v>
      </c>
    </row>
    <row r="837" spans="4:8" x14ac:dyDescent="0.35">
      <c r="D837" s="95" t="str">
        <f t="shared" si="12"/>
        <v/>
      </c>
      <c r="F837" s="2" t="s">
        <v>1760</v>
      </c>
      <c r="G837" s="2" t="s">
        <v>1761</v>
      </c>
      <c r="H837" s="2" t="s">
        <v>4363</v>
      </c>
    </row>
    <row r="838" spans="4:8" x14ac:dyDescent="0.35">
      <c r="D838" s="95" t="str">
        <f t="shared" si="12"/>
        <v/>
      </c>
      <c r="F838" s="2" t="s">
        <v>1762</v>
      </c>
      <c r="G838" s="2" t="s">
        <v>1763</v>
      </c>
      <c r="H838" s="2" t="s">
        <v>4363</v>
      </c>
    </row>
    <row r="839" spans="4:8" x14ac:dyDescent="0.35">
      <c r="D839" s="95" t="str">
        <f t="shared" si="12"/>
        <v/>
      </c>
      <c r="F839" s="2" t="s">
        <v>1764</v>
      </c>
      <c r="G839" s="2" t="s">
        <v>1765</v>
      </c>
      <c r="H839" s="2" t="s">
        <v>4363</v>
      </c>
    </row>
    <row r="840" spans="4:8" x14ac:dyDescent="0.35">
      <c r="D840" s="95" t="str">
        <f t="shared" ref="D840:D903" si="13">IFERROR(INDEX($F$6:$G$1048576,MATCH($C840,$G$6:$G$1048576,0),MATCH($D$6,$F$6:$G$6,0)),"")</f>
        <v/>
      </c>
      <c r="F840" s="2" t="s">
        <v>1766</v>
      </c>
      <c r="G840" s="2" t="s">
        <v>1767</v>
      </c>
      <c r="H840" s="2" t="s">
        <v>4363</v>
      </c>
    </row>
    <row r="841" spans="4:8" x14ac:dyDescent="0.35">
      <c r="D841" s="95" t="str">
        <f t="shared" si="13"/>
        <v/>
      </c>
      <c r="F841" s="2" t="s">
        <v>1768</v>
      </c>
      <c r="G841" s="2" t="s">
        <v>1769</v>
      </c>
      <c r="H841" s="2" t="s">
        <v>4363</v>
      </c>
    </row>
    <row r="842" spans="4:8" x14ac:dyDescent="0.35">
      <c r="D842" s="95" t="str">
        <f t="shared" si="13"/>
        <v/>
      </c>
      <c r="F842" s="2" t="s">
        <v>1770</v>
      </c>
      <c r="G842" s="2" t="s">
        <v>1771</v>
      </c>
      <c r="H842" s="2" t="s">
        <v>4363</v>
      </c>
    </row>
    <row r="843" spans="4:8" x14ac:dyDescent="0.35">
      <c r="D843" s="95" t="str">
        <f t="shared" si="13"/>
        <v/>
      </c>
      <c r="F843" s="2" t="s">
        <v>1772</v>
      </c>
      <c r="G843" s="2" t="s">
        <v>1773</v>
      </c>
      <c r="H843" s="2" t="s">
        <v>4363</v>
      </c>
    </row>
    <row r="844" spans="4:8" x14ac:dyDescent="0.35">
      <c r="D844" s="95" t="str">
        <f t="shared" si="13"/>
        <v/>
      </c>
      <c r="F844" s="2" t="s">
        <v>1774</v>
      </c>
      <c r="G844" s="2" t="s">
        <v>1775</v>
      </c>
      <c r="H844" s="2" t="s">
        <v>4363</v>
      </c>
    </row>
    <row r="845" spans="4:8" x14ac:dyDescent="0.35">
      <c r="D845" s="95" t="str">
        <f t="shared" si="13"/>
        <v/>
      </c>
      <c r="F845" s="2" t="s">
        <v>1776</v>
      </c>
      <c r="G845" s="2" t="s">
        <v>1777</v>
      </c>
      <c r="H845" s="2" t="s">
        <v>4363</v>
      </c>
    </row>
    <row r="846" spans="4:8" x14ac:dyDescent="0.35">
      <c r="D846" s="95" t="str">
        <f t="shared" si="13"/>
        <v/>
      </c>
      <c r="F846" s="2" t="s">
        <v>1778</v>
      </c>
      <c r="G846" s="2" t="s">
        <v>1779</v>
      </c>
      <c r="H846" s="2" t="s">
        <v>4363</v>
      </c>
    </row>
    <row r="847" spans="4:8" x14ac:dyDescent="0.35">
      <c r="D847" s="95" t="str">
        <f t="shared" si="13"/>
        <v/>
      </c>
      <c r="F847" s="2" t="s">
        <v>1780</v>
      </c>
      <c r="G847" s="2" t="s">
        <v>1781</v>
      </c>
      <c r="H847" s="2" t="s">
        <v>4363</v>
      </c>
    </row>
    <row r="848" spans="4:8" x14ac:dyDescent="0.35">
      <c r="D848" s="95" t="str">
        <f t="shared" si="13"/>
        <v/>
      </c>
      <c r="F848" s="2" t="s">
        <v>1782</v>
      </c>
      <c r="G848" s="2" t="s">
        <v>1783</v>
      </c>
      <c r="H848" s="2" t="s">
        <v>4363</v>
      </c>
    </row>
    <row r="849" spans="4:8" x14ac:dyDescent="0.35">
      <c r="D849" s="95" t="str">
        <f t="shared" si="13"/>
        <v/>
      </c>
      <c r="F849" s="2" t="s">
        <v>1784</v>
      </c>
      <c r="G849" s="2" t="s">
        <v>1785</v>
      </c>
      <c r="H849" s="2" t="s">
        <v>4363</v>
      </c>
    </row>
    <row r="850" spans="4:8" x14ac:dyDescent="0.35">
      <c r="D850" s="95" t="str">
        <f t="shared" si="13"/>
        <v/>
      </c>
      <c r="F850" s="2" t="s">
        <v>1786</v>
      </c>
      <c r="G850" s="2" t="s">
        <v>1787</v>
      </c>
      <c r="H850" s="2" t="s">
        <v>4363</v>
      </c>
    </row>
    <row r="851" spans="4:8" x14ac:dyDescent="0.35">
      <c r="D851" s="95" t="str">
        <f t="shared" si="13"/>
        <v/>
      </c>
      <c r="F851" s="2" t="s">
        <v>1788</v>
      </c>
      <c r="G851" s="2" t="s">
        <v>1789</v>
      </c>
      <c r="H851" s="2" t="s">
        <v>4363</v>
      </c>
    </row>
    <row r="852" spans="4:8" x14ac:dyDescent="0.35">
      <c r="D852" s="95" t="str">
        <f t="shared" si="13"/>
        <v/>
      </c>
      <c r="F852" s="2" t="s">
        <v>1790</v>
      </c>
      <c r="G852" s="2" t="s">
        <v>1791</v>
      </c>
      <c r="H852" s="2" t="s">
        <v>4363</v>
      </c>
    </row>
    <row r="853" spans="4:8" x14ac:dyDescent="0.35">
      <c r="D853" s="95" t="str">
        <f t="shared" si="13"/>
        <v/>
      </c>
      <c r="F853" s="2" t="s">
        <v>1792</v>
      </c>
      <c r="G853" s="2" t="s">
        <v>1793</v>
      </c>
      <c r="H853" s="2" t="s">
        <v>4363</v>
      </c>
    </row>
    <row r="854" spans="4:8" x14ac:dyDescent="0.35">
      <c r="D854" s="95" t="str">
        <f t="shared" si="13"/>
        <v/>
      </c>
      <c r="F854" s="2" t="s">
        <v>1794</v>
      </c>
      <c r="G854" s="2" t="s">
        <v>1795</v>
      </c>
      <c r="H854" s="2" t="s">
        <v>4363</v>
      </c>
    </row>
    <row r="855" spans="4:8" x14ac:dyDescent="0.35">
      <c r="D855" s="95" t="str">
        <f t="shared" si="13"/>
        <v/>
      </c>
      <c r="F855" s="2" t="s">
        <v>1796</v>
      </c>
      <c r="G855" s="2" t="s">
        <v>1797</v>
      </c>
      <c r="H855" s="2" t="s">
        <v>4363</v>
      </c>
    </row>
    <row r="856" spans="4:8" x14ac:dyDescent="0.35">
      <c r="D856" s="95" t="str">
        <f t="shared" si="13"/>
        <v/>
      </c>
      <c r="F856" s="2" t="s">
        <v>1798</v>
      </c>
      <c r="G856" s="2" t="s">
        <v>1799</v>
      </c>
      <c r="H856" s="2" t="s">
        <v>4363</v>
      </c>
    </row>
    <row r="857" spans="4:8" x14ac:dyDescent="0.35">
      <c r="D857" s="95" t="str">
        <f t="shared" si="13"/>
        <v/>
      </c>
      <c r="F857" s="2" t="s">
        <v>1800</v>
      </c>
      <c r="G857" s="2" t="s">
        <v>1801</v>
      </c>
      <c r="H857" s="2" t="s">
        <v>4363</v>
      </c>
    </row>
    <row r="858" spans="4:8" x14ac:dyDescent="0.35">
      <c r="D858" s="95" t="str">
        <f t="shared" si="13"/>
        <v/>
      </c>
      <c r="F858" s="2" t="s">
        <v>1802</v>
      </c>
      <c r="G858" s="2" t="s">
        <v>1803</v>
      </c>
      <c r="H858" s="2" t="s">
        <v>4363</v>
      </c>
    </row>
    <row r="859" spans="4:8" x14ac:dyDescent="0.35">
      <c r="D859" s="95" t="str">
        <f t="shared" si="13"/>
        <v/>
      </c>
      <c r="F859" s="2" t="s">
        <v>1804</v>
      </c>
      <c r="G859" s="2" t="s">
        <v>1805</v>
      </c>
      <c r="H859" s="2" t="s">
        <v>4363</v>
      </c>
    </row>
    <row r="860" spans="4:8" x14ac:dyDescent="0.35">
      <c r="D860" s="95" t="str">
        <f t="shared" si="13"/>
        <v/>
      </c>
      <c r="F860" s="2" t="s">
        <v>1806</v>
      </c>
      <c r="G860" s="2" t="s">
        <v>1807</v>
      </c>
      <c r="H860" s="2" t="s">
        <v>4363</v>
      </c>
    </row>
    <row r="861" spans="4:8" x14ac:dyDescent="0.35">
      <c r="D861" s="95" t="str">
        <f t="shared" si="13"/>
        <v/>
      </c>
      <c r="F861" s="2" t="s">
        <v>1808</v>
      </c>
      <c r="G861" s="2" t="s">
        <v>1809</v>
      </c>
      <c r="H861" s="2" t="s">
        <v>4363</v>
      </c>
    </row>
    <row r="862" spans="4:8" x14ac:dyDescent="0.35">
      <c r="D862" s="95" t="str">
        <f t="shared" si="13"/>
        <v/>
      </c>
      <c r="F862" s="2" t="s">
        <v>1810</v>
      </c>
      <c r="G862" s="2" t="s">
        <v>1811</v>
      </c>
      <c r="H862" s="2" t="s">
        <v>4363</v>
      </c>
    </row>
    <row r="863" spans="4:8" x14ac:dyDescent="0.35">
      <c r="D863" s="95" t="str">
        <f t="shared" si="13"/>
        <v/>
      </c>
      <c r="F863" s="2" t="s">
        <v>1812</v>
      </c>
      <c r="G863" s="2" t="s">
        <v>1813</v>
      </c>
      <c r="H863" s="2" t="s">
        <v>4363</v>
      </c>
    </row>
    <row r="864" spans="4:8" x14ac:dyDescent="0.35">
      <c r="D864" s="95" t="str">
        <f t="shared" si="13"/>
        <v/>
      </c>
      <c r="F864" s="2" t="s">
        <v>1814</v>
      </c>
      <c r="G864" s="2" t="s">
        <v>1815</v>
      </c>
      <c r="H864" s="2" t="s">
        <v>4363</v>
      </c>
    </row>
    <row r="865" spans="4:8" x14ac:dyDescent="0.35">
      <c r="D865" s="95" t="str">
        <f t="shared" si="13"/>
        <v/>
      </c>
      <c r="F865" s="2" t="s">
        <v>1816</v>
      </c>
      <c r="G865" s="2" t="s">
        <v>1817</v>
      </c>
      <c r="H865" s="2" t="s">
        <v>4363</v>
      </c>
    </row>
    <row r="866" spans="4:8" x14ac:dyDescent="0.35">
      <c r="D866" s="95" t="str">
        <f t="shared" si="13"/>
        <v/>
      </c>
      <c r="F866" s="2" t="s">
        <v>1818</v>
      </c>
      <c r="G866" s="2" t="s">
        <v>1819</v>
      </c>
      <c r="H866" s="2" t="s">
        <v>4363</v>
      </c>
    </row>
    <row r="867" spans="4:8" x14ac:dyDescent="0.35">
      <c r="D867" s="95" t="str">
        <f t="shared" si="13"/>
        <v/>
      </c>
      <c r="F867" s="2" t="s">
        <v>1820</v>
      </c>
      <c r="G867" s="2" t="s">
        <v>94</v>
      </c>
      <c r="H867" s="2" t="s">
        <v>4363</v>
      </c>
    </row>
    <row r="868" spans="4:8" x14ac:dyDescent="0.35">
      <c r="D868" s="95" t="str">
        <f t="shared" si="13"/>
        <v/>
      </c>
      <c r="F868" s="2" t="s">
        <v>1821</v>
      </c>
      <c r="G868" s="2" t="s">
        <v>1822</v>
      </c>
      <c r="H868" s="2" t="s">
        <v>4363</v>
      </c>
    </row>
    <row r="869" spans="4:8" x14ac:dyDescent="0.35">
      <c r="D869" s="95" t="str">
        <f t="shared" si="13"/>
        <v/>
      </c>
      <c r="F869" s="2" t="s">
        <v>1823</v>
      </c>
      <c r="G869" s="2" t="s">
        <v>1824</v>
      </c>
      <c r="H869" s="2" t="s">
        <v>4363</v>
      </c>
    </row>
    <row r="870" spans="4:8" x14ac:dyDescent="0.35">
      <c r="D870" s="95" t="str">
        <f t="shared" si="13"/>
        <v/>
      </c>
      <c r="F870" s="2" t="s">
        <v>1825</v>
      </c>
      <c r="G870" s="2" t="s">
        <v>1826</v>
      </c>
      <c r="H870" s="2" t="s">
        <v>4363</v>
      </c>
    </row>
    <row r="871" spans="4:8" x14ac:dyDescent="0.35">
      <c r="D871" s="95" t="str">
        <f t="shared" si="13"/>
        <v/>
      </c>
      <c r="F871" s="2" t="s">
        <v>1827</v>
      </c>
      <c r="G871" s="2" t="s">
        <v>1828</v>
      </c>
      <c r="H871" s="2" t="s">
        <v>4363</v>
      </c>
    </row>
    <row r="872" spans="4:8" x14ac:dyDescent="0.35">
      <c r="D872" s="95" t="str">
        <f t="shared" si="13"/>
        <v/>
      </c>
      <c r="F872" s="2" t="s">
        <v>1829</v>
      </c>
      <c r="G872" s="2" t="s">
        <v>1830</v>
      </c>
      <c r="H872" s="2" t="s">
        <v>4363</v>
      </c>
    </row>
    <row r="873" spans="4:8" x14ac:dyDescent="0.35">
      <c r="D873" s="95" t="str">
        <f t="shared" si="13"/>
        <v/>
      </c>
      <c r="F873" s="2" t="s">
        <v>1831</v>
      </c>
      <c r="G873" s="2" t="s">
        <v>92</v>
      </c>
      <c r="H873" s="2" t="s">
        <v>4363</v>
      </c>
    </row>
    <row r="874" spans="4:8" x14ac:dyDescent="0.35">
      <c r="D874" s="95" t="str">
        <f t="shared" si="13"/>
        <v/>
      </c>
      <c r="F874" s="2" t="s">
        <v>1832</v>
      </c>
      <c r="G874" s="2" t="s">
        <v>1833</v>
      </c>
      <c r="H874" s="2" t="s">
        <v>4363</v>
      </c>
    </row>
    <row r="875" spans="4:8" x14ac:dyDescent="0.35">
      <c r="D875" s="95" t="str">
        <f t="shared" si="13"/>
        <v/>
      </c>
      <c r="F875" s="2" t="s">
        <v>1834</v>
      </c>
      <c r="G875" s="2" t="s">
        <v>1835</v>
      </c>
      <c r="H875" s="2" t="s">
        <v>4363</v>
      </c>
    </row>
    <row r="876" spans="4:8" x14ac:dyDescent="0.35">
      <c r="D876" s="95" t="str">
        <f t="shared" si="13"/>
        <v/>
      </c>
      <c r="F876" s="2" t="s">
        <v>1836</v>
      </c>
      <c r="G876" s="2" t="s">
        <v>1837</v>
      </c>
      <c r="H876" s="2" t="s">
        <v>4363</v>
      </c>
    </row>
    <row r="877" spans="4:8" x14ac:dyDescent="0.35">
      <c r="D877" s="95" t="str">
        <f t="shared" si="13"/>
        <v/>
      </c>
      <c r="F877" s="2" t="s">
        <v>1838</v>
      </c>
      <c r="G877" s="2" t="s">
        <v>1839</v>
      </c>
      <c r="H877" s="2" t="s">
        <v>4363</v>
      </c>
    </row>
    <row r="878" spans="4:8" x14ac:dyDescent="0.35">
      <c r="D878" s="95" t="str">
        <f t="shared" si="13"/>
        <v/>
      </c>
      <c r="F878" s="2" t="s">
        <v>1840</v>
      </c>
      <c r="G878" s="2" t="s">
        <v>1841</v>
      </c>
      <c r="H878" s="2" t="s">
        <v>4363</v>
      </c>
    </row>
    <row r="879" spans="4:8" x14ac:dyDescent="0.35">
      <c r="D879" s="95" t="str">
        <f t="shared" si="13"/>
        <v/>
      </c>
      <c r="F879" s="2" t="s">
        <v>1842</v>
      </c>
      <c r="G879" s="2" t="s">
        <v>1843</v>
      </c>
      <c r="H879" s="2" t="s">
        <v>4363</v>
      </c>
    </row>
    <row r="880" spans="4:8" x14ac:dyDescent="0.35">
      <c r="D880" s="95" t="str">
        <f t="shared" si="13"/>
        <v/>
      </c>
      <c r="F880" s="2" t="s">
        <v>1844</v>
      </c>
      <c r="G880" s="2" t="s">
        <v>1845</v>
      </c>
      <c r="H880" s="2" t="s">
        <v>4363</v>
      </c>
    </row>
    <row r="881" spans="4:8" x14ac:dyDescent="0.35">
      <c r="D881" s="95" t="str">
        <f t="shared" si="13"/>
        <v/>
      </c>
      <c r="F881" s="2" t="s">
        <v>1846</v>
      </c>
      <c r="G881" s="2" t="s">
        <v>1847</v>
      </c>
      <c r="H881" s="2" t="s">
        <v>4363</v>
      </c>
    </row>
    <row r="882" spans="4:8" x14ac:dyDescent="0.35">
      <c r="D882" s="95" t="str">
        <f t="shared" si="13"/>
        <v/>
      </c>
      <c r="F882" s="2" t="s">
        <v>1848</v>
      </c>
      <c r="G882" s="2" t="s">
        <v>1849</v>
      </c>
      <c r="H882" s="2" t="s">
        <v>4363</v>
      </c>
    </row>
    <row r="883" spans="4:8" x14ac:dyDescent="0.35">
      <c r="D883" s="95" t="str">
        <f t="shared" si="13"/>
        <v/>
      </c>
      <c r="F883" s="2" t="s">
        <v>1850</v>
      </c>
      <c r="G883" s="2" t="s">
        <v>1851</v>
      </c>
      <c r="H883" s="2" t="s">
        <v>4363</v>
      </c>
    </row>
    <row r="884" spans="4:8" x14ac:dyDescent="0.35">
      <c r="D884" s="95" t="str">
        <f t="shared" si="13"/>
        <v/>
      </c>
      <c r="F884" s="2" t="s">
        <v>1852</v>
      </c>
      <c r="G884" s="2" t="s">
        <v>1853</v>
      </c>
      <c r="H884" s="2" t="s">
        <v>4363</v>
      </c>
    </row>
    <row r="885" spans="4:8" x14ac:dyDescent="0.35">
      <c r="D885" s="95" t="str">
        <f t="shared" si="13"/>
        <v/>
      </c>
      <c r="F885" s="2" t="s">
        <v>1854</v>
      </c>
      <c r="G885" s="2" t="s">
        <v>1855</v>
      </c>
      <c r="H885" s="2" t="s">
        <v>4363</v>
      </c>
    </row>
    <row r="886" spans="4:8" x14ac:dyDescent="0.35">
      <c r="D886" s="95" t="str">
        <f t="shared" si="13"/>
        <v/>
      </c>
      <c r="F886" s="2" t="s">
        <v>1856</v>
      </c>
      <c r="G886" s="2" t="s">
        <v>1857</v>
      </c>
      <c r="H886" s="2" t="s">
        <v>4363</v>
      </c>
    </row>
    <row r="887" spans="4:8" x14ac:dyDescent="0.35">
      <c r="D887" s="95" t="str">
        <f t="shared" si="13"/>
        <v/>
      </c>
      <c r="F887" s="2" t="s">
        <v>1858</v>
      </c>
      <c r="G887" s="2" t="s">
        <v>1859</v>
      </c>
      <c r="H887" s="2" t="s">
        <v>4363</v>
      </c>
    </row>
    <row r="888" spans="4:8" x14ac:dyDescent="0.35">
      <c r="D888" s="95" t="str">
        <f t="shared" si="13"/>
        <v/>
      </c>
      <c r="F888" s="2" t="s">
        <v>1860</v>
      </c>
      <c r="G888" s="2" t="s">
        <v>1861</v>
      </c>
      <c r="H888" s="2" t="s">
        <v>4363</v>
      </c>
    </row>
    <row r="889" spans="4:8" x14ac:dyDescent="0.35">
      <c r="D889" s="95" t="str">
        <f t="shared" si="13"/>
        <v/>
      </c>
      <c r="F889" s="2" t="s">
        <v>1862</v>
      </c>
      <c r="G889" s="2" t="s">
        <v>1863</v>
      </c>
      <c r="H889" s="2" t="s">
        <v>4363</v>
      </c>
    </row>
    <row r="890" spans="4:8" x14ac:dyDescent="0.35">
      <c r="D890" s="95" t="str">
        <f t="shared" si="13"/>
        <v/>
      </c>
      <c r="F890" s="2" t="s">
        <v>1864</v>
      </c>
      <c r="G890" s="2" t="s">
        <v>1865</v>
      </c>
      <c r="H890" s="2" t="s">
        <v>4363</v>
      </c>
    </row>
    <row r="891" spans="4:8" x14ac:dyDescent="0.35">
      <c r="D891" s="95" t="str">
        <f t="shared" si="13"/>
        <v/>
      </c>
      <c r="F891" s="2" t="s">
        <v>1866</v>
      </c>
      <c r="G891" s="2" t="s">
        <v>1867</v>
      </c>
      <c r="H891" s="2" t="s">
        <v>4363</v>
      </c>
    </row>
    <row r="892" spans="4:8" x14ac:dyDescent="0.35">
      <c r="D892" s="95" t="str">
        <f t="shared" si="13"/>
        <v/>
      </c>
      <c r="F892" s="2" t="s">
        <v>1868</v>
      </c>
      <c r="G892" s="2" t="s">
        <v>1869</v>
      </c>
      <c r="H892" s="2" t="s">
        <v>4363</v>
      </c>
    </row>
    <row r="893" spans="4:8" x14ac:dyDescent="0.35">
      <c r="D893" s="95" t="str">
        <f t="shared" si="13"/>
        <v/>
      </c>
      <c r="F893" s="2" t="s">
        <v>1870</v>
      </c>
      <c r="G893" s="2" t="s">
        <v>1871</v>
      </c>
      <c r="H893" s="2" t="s">
        <v>4363</v>
      </c>
    </row>
    <row r="894" spans="4:8" x14ac:dyDescent="0.35">
      <c r="D894" s="95" t="str">
        <f t="shared" si="13"/>
        <v/>
      </c>
      <c r="F894" s="2" t="s">
        <v>1872</v>
      </c>
      <c r="G894" s="2" t="s">
        <v>1873</v>
      </c>
      <c r="H894" s="2" t="s">
        <v>4363</v>
      </c>
    </row>
    <row r="895" spans="4:8" x14ac:dyDescent="0.35">
      <c r="D895" s="95" t="str">
        <f t="shared" si="13"/>
        <v/>
      </c>
      <c r="F895" s="2" t="s">
        <v>1874</v>
      </c>
      <c r="G895" s="2" t="s">
        <v>1875</v>
      </c>
      <c r="H895" s="2" t="s">
        <v>4363</v>
      </c>
    </row>
    <row r="896" spans="4:8" x14ac:dyDescent="0.35">
      <c r="D896" s="95" t="str">
        <f t="shared" si="13"/>
        <v/>
      </c>
      <c r="F896" s="2" t="s">
        <v>1876</v>
      </c>
      <c r="G896" s="2" t="s">
        <v>1877</v>
      </c>
      <c r="H896" s="2" t="s">
        <v>4363</v>
      </c>
    </row>
    <row r="897" spans="4:8" x14ac:dyDescent="0.35">
      <c r="D897" s="95" t="str">
        <f t="shared" si="13"/>
        <v/>
      </c>
      <c r="F897" s="2" t="s">
        <v>1878</v>
      </c>
      <c r="G897" s="2" t="s">
        <v>1879</v>
      </c>
      <c r="H897" s="2" t="s">
        <v>4363</v>
      </c>
    </row>
    <row r="898" spans="4:8" x14ac:dyDescent="0.35">
      <c r="D898" s="95" t="str">
        <f t="shared" si="13"/>
        <v/>
      </c>
      <c r="F898" s="2" t="s">
        <v>1880</v>
      </c>
      <c r="G898" s="2" t="s">
        <v>1881</v>
      </c>
      <c r="H898" s="2" t="s">
        <v>4363</v>
      </c>
    </row>
    <row r="899" spans="4:8" x14ac:dyDescent="0.35">
      <c r="D899" s="95" t="str">
        <f t="shared" si="13"/>
        <v/>
      </c>
      <c r="F899" s="2" t="s">
        <v>1882</v>
      </c>
      <c r="G899" s="2" t="s">
        <v>1883</v>
      </c>
      <c r="H899" s="2" t="s">
        <v>4363</v>
      </c>
    </row>
    <row r="900" spans="4:8" x14ac:dyDescent="0.35">
      <c r="D900" s="95" t="str">
        <f t="shared" si="13"/>
        <v/>
      </c>
      <c r="F900" s="2" t="s">
        <v>1884</v>
      </c>
      <c r="G900" s="2" t="s">
        <v>161</v>
      </c>
      <c r="H900" s="2" t="s">
        <v>4363</v>
      </c>
    </row>
    <row r="901" spans="4:8" x14ac:dyDescent="0.35">
      <c r="D901" s="95" t="str">
        <f t="shared" si="13"/>
        <v/>
      </c>
      <c r="F901" s="2" t="s">
        <v>1885</v>
      </c>
      <c r="G901" s="2" t="s">
        <v>1886</v>
      </c>
      <c r="H901" s="2" t="s">
        <v>4363</v>
      </c>
    </row>
    <row r="902" spans="4:8" x14ac:dyDescent="0.35">
      <c r="D902" s="95" t="str">
        <f t="shared" si="13"/>
        <v/>
      </c>
      <c r="F902" s="2" t="s">
        <v>1887</v>
      </c>
      <c r="G902" s="2" t="s">
        <v>1888</v>
      </c>
      <c r="H902" s="2" t="s">
        <v>4363</v>
      </c>
    </row>
    <row r="903" spans="4:8" x14ac:dyDescent="0.35">
      <c r="D903" s="95" t="str">
        <f t="shared" si="13"/>
        <v/>
      </c>
      <c r="F903" s="2" t="s">
        <v>1889</v>
      </c>
      <c r="G903" s="2" t="s">
        <v>1890</v>
      </c>
      <c r="H903" s="2" t="s">
        <v>4363</v>
      </c>
    </row>
    <row r="904" spans="4:8" x14ac:dyDescent="0.35">
      <c r="D904" s="95" t="str">
        <f t="shared" ref="D904:D967" si="14">IFERROR(INDEX($F$6:$G$1048576,MATCH($C904,$G$6:$G$1048576,0),MATCH($D$6,$F$6:$G$6,0)),"")</f>
        <v/>
      </c>
      <c r="F904" s="2" t="s">
        <v>1891</v>
      </c>
      <c r="G904" s="2" t="s">
        <v>1892</v>
      </c>
      <c r="H904" s="2" t="s">
        <v>4363</v>
      </c>
    </row>
    <row r="905" spans="4:8" x14ac:dyDescent="0.35">
      <c r="D905" s="95" t="str">
        <f t="shared" si="14"/>
        <v/>
      </c>
      <c r="F905" s="2" t="s">
        <v>1893</v>
      </c>
      <c r="G905" s="2" t="s">
        <v>1894</v>
      </c>
      <c r="H905" s="2" t="s">
        <v>4363</v>
      </c>
    </row>
    <row r="906" spans="4:8" x14ac:dyDescent="0.35">
      <c r="D906" s="95" t="str">
        <f t="shared" si="14"/>
        <v/>
      </c>
      <c r="F906" s="2" t="s">
        <v>1895</v>
      </c>
      <c r="G906" s="2" t="s">
        <v>1896</v>
      </c>
      <c r="H906" s="2" t="s">
        <v>4363</v>
      </c>
    </row>
    <row r="907" spans="4:8" x14ac:dyDescent="0.35">
      <c r="D907" s="95" t="str">
        <f t="shared" si="14"/>
        <v/>
      </c>
      <c r="F907" s="2" t="s">
        <v>1897</v>
      </c>
      <c r="G907" s="2" t="s">
        <v>1898</v>
      </c>
      <c r="H907" s="2" t="s">
        <v>4363</v>
      </c>
    </row>
    <row r="908" spans="4:8" x14ac:dyDescent="0.35">
      <c r="D908" s="95" t="str">
        <f t="shared" si="14"/>
        <v/>
      </c>
      <c r="F908" s="2" t="s">
        <v>1899</v>
      </c>
      <c r="G908" s="2" t="s">
        <v>1900</v>
      </c>
      <c r="H908" s="2" t="s">
        <v>4363</v>
      </c>
    </row>
    <row r="909" spans="4:8" x14ac:dyDescent="0.35">
      <c r="D909" s="95" t="str">
        <f t="shared" si="14"/>
        <v/>
      </c>
      <c r="F909" s="2" t="s">
        <v>1901</v>
      </c>
      <c r="G909" s="2" t="s">
        <v>1902</v>
      </c>
      <c r="H909" s="2" t="s">
        <v>4363</v>
      </c>
    </row>
    <row r="910" spans="4:8" x14ac:dyDescent="0.35">
      <c r="D910" s="95" t="str">
        <f t="shared" si="14"/>
        <v/>
      </c>
      <c r="F910" s="2" t="s">
        <v>1903</v>
      </c>
      <c r="G910" s="2" t="s">
        <v>1904</v>
      </c>
      <c r="H910" s="2" t="s">
        <v>4363</v>
      </c>
    </row>
    <row r="911" spans="4:8" x14ac:dyDescent="0.35">
      <c r="D911" s="95" t="str">
        <f t="shared" si="14"/>
        <v/>
      </c>
      <c r="F911" s="2" t="s">
        <v>1905</v>
      </c>
      <c r="G911" s="2" t="s">
        <v>1906</v>
      </c>
      <c r="H911" s="2" t="s">
        <v>4363</v>
      </c>
    </row>
    <row r="912" spans="4:8" x14ac:dyDescent="0.35">
      <c r="D912" s="95" t="str">
        <f t="shared" si="14"/>
        <v/>
      </c>
      <c r="F912" s="2" t="s">
        <v>1907</v>
      </c>
      <c r="G912" s="2" t="s">
        <v>1908</v>
      </c>
      <c r="H912" s="2" t="s">
        <v>4363</v>
      </c>
    </row>
    <row r="913" spans="4:8" x14ac:dyDescent="0.35">
      <c r="D913" s="95" t="str">
        <f t="shared" si="14"/>
        <v/>
      </c>
      <c r="F913" s="2" t="s">
        <v>1909</v>
      </c>
      <c r="G913" s="2" t="s">
        <v>1910</v>
      </c>
      <c r="H913" s="2" t="s">
        <v>4363</v>
      </c>
    </row>
    <row r="914" spans="4:8" x14ac:dyDescent="0.35">
      <c r="D914" s="95" t="str">
        <f t="shared" si="14"/>
        <v/>
      </c>
      <c r="F914" s="2" t="s">
        <v>1911</v>
      </c>
      <c r="G914" s="2" t="s">
        <v>1912</v>
      </c>
      <c r="H914" s="2" t="s">
        <v>4363</v>
      </c>
    </row>
    <row r="915" spans="4:8" x14ac:dyDescent="0.35">
      <c r="D915" s="95" t="str">
        <f t="shared" si="14"/>
        <v/>
      </c>
      <c r="F915" s="2" t="s">
        <v>1913</v>
      </c>
      <c r="G915" s="2" t="s">
        <v>1914</v>
      </c>
      <c r="H915" s="2" t="s">
        <v>4363</v>
      </c>
    </row>
    <row r="916" spans="4:8" x14ac:dyDescent="0.35">
      <c r="D916" s="95" t="str">
        <f t="shared" si="14"/>
        <v/>
      </c>
      <c r="F916" s="2" t="s">
        <v>1915</v>
      </c>
      <c r="G916" s="2" t="s">
        <v>1916</v>
      </c>
      <c r="H916" s="2" t="s">
        <v>4363</v>
      </c>
    </row>
    <row r="917" spans="4:8" x14ac:dyDescent="0.35">
      <c r="D917" s="95" t="str">
        <f t="shared" si="14"/>
        <v/>
      </c>
      <c r="F917" s="2" t="s">
        <v>1917</v>
      </c>
      <c r="G917" s="2" t="s">
        <v>1918</v>
      </c>
      <c r="H917" s="2" t="s">
        <v>4363</v>
      </c>
    </row>
    <row r="918" spans="4:8" x14ac:dyDescent="0.35">
      <c r="D918" s="95" t="str">
        <f t="shared" si="14"/>
        <v/>
      </c>
      <c r="F918" s="2" t="s">
        <v>1919</v>
      </c>
      <c r="G918" s="2" t="s">
        <v>1920</v>
      </c>
      <c r="H918" s="2" t="s">
        <v>4363</v>
      </c>
    </row>
    <row r="919" spans="4:8" x14ac:dyDescent="0.35">
      <c r="D919" s="95" t="str">
        <f t="shared" si="14"/>
        <v/>
      </c>
      <c r="F919" s="2" t="s">
        <v>1921</v>
      </c>
      <c r="G919" s="2" t="s">
        <v>1922</v>
      </c>
      <c r="H919" s="2" t="s">
        <v>4363</v>
      </c>
    </row>
    <row r="920" spans="4:8" x14ac:dyDescent="0.35">
      <c r="D920" s="95" t="str">
        <f t="shared" si="14"/>
        <v/>
      </c>
      <c r="F920" s="2" t="s">
        <v>1923</v>
      </c>
      <c r="G920" s="2" t="s">
        <v>1924</v>
      </c>
      <c r="H920" s="2" t="s">
        <v>4363</v>
      </c>
    </row>
    <row r="921" spans="4:8" x14ac:dyDescent="0.35">
      <c r="D921" s="95" t="str">
        <f t="shared" si="14"/>
        <v/>
      </c>
      <c r="F921" s="2" t="s">
        <v>1925</v>
      </c>
      <c r="G921" s="2" t="s">
        <v>1926</v>
      </c>
      <c r="H921" s="2" t="s">
        <v>4363</v>
      </c>
    </row>
    <row r="922" spans="4:8" x14ac:dyDescent="0.35">
      <c r="D922" s="95" t="str">
        <f t="shared" si="14"/>
        <v/>
      </c>
      <c r="F922" s="2" t="s">
        <v>1927</v>
      </c>
      <c r="G922" s="2" t="s">
        <v>1928</v>
      </c>
      <c r="H922" s="2" t="s">
        <v>4363</v>
      </c>
    </row>
    <row r="923" spans="4:8" x14ac:dyDescent="0.35">
      <c r="D923" s="95" t="str">
        <f t="shared" si="14"/>
        <v/>
      </c>
      <c r="F923" s="2" t="s">
        <v>1929</v>
      </c>
      <c r="G923" s="2" t="s">
        <v>1930</v>
      </c>
      <c r="H923" s="2" t="s">
        <v>4363</v>
      </c>
    </row>
    <row r="924" spans="4:8" x14ac:dyDescent="0.35">
      <c r="D924" s="95" t="str">
        <f t="shared" si="14"/>
        <v/>
      </c>
      <c r="F924" s="2" t="s">
        <v>1931</v>
      </c>
      <c r="G924" s="2" t="s">
        <v>1932</v>
      </c>
      <c r="H924" s="2" t="s">
        <v>4363</v>
      </c>
    </row>
    <row r="925" spans="4:8" x14ac:dyDescent="0.35">
      <c r="D925" s="95" t="str">
        <f t="shared" si="14"/>
        <v/>
      </c>
      <c r="F925" s="2" t="s">
        <v>1933</v>
      </c>
      <c r="G925" s="2" t="s">
        <v>1934</v>
      </c>
      <c r="H925" s="2" t="s">
        <v>4363</v>
      </c>
    </row>
    <row r="926" spans="4:8" x14ac:dyDescent="0.35">
      <c r="D926" s="95" t="str">
        <f t="shared" si="14"/>
        <v/>
      </c>
      <c r="F926" s="2" t="s">
        <v>1935</v>
      </c>
      <c r="G926" s="2" t="s">
        <v>1936</v>
      </c>
      <c r="H926" s="2" t="s">
        <v>4363</v>
      </c>
    </row>
    <row r="927" spans="4:8" x14ac:dyDescent="0.35">
      <c r="D927" s="95" t="str">
        <f t="shared" si="14"/>
        <v/>
      </c>
      <c r="F927" s="2" t="s">
        <v>1937</v>
      </c>
      <c r="G927" s="2" t="s">
        <v>1938</v>
      </c>
      <c r="H927" s="2" t="s">
        <v>4363</v>
      </c>
    </row>
    <row r="928" spans="4:8" x14ac:dyDescent="0.35">
      <c r="D928" s="95" t="str">
        <f t="shared" si="14"/>
        <v/>
      </c>
      <c r="F928" s="2" t="s">
        <v>1939</v>
      </c>
      <c r="G928" s="2" t="s">
        <v>163</v>
      </c>
      <c r="H928" s="2" t="s">
        <v>4363</v>
      </c>
    </row>
    <row r="929" spans="4:8" x14ac:dyDescent="0.35">
      <c r="D929" s="95" t="str">
        <f t="shared" si="14"/>
        <v/>
      </c>
      <c r="F929" s="2" t="s">
        <v>1940</v>
      </c>
      <c r="G929" s="2" t="s">
        <v>1941</v>
      </c>
      <c r="H929" s="2" t="s">
        <v>4363</v>
      </c>
    </row>
    <row r="930" spans="4:8" x14ac:dyDescent="0.35">
      <c r="D930" s="95" t="str">
        <f t="shared" si="14"/>
        <v/>
      </c>
      <c r="F930" s="2" t="s">
        <v>1942</v>
      </c>
      <c r="G930" s="2" t="s">
        <v>1943</v>
      </c>
      <c r="H930" s="2" t="s">
        <v>4363</v>
      </c>
    </row>
    <row r="931" spans="4:8" x14ac:dyDescent="0.35">
      <c r="D931" s="95" t="str">
        <f t="shared" si="14"/>
        <v/>
      </c>
      <c r="F931" s="2" t="s">
        <v>1944</v>
      </c>
      <c r="G931" s="2" t="s">
        <v>1945</v>
      </c>
      <c r="H931" s="2" t="s">
        <v>4363</v>
      </c>
    </row>
    <row r="932" spans="4:8" x14ac:dyDescent="0.35">
      <c r="D932" s="95" t="str">
        <f t="shared" si="14"/>
        <v/>
      </c>
      <c r="F932" s="2" t="s">
        <v>1946</v>
      </c>
      <c r="G932" s="2" t="s">
        <v>1947</v>
      </c>
      <c r="H932" s="2" t="s">
        <v>4363</v>
      </c>
    </row>
    <row r="933" spans="4:8" x14ac:dyDescent="0.35">
      <c r="D933" s="95" t="str">
        <f t="shared" si="14"/>
        <v/>
      </c>
      <c r="F933" s="2" t="s">
        <v>1948</v>
      </c>
      <c r="G933" s="2" t="s">
        <v>1949</v>
      </c>
      <c r="H933" s="2" t="s">
        <v>4363</v>
      </c>
    </row>
    <row r="934" spans="4:8" x14ac:dyDescent="0.35">
      <c r="D934" s="95" t="str">
        <f t="shared" si="14"/>
        <v/>
      </c>
      <c r="F934" s="2" t="s">
        <v>1950</v>
      </c>
      <c r="G934" s="2" t="s">
        <v>1951</v>
      </c>
      <c r="H934" s="2" t="s">
        <v>4363</v>
      </c>
    </row>
    <row r="935" spans="4:8" x14ac:dyDescent="0.35">
      <c r="D935" s="95" t="str">
        <f t="shared" si="14"/>
        <v/>
      </c>
      <c r="F935" s="2" t="s">
        <v>1952</v>
      </c>
      <c r="G935" s="2" t="s">
        <v>1953</v>
      </c>
      <c r="H935" s="2" t="s">
        <v>4363</v>
      </c>
    </row>
    <row r="936" spans="4:8" x14ac:dyDescent="0.35">
      <c r="D936" s="95" t="str">
        <f t="shared" si="14"/>
        <v/>
      </c>
      <c r="F936" s="2" t="s">
        <v>1954</v>
      </c>
      <c r="G936" s="2" t="s">
        <v>1955</v>
      </c>
      <c r="H936" s="2" t="s">
        <v>4363</v>
      </c>
    </row>
    <row r="937" spans="4:8" x14ac:dyDescent="0.35">
      <c r="D937" s="95" t="str">
        <f t="shared" si="14"/>
        <v/>
      </c>
      <c r="F937" s="2" t="s">
        <v>1956</v>
      </c>
      <c r="G937" s="2" t="s">
        <v>1957</v>
      </c>
      <c r="H937" s="2" t="s">
        <v>4363</v>
      </c>
    </row>
    <row r="938" spans="4:8" x14ac:dyDescent="0.35">
      <c r="D938" s="95" t="str">
        <f t="shared" si="14"/>
        <v/>
      </c>
      <c r="F938" s="2" t="s">
        <v>1958</v>
      </c>
      <c r="G938" s="2" t="s">
        <v>1959</v>
      </c>
      <c r="H938" s="2" t="s">
        <v>4363</v>
      </c>
    </row>
    <row r="939" spans="4:8" x14ac:dyDescent="0.35">
      <c r="D939" s="95" t="str">
        <f t="shared" si="14"/>
        <v/>
      </c>
      <c r="F939" s="2" t="s">
        <v>1960</v>
      </c>
      <c r="G939" s="2" t="s">
        <v>1961</v>
      </c>
      <c r="H939" s="2" t="s">
        <v>4363</v>
      </c>
    </row>
    <row r="940" spans="4:8" x14ac:dyDescent="0.35">
      <c r="D940" s="95" t="str">
        <f t="shared" si="14"/>
        <v/>
      </c>
      <c r="F940" s="2" t="s">
        <v>1962</v>
      </c>
      <c r="G940" s="2" t="s">
        <v>166</v>
      </c>
      <c r="H940" s="2" t="s">
        <v>4363</v>
      </c>
    </row>
    <row r="941" spans="4:8" x14ac:dyDescent="0.35">
      <c r="D941" s="95" t="str">
        <f t="shared" si="14"/>
        <v/>
      </c>
      <c r="F941" s="2" t="s">
        <v>1963</v>
      </c>
      <c r="G941" s="2" t="s">
        <v>1964</v>
      </c>
      <c r="H941" s="2" t="s">
        <v>4363</v>
      </c>
    </row>
    <row r="942" spans="4:8" x14ac:dyDescent="0.35">
      <c r="D942" s="95" t="str">
        <f t="shared" si="14"/>
        <v/>
      </c>
      <c r="F942" s="2" t="s">
        <v>1965</v>
      </c>
      <c r="G942" s="2" t="s">
        <v>1966</v>
      </c>
      <c r="H942" s="2" t="s">
        <v>4363</v>
      </c>
    </row>
    <row r="943" spans="4:8" x14ac:dyDescent="0.35">
      <c r="D943" s="95" t="str">
        <f t="shared" si="14"/>
        <v/>
      </c>
      <c r="F943" s="2" t="s">
        <v>1967</v>
      </c>
      <c r="G943" s="2" t="s">
        <v>1968</v>
      </c>
      <c r="H943" s="2" t="s">
        <v>4363</v>
      </c>
    </row>
    <row r="944" spans="4:8" x14ac:dyDescent="0.35">
      <c r="D944" s="95" t="str">
        <f t="shared" si="14"/>
        <v/>
      </c>
      <c r="F944" s="2" t="s">
        <v>1969</v>
      </c>
      <c r="G944" s="2" t="s">
        <v>1970</v>
      </c>
      <c r="H944" s="2" t="s">
        <v>4363</v>
      </c>
    </row>
    <row r="945" spans="4:8" x14ac:dyDescent="0.35">
      <c r="D945" s="95" t="str">
        <f t="shared" si="14"/>
        <v/>
      </c>
      <c r="F945" s="2" t="s">
        <v>1971</v>
      </c>
      <c r="G945" s="2" t="s">
        <v>1972</v>
      </c>
      <c r="H945" s="2" t="s">
        <v>4363</v>
      </c>
    </row>
    <row r="946" spans="4:8" x14ac:dyDescent="0.35">
      <c r="D946" s="95" t="str">
        <f t="shared" si="14"/>
        <v/>
      </c>
      <c r="F946" s="2" t="s">
        <v>1973</v>
      </c>
      <c r="G946" s="2" t="s">
        <v>1974</v>
      </c>
      <c r="H946" s="2" t="s">
        <v>4363</v>
      </c>
    </row>
    <row r="947" spans="4:8" x14ac:dyDescent="0.35">
      <c r="D947" s="95" t="str">
        <f t="shared" si="14"/>
        <v/>
      </c>
      <c r="F947" s="2" t="s">
        <v>1975</v>
      </c>
      <c r="G947" s="2" t="s">
        <v>1976</v>
      </c>
      <c r="H947" s="2" t="s">
        <v>4363</v>
      </c>
    </row>
    <row r="948" spans="4:8" x14ac:dyDescent="0.35">
      <c r="D948" s="95" t="str">
        <f t="shared" si="14"/>
        <v/>
      </c>
      <c r="F948" s="2" t="s">
        <v>1977</v>
      </c>
      <c r="G948" s="2" t="s">
        <v>1978</v>
      </c>
      <c r="H948" s="2" t="s">
        <v>4363</v>
      </c>
    </row>
    <row r="949" spans="4:8" x14ac:dyDescent="0.35">
      <c r="D949" s="95" t="str">
        <f t="shared" si="14"/>
        <v/>
      </c>
      <c r="F949" s="2" t="s">
        <v>1979</v>
      </c>
      <c r="G949" s="2" t="s">
        <v>1980</v>
      </c>
      <c r="H949" s="2" t="s">
        <v>4363</v>
      </c>
    </row>
    <row r="950" spans="4:8" x14ac:dyDescent="0.35">
      <c r="D950" s="95" t="str">
        <f t="shared" si="14"/>
        <v/>
      </c>
      <c r="F950" s="2" t="s">
        <v>1981</v>
      </c>
      <c r="G950" s="2" t="s">
        <v>1982</v>
      </c>
      <c r="H950" s="2" t="s">
        <v>4363</v>
      </c>
    </row>
    <row r="951" spans="4:8" x14ac:dyDescent="0.35">
      <c r="D951" s="95" t="str">
        <f t="shared" si="14"/>
        <v/>
      </c>
      <c r="F951" s="2" t="s">
        <v>1983</v>
      </c>
      <c r="G951" s="2" t="s">
        <v>167</v>
      </c>
      <c r="H951" s="2" t="s">
        <v>4363</v>
      </c>
    </row>
    <row r="952" spans="4:8" x14ac:dyDescent="0.35">
      <c r="D952" s="95" t="str">
        <f t="shared" si="14"/>
        <v/>
      </c>
      <c r="F952" s="2" t="s">
        <v>1984</v>
      </c>
      <c r="G952" s="2" t="s">
        <v>1985</v>
      </c>
      <c r="H952" s="2" t="s">
        <v>4363</v>
      </c>
    </row>
    <row r="953" spans="4:8" x14ac:dyDescent="0.35">
      <c r="D953" s="95" t="str">
        <f t="shared" si="14"/>
        <v/>
      </c>
      <c r="F953" s="2" t="s">
        <v>1986</v>
      </c>
      <c r="G953" s="2" t="s">
        <v>1987</v>
      </c>
      <c r="H953" s="2" t="s">
        <v>4363</v>
      </c>
    </row>
    <row r="954" spans="4:8" x14ac:dyDescent="0.35">
      <c r="D954" s="95" t="str">
        <f t="shared" si="14"/>
        <v/>
      </c>
      <c r="F954" s="2" t="s">
        <v>1988</v>
      </c>
      <c r="G954" s="2" t="s">
        <v>1989</v>
      </c>
      <c r="H954" s="2" t="s">
        <v>4363</v>
      </c>
    </row>
    <row r="955" spans="4:8" x14ac:dyDescent="0.35">
      <c r="D955" s="95" t="str">
        <f t="shared" si="14"/>
        <v/>
      </c>
      <c r="F955" s="2" t="s">
        <v>1990</v>
      </c>
      <c r="G955" s="2" t="s">
        <v>149</v>
      </c>
      <c r="H955" s="2" t="s">
        <v>4363</v>
      </c>
    </row>
    <row r="956" spans="4:8" x14ac:dyDescent="0.35">
      <c r="D956" s="95" t="str">
        <f t="shared" si="14"/>
        <v/>
      </c>
      <c r="F956" s="2" t="s">
        <v>1991</v>
      </c>
      <c r="G956" s="2" t="s">
        <v>1992</v>
      </c>
      <c r="H956" s="2" t="s">
        <v>4363</v>
      </c>
    </row>
    <row r="957" spans="4:8" x14ac:dyDescent="0.35">
      <c r="D957" s="95" t="str">
        <f t="shared" si="14"/>
        <v/>
      </c>
      <c r="F957" s="2" t="s">
        <v>1993</v>
      </c>
      <c r="G957" s="2" t="s">
        <v>1994</v>
      </c>
      <c r="H957" s="2" t="s">
        <v>4363</v>
      </c>
    </row>
    <row r="958" spans="4:8" x14ac:dyDescent="0.35">
      <c r="D958" s="95" t="str">
        <f t="shared" si="14"/>
        <v/>
      </c>
      <c r="F958" s="2" t="s">
        <v>1995</v>
      </c>
      <c r="G958" s="2" t="s">
        <v>1996</v>
      </c>
      <c r="H958" s="2" t="s">
        <v>4363</v>
      </c>
    </row>
    <row r="959" spans="4:8" x14ac:dyDescent="0.35">
      <c r="D959" s="95" t="str">
        <f t="shared" si="14"/>
        <v/>
      </c>
      <c r="F959" s="2" t="s">
        <v>1997</v>
      </c>
      <c r="G959" s="2" t="s">
        <v>1998</v>
      </c>
      <c r="H959" s="2" t="s">
        <v>4363</v>
      </c>
    </row>
    <row r="960" spans="4:8" x14ac:dyDescent="0.35">
      <c r="D960" s="95" t="str">
        <f t="shared" si="14"/>
        <v/>
      </c>
      <c r="F960" s="2" t="s">
        <v>1999</v>
      </c>
      <c r="G960" s="2" t="s">
        <v>2000</v>
      </c>
      <c r="H960" s="2" t="s">
        <v>4363</v>
      </c>
    </row>
    <row r="961" spans="4:8" x14ac:dyDescent="0.35">
      <c r="D961" s="95" t="str">
        <f t="shared" si="14"/>
        <v/>
      </c>
      <c r="F961" s="2" t="s">
        <v>2001</v>
      </c>
      <c r="G961" s="2" t="s">
        <v>2002</v>
      </c>
      <c r="H961" s="2" t="s">
        <v>4363</v>
      </c>
    </row>
    <row r="962" spans="4:8" x14ac:dyDescent="0.35">
      <c r="D962" s="95" t="str">
        <f t="shared" si="14"/>
        <v/>
      </c>
      <c r="F962" s="2" t="s">
        <v>2003</v>
      </c>
      <c r="G962" s="2" t="s">
        <v>2004</v>
      </c>
      <c r="H962" s="2" t="s">
        <v>4363</v>
      </c>
    </row>
    <row r="963" spans="4:8" x14ac:dyDescent="0.35">
      <c r="D963" s="95" t="str">
        <f t="shared" si="14"/>
        <v/>
      </c>
      <c r="F963" s="2" t="s">
        <v>2005</v>
      </c>
      <c r="G963" s="2" t="s">
        <v>2006</v>
      </c>
      <c r="H963" s="2" t="s">
        <v>4363</v>
      </c>
    </row>
    <row r="964" spans="4:8" x14ac:dyDescent="0.35">
      <c r="D964" s="95" t="str">
        <f t="shared" si="14"/>
        <v/>
      </c>
      <c r="F964" s="2" t="s">
        <v>2007</v>
      </c>
      <c r="G964" s="2" t="s">
        <v>2008</v>
      </c>
      <c r="H964" s="2" t="s">
        <v>4363</v>
      </c>
    </row>
    <row r="965" spans="4:8" x14ac:dyDescent="0.35">
      <c r="D965" s="95" t="str">
        <f t="shared" si="14"/>
        <v/>
      </c>
      <c r="F965" s="2" t="s">
        <v>2009</v>
      </c>
      <c r="G965" s="2" t="s">
        <v>2010</v>
      </c>
      <c r="H965" s="2" t="s">
        <v>4363</v>
      </c>
    </row>
    <row r="966" spans="4:8" x14ac:dyDescent="0.35">
      <c r="D966" s="95" t="str">
        <f t="shared" si="14"/>
        <v/>
      </c>
      <c r="F966" s="2" t="s">
        <v>2011</v>
      </c>
      <c r="G966" s="2" t="s">
        <v>2012</v>
      </c>
      <c r="H966" s="2" t="s">
        <v>4363</v>
      </c>
    </row>
    <row r="967" spans="4:8" x14ac:dyDescent="0.35">
      <c r="D967" s="95" t="str">
        <f t="shared" si="14"/>
        <v/>
      </c>
      <c r="F967" s="2" t="s">
        <v>2013</v>
      </c>
      <c r="G967" s="2" t="s">
        <v>2014</v>
      </c>
      <c r="H967" s="2" t="s">
        <v>4363</v>
      </c>
    </row>
    <row r="968" spans="4:8" x14ac:dyDescent="0.35">
      <c r="D968" s="95" t="str">
        <f t="shared" ref="D968:D1031" si="15">IFERROR(INDEX($F$6:$G$1048576,MATCH($C968,$G$6:$G$1048576,0),MATCH($D$6,$F$6:$G$6,0)),"")</f>
        <v/>
      </c>
      <c r="F968" s="2" t="s">
        <v>2015</v>
      </c>
      <c r="G968" s="2" t="s">
        <v>2016</v>
      </c>
      <c r="H968" s="2" t="s">
        <v>4363</v>
      </c>
    </row>
    <row r="969" spans="4:8" x14ac:dyDescent="0.35">
      <c r="D969" s="95" t="str">
        <f t="shared" si="15"/>
        <v/>
      </c>
      <c r="F969" s="2" t="s">
        <v>2017</v>
      </c>
      <c r="G969" s="2" t="s">
        <v>2018</v>
      </c>
      <c r="H969" s="2" t="s">
        <v>4363</v>
      </c>
    </row>
    <row r="970" spans="4:8" x14ac:dyDescent="0.35">
      <c r="D970" s="95" t="str">
        <f t="shared" si="15"/>
        <v/>
      </c>
      <c r="F970" s="2" t="s">
        <v>2019</v>
      </c>
      <c r="G970" s="2" t="s">
        <v>2020</v>
      </c>
      <c r="H970" s="2" t="s">
        <v>4363</v>
      </c>
    </row>
    <row r="971" spans="4:8" x14ac:dyDescent="0.35">
      <c r="D971" s="95" t="str">
        <f t="shared" si="15"/>
        <v/>
      </c>
      <c r="F971" s="2" t="s">
        <v>2021</v>
      </c>
      <c r="G971" s="2" t="s">
        <v>2022</v>
      </c>
      <c r="H971" s="2" t="s">
        <v>4363</v>
      </c>
    </row>
    <row r="972" spans="4:8" x14ac:dyDescent="0.35">
      <c r="D972" s="95" t="str">
        <f t="shared" si="15"/>
        <v/>
      </c>
      <c r="F972" s="2" t="s">
        <v>2023</v>
      </c>
      <c r="G972" s="2" t="s">
        <v>2024</v>
      </c>
      <c r="H972" s="2" t="s">
        <v>4363</v>
      </c>
    </row>
    <row r="973" spans="4:8" x14ac:dyDescent="0.35">
      <c r="D973" s="95" t="str">
        <f t="shared" si="15"/>
        <v/>
      </c>
      <c r="F973" s="2" t="s">
        <v>2025</v>
      </c>
      <c r="G973" s="2" t="s">
        <v>2026</v>
      </c>
      <c r="H973" s="2" t="s">
        <v>4363</v>
      </c>
    </row>
    <row r="974" spans="4:8" x14ac:dyDescent="0.35">
      <c r="D974" s="95" t="str">
        <f t="shared" si="15"/>
        <v/>
      </c>
      <c r="F974" s="2" t="s">
        <v>2027</v>
      </c>
      <c r="G974" s="2" t="s">
        <v>2028</v>
      </c>
      <c r="H974" s="2" t="s">
        <v>4363</v>
      </c>
    </row>
    <row r="975" spans="4:8" x14ac:dyDescent="0.35">
      <c r="D975" s="95" t="str">
        <f t="shared" si="15"/>
        <v/>
      </c>
      <c r="F975" s="2" t="s">
        <v>2029</v>
      </c>
      <c r="G975" s="2" t="s">
        <v>2030</v>
      </c>
      <c r="H975" s="2" t="s">
        <v>4363</v>
      </c>
    </row>
    <row r="976" spans="4:8" x14ac:dyDescent="0.35">
      <c r="D976" s="95" t="str">
        <f t="shared" si="15"/>
        <v/>
      </c>
      <c r="F976" s="2" t="s">
        <v>2031</v>
      </c>
      <c r="G976" s="2" t="s">
        <v>2032</v>
      </c>
      <c r="H976" s="2" t="s">
        <v>4363</v>
      </c>
    </row>
    <row r="977" spans="4:8" x14ac:dyDescent="0.35">
      <c r="D977" s="95" t="str">
        <f t="shared" si="15"/>
        <v/>
      </c>
      <c r="F977" s="2" t="s">
        <v>2033</v>
      </c>
      <c r="G977" s="2" t="s">
        <v>2034</v>
      </c>
      <c r="H977" s="2" t="s">
        <v>4363</v>
      </c>
    </row>
    <row r="978" spans="4:8" x14ac:dyDescent="0.35">
      <c r="D978" s="95" t="str">
        <f t="shared" si="15"/>
        <v/>
      </c>
      <c r="F978" s="2" t="s">
        <v>2035</v>
      </c>
      <c r="G978" s="2" t="s">
        <v>84</v>
      </c>
      <c r="H978" s="2" t="s">
        <v>4363</v>
      </c>
    </row>
    <row r="979" spans="4:8" x14ac:dyDescent="0.35">
      <c r="D979" s="95" t="str">
        <f t="shared" si="15"/>
        <v/>
      </c>
      <c r="F979" s="2" t="s">
        <v>2036</v>
      </c>
      <c r="G979" s="2" t="s">
        <v>2037</v>
      </c>
      <c r="H979" s="2" t="s">
        <v>4363</v>
      </c>
    </row>
    <row r="980" spans="4:8" x14ac:dyDescent="0.35">
      <c r="D980" s="95" t="str">
        <f t="shared" si="15"/>
        <v/>
      </c>
      <c r="F980" s="2" t="s">
        <v>2038</v>
      </c>
      <c r="G980" s="2" t="s">
        <v>2039</v>
      </c>
      <c r="H980" s="2" t="s">
        <v>4363</v>
      </c>
    </row>
    <row r="981" spans="4:8" x14ac:dyDescent="0.35">
      <c r="D981" s="95" t="str">
        <f t="shared" si="15"/>
        <v/>
      </c>
      <c r="F981" s="2" t="s">
        <v>2040</v>
      </c>
      <c r="G981" s="2" t="s">
        <v>2041</v>
      </c>
      <c r="H981" s="2" t="s">
        <v>4363</v>
      </c>
    </row>
    <row r="982" spans="4:8" x14ac:dyDescent="0.35">
      <c r="D982" s="95" t="str">
        <f t="shared" si="15"/>
        <v/>
      </c>
      <c r="F982" s="2" t="s">
        <v>2042</v>
      </c>
      <c r="G982" s="2" t="s">
        <v>2043</v>
      </c>
      <c r="H982" s="2" t="s">
        <v>4363</v>
      </c>
    </row>
    <row r="983" spans="4:8" x14ac:dyDescent="0.35">
      <c r="D983" s="95" t="str">
        <f t="shared" si="15"/>
        <v/>
      </c>
      <c r="F983" s="2" t="s">
        <v>2044</v>
      </c>
      <c r="G983" s="2" t="s">
        <v>2045</v>
      </c>
      <c r="H983" s="2" t="s">
        <v>4363</v>
      </c>
    </row>
    <row r="984" spans="4:8" x14ac:dyDescent="0.35">
      <c r="D984" s="95" t="str">
        <f t="shared" si="15"/>
        <v/>
      </c>
      <c r="F984" s="2" t="s">
        <v>2046</v>
      </c>
      <c r="G984" s="2" t="s">
        <v>2047</v>
      </c>
      <c r="H984" s="2" t="s">
        <v>4363</v>
      </c>
    </row>
    <row r="985" spans="4:8" x14ac:dyDescent="0.35">
      <c r="D985" s="95" t="str">
        <f t="shared" si="15"/>
        <v/>
      </c>
      <c r="F985" s="2" t="s">
        <v>2048</v>
      </c>
      <c r="G985" s="2" t="s">
        <v>2049</v>
      </c>
      <c r="H985" s="2" t="s">
        <v>4363</v>
      </c>
    </row>
    <row r="986" spans="4:8" x14ac:dyDescent="0.35">
      <c r="D986" s="95" t="str">
        <f t="shared" si="15"/>
        <v/>
      </c>
      <c r="F986" s="2" t="s">
        <v>2050</v>
      </c>
      <c r="G986" s="2" t="s">
        <v>2051</v>
      </c>
      <c r="H986" s="2" t="s">
        <v>4363</v>
      </c>
    </row>
    <row r="987" spans="4:8" x14ac:dyDescent="0.35">
      <c r="D987" s="95" t="str">
        <f t="shared" si="15"/>
        <v/>
      </c>
      <c r="F987" s="2" t="s">
        <v>2052</v>
      </c>
      <c r="G987" s="2" t="s">
        <v>2053</v>
      </c>
      <c r="H987" s="2" t="s">
        <v>4363</v>
      </c>
    </row>
    <row r="988" spans="4:8" x14ac:dyDescent="0.35">
      <c r="D988" s="95" t="str">
        <f t="shared" si="15"/>
        <v/>
      </c>
      <c r="F988" s="2" t="s">
        <v>2054</v>
      </c>
      <c r="G988" s="2" t="s">
        <v>2055</v>
      </c>
      <c r="H988" s="2" t="s">
        <v>4363</v>
      </c>
    </row>
    <row r="989" spans="4:8" x14ac:dyDescent="0.35">
      <c r="D989" s="95" t="str">
        <f t="shared" si="15"/>
        <v/>
      </c>
      <c r="F989" s="2" t="s">
        <v>2056</v>
      </c>
      <c r="G989" s="2" t="s">
        <v>2057</v>
      </c>
      <c r="H989" s="2" t="s">
        <v>4363</v>
      </c>
    </row>
    <row r="990" spans="4:8" x14ac:dyDescent="0.35">
      <c r="D990" s="95" t="str">
        <f t="shared" si="15"/>
        <v/>
      </c>
      <c r="F990" s="2" t="s">
        <v>2058</v>
      </c>
      <c r="G990" s="2" t="s">
        <v>2059</v>
      </c>
      <c r="H990" s="2" t="s">
        <v>4363</v>
      </c>
    </row>
    <row r="991" spans="4:8" x14ac:dyDescent="0.35">
      <c r="D991" s="95" t="str">
        <f t="shared" si="15"/>
        <v/>
      </c>
      <c r="F991" s="2" t="s">
        <v>2060</v>
      </c>
      <c r="G991" s="2" t="s">
        <v>2061</v>
      </c>
      <c r="H991" s="2" t="s">
        <v>4363</v>
      </c>
    </row>
    <row r="992" spans="4:8" x14ac:dyDescent="0.35">
      <c r="D992" s="95" t="str">
        <f t="shared" si="15"/>
        <v/>
      </c>
      <c r="F992" s="2" t="s">
        <v>2062</v>
      </c>
      <c r="G992" s="2" t="s">
        <v>2063</v>
      </c>
      <c r="H992" s="2" t="s">
        <v>4363</v>
      </c>
    </row>
    <row r="993" spans="4:8" x14ac:dyDescent="0.35">
      <c r="D993" s="95" t="str">
        <f t="shared" si="15"/>
        <v/>
      </c>
      <c r="F993" s="2" t="s">
        <v>2064</v>
      </c>
      <c r="G993" s="2" t="s">
        <v>2065</v>
      </c>
      <c r="H993" s="2" t="s">
        <v>4363</v>
      </c>
    </row>
    <row r="994" spans="4:8" x14ac:dyDescent="0.35">
      <c r="D994" s="95" t="str">
        <f t="shared" si="15"/>
        <v/>
      </c>
      <c r="F994" s="2" t="s">
        <v>2066</v>
      </c>
      <c r="G994" s="2" t="s">
        <v>2067</v>
      </c>
      <c r="H994" s="2" t="s">
        <v>4363</v>
      </c>
    </row>
    <row r="995" spans="4:8" x14ac:dyDescent="0.35">
      <c r="D995" s="95" t="str">
        <f t="shared" si="15"/>
        <v/>
      </c>
      <c r="F995" s="2" t="s">
        <v>2068</v>
      </c>
      <c r="G995" s="2" t="s">
        <v>2069</v>
      </c>
      <c r="H995" s="2" t="s">
        <v>4363</v>
      </c>
    </row>
    <row r="996" spans="4:8" x14ac:dyDescent="0.35">
      <c r="D996" s="95" t="str">
        <f t="shared" si="15"/>
        <v/>
      </c>
      <c r="F996" s="2" t="s">
        <v>2070</v>
      </c>
      <c r="G996" s="2" t="s">
        <v>173</v>
      </c>
      <c r="H996" s="2" t="s">
        <v>4363</v>
      </c>
    </row>
    <row r="997" spans="4:8" x14ac:dyDescent="0.35">
      <c r="D997" s="95" t="str">
        <f t="shared" si="15"/>
        <v/>
      </c>
      <c r="F997" s="2" t="s">
        <v>2071</v>
      </c>
      <c r="G997" s="2" t="s">
        <v>2072</v>
      </c>
      <c r="H997" s="2" t="s">
        <v>4363</v>
      </c>
    </row>
    <row r="998" spans="4:8" x14ac:dyDescent="0.35">
      <c r="D998" s="95" t="str">
        <f t="shared" si="15"/>
        <v/>
      </c>
      <c r="F998" s="2" t="s">
        <v>2073</v>
      </c>
      <c r="G998" s="2" t="s">
        <v>2074</v>
      </c>
      <c r="H998" s="2" t="s">
        <v>4363</v>
      </c>
    </row>
    <row r="999" spans="4:8" x14ac:dyDescent="0.35">
      <c r="D999" s="95" t="str">
        <f t="shared" si="15"/>
        <v/>
      </c>
      <c r="F999" s="2" t="s">
        <v>2075</v>
      </c>
      <c r="G999" s="2" t="s">
        <v>2076</v>
      </c>
      <c r="H999" s="2" t="s">
        <v>4363</v>
      </c>
    </row>
    <row r="1000" spans="4:8" x14ac:dyDescent="0.35">
      <c r="D1000" s="95" t="str">
        <f t="shared" si="15"/>
        <v/>
      </c>
      <c r="F1000" s="2" t="s">
        <v>2077</v>
      </c>
      <c r="G1000" s="2" t="s">
        <v>2078</v>
      </c>
      <c r="H1000" s="2" t="s">
        <v>4363</v>
      </c>
    </row>
    <row r="1001" spans="4:8" x14ac:dyDescent="0.35">
      <c r="D1001" s="95" t="str">
        <f t="shared" si="15"/>
        <v/>
      </c>
      <c r="F1001" s="2" t="s">
        <v>2079</v>
      </c>
      <c r="G1001" s="2" t="s">
        <v>2080</v>
      </c>
      <c r="H1001" s="2" t="s">
        <v>4363</v>
      </c>
    </row>
    <row r="1002" spans="4:8" x14ac:dyDescent="0.35">
      <c r="D1002" s="95" t="str">
        <f t="shared" si="15"/>
        <v/>
      </c>
      <c r="F1002" s="2" t="s">
        <v>2081</v>
      </c>
      <c r="G1002" s="2" t="s">
        <v>2082</v>
      </c>
      <c r="H1002" s="2" t="s">
        <v>4363</v>
      </c>
    </row>
    <row r="1003" spans="4:8" x14ac:dyDescent="0.35">
      <c r="D1003" s="95" t="str">
        <f t="shared" si="15"/>
        <v/>
      </c>
      <c r="F1003" s="2" t="s">
        <v>2083</v>
      </c>
      <c r="G1003" s="2" t="s">
        <v>2084</v>
      </c>
      <c r="H1003" s="2" t="s">
        <v>4363</v>
      </c>
    </row>
    <row r="1004" spans="4:8" x14ac:dyDescent="0.35">
      <c r="D1004" s="95" t="str">
        <f t="shared" si="15"/>
        <v/>
      </c>
      <c r="F1004" s="2" t="s">
        <v>2085</v>
      </c>
      <c r="G1004" s="2" t="s">
        <v>2086</v>
      </c>
      <c r="H1004" s="2" t="s">
        <v>4363</v>
      </c>
    </row>
    <row r="1005" spans="4:8" x14ac:dyDescent="0.35">
      <c r="D1005" s="95" t="str">
        <f t="shared" si="15"/>
        <v/>
      </c>
      <c r="F1005" s="2" t="s">
        <v>2087</v>
      </c>
      <c r="G1005" s="2" t="s">
        <v>2088</v>
      </c>
      <c r="H1005" s="2" t="s">
        <v>4363</v>
      </c>
    </row>
    <row r="1006" spans="4:8" x14ac:dyDescent="0.35">
      <c r="D1006" s="95" t="str">
        <f t="shared" si="15"/>
        <v/>
      </c>
      <c r="F1006" s="2" t="s">
        <v>2089</v>
      </c>
      <c r="G1006" s="2" t="s">
        <v>2090</v>
      </c>
      <c r="H1006" s="2" t="s">
        <v>4363</v>
      </c>
    </row>
    <row r="1007" spans="4:8" x14ac:dyDescent="0.35">
      <c r="D1007" s="95" t="str">
        <f t="shared" si="15"/>
        <v/>
      </c>
      <c r="F1007" s="2" t="s">
        <v>2091</v>
      </c>
      <c r="G1007" s="2" t="s">
        <v>2092</v>
      </c>
      <c r="H1007" s="2" t="s">
        <v>4363</v>
      </c>
    </row>
    <row r="1008" spans="4:8" x14ac:dyDescent="0.35">
      <c r="D1008" s="95" t="str">
        <f t="shared" si="15"/>
        <v/>
      </c>
      <c r="F1008" s="2" t="s">
        <v>2093</v>
      </c>
      <c r="G1008" s="2" t="s">
        <v>2094</v>
      </c>
      <c r="H1008" s="2" t="s">
        <v>4363</v>
      </c>
    </row>
    <row r="1009" spans="4:8" x14ac:dyDescent="0.35">
      <c r="D1009" s="95" t="str">
        <f t="shared" si="15"/>
        <v/>
      </c>
      <c r="F1009" s="2" t="s">
        <v>2095</v>
      </c>
      <c r="G1009" s="2" t="s">
        <v>2096</v>
      </c>
      <c r="H1009" s="2" t="s">
        <v>4363</v>
      </c>
    </row>
    <row r="1010" spans="4:8" x14ac:dyDescent="0.35">
      <c r="D1010" s="95" t="str">
        <f t="shared" si="15"/>
        <v/>
      </c>
      <c r="F1010" s="2" t="s">
        <v>2097</v>
      </c>
      <c r="G1010" s="2" t="s">
        <v>2098</v>
      </c>
      <c r="H1010" s="2" t="s">
        <v>4363</v>
      </c>
    </row>
    <row r="1011" spans="4:8" x14ac:dyDescent="0.35">
      <c r="D1011" s="95" t="str">
        <f t="shared" si="15"/>
        <v/>
      </c>
      <c r="F1011" s="2" t="s">
        <v>2099</v>
      </c>
      <c r="G1011" s="2" t="s">
        <v>2100</v>
      </c>
      <c r="H1011" s="2" t="s">
        <v>4363</v>
      </c>
    </row>
    <row r="1012" spans="4:8" x14ac:dyDescent="0.35">
      <c r="D1012" s="95" t="str">
        <f t="shared" si="15"/>
        <v/>
      </c>
      <c r="F1012" s="2" t="s">
        <v>2101</v>
      </c>
      <c r="G1012" s="2" t="s">
        <v>2102</v>
      </c>
      <c r="H1012" s="2" t="s">
        <v>4363</v>
      </c>
    </row>
    <row r="1013" spans="4:8" x14ac:dyDescent="0.35">
      <c r="D1013" s="95" t="str">
        <f t="shared" si="15"/>
        <v/>
      </c>
      <c r="F1013" s="2" t="s">
        <v>2103</v>
      </c>
      <c r="G1013" s="2" t="s">
        <v>2104</v>
      </c>
      <c r="H1013" s="2" t="s">
        <v>4363</v>
      </c>
    </row>
    <row r="1014" spans="4:8" x14ac:dyDescent="0.35">
      <c r="D1014" s="95" t="str">
        <f t="shared" si="15"/>
        <v/>
      </c>
      <c r="F1014" s="2" t="s">
        <v>2105</v>
      </c>
      <c r="G1014" s="2" t="s">
        <v>2106</v>
      </c>
      <c r="H1014" s="2" t="s">
        <v>4363</v>
      </c>
    </row>
    <row r="1015" spans="4:8" x14ac:dyDescent="0.35">
      <c r="D1015" s="95" t="str">
        <f t="shared" si="15"/>
        <v/>
      </c>
      <c r="F1015" s="2" t="s">
        <v>2107</v>
      </c>
      <c r="G1015" s="2" t="s">
        <v>2108</v>
      </c>
      <c r="H1015" s="2" t="s">
        <v>4363</v>
      </c>
    </row>
    <row r="1016" spans="4:8" x14ac:dyDescent="0.35">
      <c r="D1016" s="95" t="str">
        <f t="shared" si="15"/>
        <v/>
      </c>
      <c r="F1016" s="2" t="s">
        <v>2109</v>
      </c>
      <c r="G1016" s="2" t="s">
        <v>2110</v>
      </c>
      <c r="H1016" s="2" t="s">
        <v>4363</v>
      </c>
    </row>
    <row r="1017" spans="4:8" x14ac:dyDescent="0.35">
      <c r="D1017" s="95" t="str">
        <f t="shared" si="15"/>
        <v/>
      </c>
      <c r="F1017" s="2" t="s">
        <v>2111</v>
      </c>
      <c r="G1017" s="2" t="s">
        <v>2112</v>
      </c>
      <c r="H1017" s="2" t="s">
        <v>4363</v>
      </c>
    </row>
    <row r="1018" spans="4:8" x14ac:dyDescent="0.35">
      <c r="D1018" s="95" t="str">
        <f t="shared" si="15"/>
        <v/>
      </c>
      <c r="F1018" s="2" t="s">
        <v>2113</v>
      </c>
      <c r="G1018" s="2" t="s">
        <v>2114</v>
      </c>
      <c r="H1018" s="2" t="s">
        <v>4363</v>
      </c>
    </row>
    <row r="1019" spans="4:8" x14ac:dyDescent="0.35">
      <c r="D1019" s="95" t="str">
        <f t="shared" si="15"/>
        <v/>
      </c>
      <c r="F1019" s="2" t="s">
        <v>2115</v>
      </c>
      <c r="G1019" s="2" t="s">
        <v>160</v>
      </c>
      <c r="H1019" s="2" t="s">
        <v>4363</v>
      </c>
    </row>
    <row r="1020" spans="4:8" x14ac:dyDescent="0.35">
      <c r="D1020" s="95" t="str">
        <f t="shared" si="15"/>
        <v/>
      </c>
      <c r="F1020" s="2" t="s">
        <v>2116</v>
      </c>
      <c r="G1020" s="2" t="s">
        <v>2117</v>
      </c>
      <c r="H1020" s="2" t="s">
        <v>4363</v>
      </c>
    </row>
    <row r="1021" spans="4:8" x14ac:dyDescent="0.35">
      <c r="D1021" s="95" t="str">
        <f t="shared" si="15"/>
        <v/>
      </c>
      <c r="F1021" s="2" t="s">
        <v>2118</v>
      </c>
      <c r="G1021" s="2" t="s">
        <v>2119</v>
      </c>
      <c r="H1021" s="2" t="s">
        <v>4363</v>
      </c>
    </row>
    <row r="1022" spans="4:8" x14ac:dyDescent="0.35">
      <c r="D1022" s="95" t="str">
        <f t="shared" si="15"/>
        <v/>
      </c>
      <c r="F1022" s="2" t="s">
        <v>2120</v>
      </c>
      <c r="G1022" s="2" t="s">
        <v>2121</v>
      </c>
      <c r="H1022" s="2" t="s">
        <v>4363</v>
      </c>
    </row>
    <row r="1023" spans="4:8" x14ac:dyDescent="0.35">
      <c r="D1023" s="95" t="str">
        <f t="shared" si="15"/>
        <v/>
      </c>
      <c r="F1023" s="2" t="s">
        <v>2122</v>
      </c>
      <c r="G1023" s="2" t="s">
        <v>2123</v>
      </c>
      <c r="H1023" s="2" t="s">
        <v>4363</v>
      </c>
    </row>
    <row r="1024" spans="4:8" x14ac:dyDescent="0.35">
      <c r="D1024" s="95" t="str">
        <f t="shared" si="15"/>
        <v/>
      </c>
      <c r="F1024" s="2" t="s">
        <v>2124</v>
      </c>
      <c r="G1024" s="2" t="s">
        <v>2125</v>
      </c>
      <c r="H1024" s="2" t="s">
        <v>4363</v>
      </c>
    </row>
    <row r="1025" spans="4:8" x14ac:dyDescent="0.35">
      <c r="D1025" s="95" t="str">
        <f t="shared" si="15"/>
        <v/>
      </c>
      <c r="F1025" s="2" t="s">
        <v>2126</v>
      </c>
      <c r="G1025" s="2" t="s">
        <v>2127</v>
      </c>
      <c r="H1025" s="2" t="s">
        <v>4363</v>
      </c>
    </row>
    <row r="1026" spans="4:8" x14ac:dyDescent="0.35">
      <c r="D1026" s="95" t="str">
        <f t="shared" si="15"/>
        <v/>
      </c>
      <c r="F1026" s="2" t="s">
        <v>2128</v>
      </c>
      <c r="G1026" s="2" t="s">
        <v>2129</v>
      </c>
      <c r="H1026" s="2" t="s">
        <v>4363</v>
      </c>
    </row>
    <row r="1027" spans="4:8" x14ac:dyDescent="0.35">
      <c r="D1027" s="95" t="str">
        <f t="shared" si="15"/>
        <v/>
      </c>
      <c r="F1027" s="2" t="s">
        <v>2130</v>
      </c>
      <c r="G1027" s="2" t="s">
        <v>2131</v>
      </c>
      <c r="H1027" s="2" t="s">
        <v>4363</v>
      </c>
    </row>
    <row r="1028" spans="4:8" x14ac:dyDescent="0.35">
      <c r="D1028" s="95" t="str">
        <f t="shared" si="15"/>
        <v/>
      </c>
      <c r="F1028" s="2" t="s">
        <v>2132</v>
      </c>
      <c r="G1028" s="2" t="s">
        <v>2133</v>
      </c>
      <c r="H1028" s="2" t="s">
        <v>4363</v>
      </c>
    </row>
    <row r="1029" spans="4:8" x14ac:dyDescent="0.35">
      <c r="D1029" s="95" t="str">
        <f t="shared" si="15"/>
        <v/>
      </c>
      <c r="F1029" s="2" t="s">
        <v>2134</v>
      </c>
      <c r="G1029" s="2" t="s">
        <v>2135</v>
      </c>
      <c r="H1029" s="2" t="s">
        <v>4363</v>
      </c>
    </row>
    <row r="1030" spans="4:8" x14ac:dyDescent="0.35">
      <c r="D1030" s="95" t="str">
        <f t="shared" si="15"/>
        <v/>
      </c>
      <c r="F1030" s="2" t="s">
        <v>2136</v>
      </c>
      <c r="G1030" s="2" t="s">
        <v>2137</v>
      </c>
      <c r="H1030" s="2" t="s">
        <v>4363</v>
      </c>
    </row>
    <row r="1031" spans="4:8" x14ac:dyDescent="0.35">
      <c r="D1031" s="95" t="str">
        <f t="shared" si="15"/>
        <v/>
      </c>
      <c r="F1031" s="2" t="s">
        <v>2138</v>
      </c>
      <c r="G1031" s="2" t="s">
        <v>2139</v>
      </c>
      <c r="H1031" s="2" t="s">
        <v>4363</v>
      </c>
    </row>
    <row r="1032" spans="4:8" x14ac:dyDescent="0.35">
      <c r="D1032" s="95" t="str">
        <f t="shared" ref="D1032:D1095" si="16">IFERROR(INDEX($F$6:$G$1048576,MATCH($C1032,$G$6:$G$1048576,0),MATCH($D$6,$F$6:$G$6,0)),"")</f>
        <v/>
      </c>
      <c r="F1032" s="2" t="s">
        <v>2140</v>
      </c>
      <c r="G1032" s="2" t="s">
        <v>2141</v>
      </c>
      <c r="H1032" s="2" t="s">
        <v>4363</v>
      </c>
    </row>
    <row r="1033" spans="4:8" x14ac:dyDescent="0.35">
      <c r="D1033" s="95" t="str">
        <f t="shared" si="16"/>
        <v/>
      </c>
      <c r="F1033" s="2" t="s">
        <v>2142</v>
      </c>
      <c r="G1033" s="2" t="s">
        <v>2143</v>
      </c>
      <c r="H1033" s="2" t="s">
        <v>4363</v>
      </c>
    </row>
    <row r="1034" spans="4:8" x14ac:dyDescent="0.35">
      <c r="D1034" s="95" t="str">
        <f t="shared" si="16"/>
        <v/>
      </c>
      <c r="F1034" s="2" t="s">
        <v>2144</v>
      </c>
      <c r="G1034" s="2" t="s">
        <v>86</v>
      </c>
      <c r="H1034" s="2" t="s">
        <v>4363</v>
      </c>
    </row>
    <row r="1035" spans="4:8" x14ac:dyDescent="0.35">
      <c r="D1035" s="95" t="str">
        <f t="shared" si="16"/>
        <v/>
      </c>
      <c r="F1035" s="2" t="s">
        <v>2145</v>
      </c>
      <c r="G1035" s="2" t="s">
        <v>2146</v>
      </c>
      <c r="H1035" s="2" t="s">
        <v>4363</v>
      </c>
    </row>
    <row r="1036" spans="4:8" x14ac:dyDescent="0.35">
      <c r="D1036" s="95" t="str">
        <f t="shared" si="16"/>
        <v/>
      </c>
      <c r="F1036" s="2" t="s">
        <v>2147</v>
      </c>
      <c r="G1036" s="2" t="s">
        <v>2148</v>
      </c>
      <c r="H1036" s="2" t="s">
        <v>4363</v>
      </c>
    </row>
    <row r="1037" spans="4:8" x14ac:dyDescent="0.35">
      <c r="D1037" s="95" t="str">
        <f t="shared" si="16"/>
        <v/>
      </c>
      <c r="F1037" s="2" t="s">
        <v>2149</v>
      </c>
      <c r="G1037" s="2" t="s">
        <v>2150</v>
      </c>
      <c r="H1037" s="2" t="s">
        <v>4363</v>
      </c>
    </row>
    <row r="1038" spans="4:8" x14ac:dyDescent="0.35">
      <c r="D1038" s="95" t="str">
        <f t="shared" si="16"/>
        <v/>
      </c>
      <c r="F1038" s="2" t="s">
        <v>2151</v>
      </c>
      <c r="G1038" s="2" t="s">
        <v>2152</v>
      </c>
      <c r="H1038" s="2" t="s">
        <v>4363</v>
      </c>
    </row>
    <row r="1039" spans="4:8" x14ac:dyDescent="0.35">
      <c r="D1039" s="95" t="str">
        <f t="shared" si="16"/>
        <v/>
      </c>
      <c r="F1039" s="2" t="s">
        <v>2153</v>
      </c>
      <c r="G1039" s="2" t="s">
        <v>2154</v>
      </c>
      <c r="H1039" s="2" t="s">
        <v>4363</v>
      </c>
    </row>
    <row r="1040" spans="4:8" x14ac:dyDescent="0.35">
      <c r="D1040" s="95" t="str">
        <f t="shared" si="16"/>
        <v/>
      </c>
      <c r="F1040" s="2" t="s">
        <v>2155</v>
      </c>
      <c r="G1040" s="2" t="s">
        <v>2156</v>
      </c>
      <c r="H1040" s="2" t="s">
        <v>4363</v>
      </c>
    </row>
    <row r="1041" spans="4:8" x14ac:dyDescent="0.35">
      <c r="D1041" s="95" t="str">
        <f t="shared" si="16"/>
        <v/>
      </c>
      <c r="F1041" s="2" t="s">
        <v>2157</v>
      </c>
      <c r="G1041" s="2" t="s">
        <v>2158</v>
      </c>
      <c r="H1041" s="2" t="s">
        <v>4363</v>
      </c>
    </row>
    <row r="1042" spans="4:8" x14ac:dyDescent="0.35">
      <c r="D1042" s="95" t="str">
        <f t="shared" si="16"/>
        <v/>
      </c>
      <c r="F1042" s="2" t="s">
        <v>2159</v>
      </c>
      <c r="G1042" s="2" t="s">
        <v>2160</v>
      </c>
      <c r="H1042" s="2" t="s">
        <v>4363</v>
      </c>
    </row>
    <row r="1043" spans="4:8" x14ac:dyDescent="0.35">
      <c r="D1043" s="95" t="str">
        <f t="shared" si="16"/>
        <v/>
      </c>
      <c r="F1043" s="2" t="s">
        <v>2161</v>
      </c>
      <c r="G1043" s="2" t="s">
        <v>2162</v>
      </c>
      <c r="H1043" s="2" t="s">
        <v>4363</v>
      </c>
    </row>
    <row r="1044" spans="4:8" x14ac:dyDescent="0.35">
      <c r="D1044" s="95" t="str">
        <f t="shared" si="16"/>
        <v/>
      </c>
      <c r="F1044" s="2" t="s">
        <v>2163</v>
      </c>
      <c r="G1044" s="2" t="s">
        <v>2164</v>
      </c>
      <c r="H1044" s="2" t="s">
        <v>4363</v>
      </c>
    </row>
    <row r="1045" spans="4:8" x14ac:dyDescent="0.35">
      <c r="D1045" s="95" t="str">
        <f t="shared" si="16"/>
        <v/>
      </c>
      <c r="F1045" s="2" t="s">
        <v>2165</v>
      </c>
      <c r="G1045" s="2" t="s">
        <v>2166</v>
      </c>
      <c r="H1045" s="2" t="s">
        <v>4363</v>
      </c>
    </row>
    <row r="1046" spans="4:8" x14ac:dyDescent="0.35">
      <c r="D1046" s="95" t="str">
        <f t="shared" si="16"/>
        <v/>
      </c>
      <c r="F1046" s="2" t="s">
        <v>2167</v>
      </c>
      <c r="G1046" s="2" t="s">
        <v>2168</v>
      </c>
      <c r="H1046" s="2" t="s">
        <v>4363</v>
      </c>
    </row>
    <row r="1047" spans="4:8" x14ac:dyDescent="0.35">
      <c r="D1047" s="95" t="str">
        <f t="shared" si="16"/>
        <v/>
      </c>
      <c r="F1047" s="2" t="s">
        <v>2169</v>
      </c>
      <c r="G1047" s="2" t="s">
        <v>2170</v>
      </c>
      <c r="H1047" s="2" t="s">
        <v>4363</v>
      </c>
    </row>
    <row r="1048" spans="4:8" x14ac:dyDescent="0.35">
      <c r="D1048" s="95" t="str">
        <f t="shared" si="16"/>
        <v/>
      </c>
      <c r="F1048" s="2" t="s">
        <v>2171</v>
      </c>
      <c r="G1048" s="2" t="s">
        <v>2172</v>
      </c>
      <c r="H1048" s="2" t="s">
        <v>4363</v>
      </c>
    </row>
    <row r="1049" spans="4:8" x14ac:dyDescent="0.35">
      <c r="D1049" s="95" t="str">
        <f t="shared" si="16"/>
        <v/>
      </c>
      <c r="F1049" s="2" t="s">
        <v>2173</v>
      </c>
      <c r="G1049" s="2" t="s">
        <v>2174</v>
      </c>
      <c r="H1049" s="2" t="s">
        <v>4363</v>
      </c>
    </row>
    <row r="1050" spans="4:8" x14ac:dyDescent="0.35">
      <c r="D1050" s="95" t="str">
        <f t="shared" si="16"/>
        <v/>
      </c>
      <c r="F1050" s="2" t="s">
        <v>2175</v>
      </c>
      <c r="G1050" s="2" t="s">
        <v>2176</v>
      </c>
      <c r="H1050" s="2" t="s">
        <v>4363</v>
      </c>
    </row>
    <row r="1051" spans="4:8" x14ac:dyDescent="0.35">
      <c r="D1051" s="95" t="str">
        <f t="shared" si="16"/>
        <v/>
      </c>
      <c r="F1051" s="2" t="s">
        <v>2177</v>
      </c>
      <c r="G1051" s="2" t="s">
        <v>2178</v>
      </c>
      <c r="H1051" s="2" t="s">
        <v>4363</v>
      </c>
    </row>
    <row r="1052" spans="4:8" x14ac:dyDescent="0.35">
      <c r="D1052" s="95" t="str">
        <f t="shared" si="16"/>
        <v/>
      </c>
      <c r="F1052" s="2" t="s">
        <v>2179</v>
      </c>
      <c r="G1052" s="2" t="s">
        <v>2180</v>
      </c>
      <c r="H1052" s="2" t="s">
        <v>4363</v>
      </c>
    </row>
    <row r="1053" spans="4:8" x14ac:dyDescent="0.35">
      <c r="D1053" s="95" t="str">
        <f t="shared" si="16"/>
        <v/>
      </c>
      <c r="F1053" s="2" t="s">
        <v>2181</v>
      </c>
      <c r="G1053" s="2" t="s">
        <v>2182</v>
      </c>
      <c r="H1053" s="2" t="s">
        <v>4363</v>
      </c>
    </row>
    <row r="1054" spans="4:8" x14ac:dyDescent="0.35">
      <c r="D1054" s="95" t="str">
        <f t="shared" si="16"/>
        <v/>
      </c>
      <c r="F1054" s="2" t="s">
        <v>2183</v>
      </c>
      <c r="G1054" s="2" t="s">
        <v>2184</v>
      </c>
      <c r="H1054" s="2" t="s">
        <v>4363</v>
      </c>
    </row>
    <row r="1055" spans="4:8" x14ac:dyDescent="0.35">
      <c r="D1055" s="95" t="str">
        <f t="shared" si="16"/>
        <v/>
      </c>
      <c r="F1055" s="2" t="s">
        <v>2185</v>
      </c>
      <c r="G1055" s="2" t="s">
        <v>2186</v>
      </c>
      <c r="H1055" s="2" t="s">
        <v>4363</v>
      </c>
    </row>
    <row r="1056" spans="4:8" x14ac:dyDescent="0.35">
      <c r="D1056" s="95" t="str">
        <f t="shared" si="16"/>
        <v/>
      </c>
      <c r="F1056" s="2" t="s">
        <v>2187</v>
      </c>
      <c r="G1056" s="2" t="s">
        <v>2188</v>
      </c>
      <c r="H1056" s="2" t="s">
        <v>4363</v>
      </c>
    </row>
    <row r="1057" spans="4:8" x14ac:dyDescent="0.35">
      <c r="D1057" s="95" t="str">
        <f t="shared" si="16"/>
        <v/>
      </c>
      <c r="F1057" s="2" t="s">
        <v>2189</v>
      </c>
      <c r="G1057" s="2" t="s">
        <v>2190</v>
      </c>
      <c r="H1057" s="2" t="s">
        <v>4363</v>
      </c>
    </row>
    <row r="1058" spans="4:8" x14ac:dyDescent="0.35">
      <c r="D1058" s="95" t="str">
        <f t="shared" si="16"/>
        <v/>
      </c>
      <c r="F1058" s="2" t="s">
        <v>2191</v>
      </c>
      <c r="G1058" s="2" t="s">
        <v>2192</v>
      </c>
      <c r="H1058" s="2" t="s">
        <v>4363</v>
      </c>
    </row>
    <row r="1059" spans="4:8" x14ac:dyDescent="0.35">
      <c r="D1059" s="95" t="str">
        <f t="shared" si="16"/>
        <v/>
      </c>
      <c r="F1059" s="2" t="s">
        <v>2193</v>
      </c>
      <c r="G1059" s="2" t="s">
        <v>2194</v>
      </c>
      <c r="H1059" s="2" t="s">
        <v>4363</v>
      </c>
    </row>
    <row r="1060" spans="4:8" x14ac:dyDescent="0.35">
      <c r="D1060" s="95" t="str">
        <f t="shared" si="16"/>
        <v/>
      </c>
      <c r="F1060" s="2" t="s">
        <v>2195</v>
      </c>
      <c r="G1060" s="2" t="s">
        <v>2196</v>
      </c>
      <c r="H1060" s="2" t="s">
        <v>4363</v>
      </c>
    </row>
    <row r="1061" spans="4:8" x14ac:dyDescent="0.35">
      <c r="D1061" s="95" t="str">
        <f t="shared" si="16"/>
        <v/>
      </c>
      <c r="F1061" s="2" t="s">
        <v>2197</v>
      </c>
      <c r="G1061" s="2" t="s">
        <v>168</v>
      </c>
      <c r="H1061" s="2" t="s">
        <v>4363</v>
      </c>
    </row>
    <row r="1062" spans="4:8" x14ac:dyDescent="0.35">
      <c r="D1062" s="95" t="str">
        <f t="shared" si="16"/>
        <v/>
      </c>
      <c r="F1062" s="2" t="s">
        <v>2198</v>
      </c>
      <c r="G1062" s="2" t="s">
        <v>2199</v>
      </c>
      <c r="H1062" s="2" t="s">
        <v>4363</v>
      </c>
    </row>
    <row r="1063" spans="4:8" x14ac:dyDescent="0.35">
      <c r="D1063" s="95" t="str">
        <f t="shared" si="16"/>
        <v/>
      </c>
      <c r="F1063" s="2" t="s">
        <v>2200</v>
      </c>
      <c r="G1063" s="2" t="s">
        <v>2201</v>
      </c>
      <c r="H1063" s="2" t="s">
        <v>4363</v>
      </c>
    </row>
    <row r="1064" spans="4:8" x14ac:dyDescent="0.35">
      <c r="D1064" s="95" t="str">
        <f t="shared" si="16"/>
        <v/>
      </c>
      <c r="F1064" s="2" t="s">
        <v>2202</v>
      </c>
      <c r="G1064" s="2" t="s">
        <v>2203</v>
      </c>
      <c r="H1064" s="2" t="s">
        <v>4363</v>
      </c>
    </row>
    <row r="1065" spans="4:8" x14ac:dyDescent="0.35">
      <c r="D1065" s="95" t="str">
        <f t="shared" si="16"/>
        <v/>
      </c>
      <c r="F1065" s="2" t="s">
        <v>2204</v>
      </c>
      <c r="G1065" s="2" t="s">
        <v>2205</v>
      </c>
      <c r="H1065" s="2" t="s">
        <v>4363</v>
      </c>
    </row>
    <row r="1066" spans="4:8" x14ac:dyDescent="0.35">
      <c r="D1066" s="95" t="str">
        <f t="shared" si="16"/>
        <v/>
      </c>
      <c r="F1066" s="2" t="s">
        <v>2206</v>
      </c>
      <c r="G1066" s="2" t="s">
        <v>2207</v>
      </c>
      <c r="H1066" s="2" t="s">
        <v>4363</v>
      </c>
    </row>
    <row r="1067" spans="4:8" x14ac:dyDescent="0.35">
      <c r="D1067" s="95" t="str">
        <f t="shared" si="16"/>
        <v/>
      </c>
      <c r="F1067" s="2" t="s">
        <v>2208</v>
      </c>
      <c r="G1067" s="2" t="s">
        <v>2209</v>
      </c>
      <c r="H1067" s="2" t="s">
        <v>4363</v>
      </c>
    </row>
    <row r="1068" spans="4:8" x14ac:dyDescent="0.35">
      <c r="D1068" s="95" t="str">
        <f t="shared" si="16"/>
        <v/>
      </c>
      <c r="F1068" s="2" t="s">
        <v>2210</v>
      </c>
      <c r="G1068" s="2" t="s">
        <v>2211</v>
      </c>
      <c r="H1068" s="2" t="s">
        <v>4363</v>
      </c>
    </row>
    <row r="1069" spans="4:8" x14ac:dyDescent="0.35">
      <c r="D1069" s="95" t="str">
        <f t="shared" si="16"/>
        <v/>
      </c>
      <c r="F1069" s="2" t="s">
        <v>2212</v>
      </c>
      <c r="G1069" s="2" t="s">
        <v>2213</v>
      </c>
      <c r="H1069" s="2" t="s">
        <v>4363</v>
      </c>
    </row>
    <row r="1070" spans="4:8" x14ac:dyDescent="0.35">
      <c r="D1070" s="95" t="str">
        <f t="shared" si="16"/>
        <v/>
      </c>
      <c r="F1070" s="2" t="s">
        <v>2214</v>
      </c>
      <c r="G1070" s="2" t="s">
        <v>2215</v>
      </c>
      <c r="H1070" s="2" t="s">
        <v>4363</v>
      </c>
    </row>
    <row r="1071" spans="4:8" x14ac:dyDescent="0.35">
      <c r="D1071" s="95" t="str">
        <f t="shared" si="16"/>
        <v/>
      </c>
      <c r="F1071" s="2" t="s">
        <v>2216</v>
      </c>
      <c r="G1071" s="2" t="s">
        <v>2217</v>
      </c>
      <c r="H1071" s="2" t="s">
        <v>4363</v>
      </c>
    </row>
    <row r="1072" spans="4:8" x14ac:dyDescent="0.35">
      <c r="D1072" s="95" t="str">
        <f t="shared" si="16"/>
        <v/>
      </c>
      <c r="F1072" s="2" t="s">
        <v>2218</v>
      </c>
      <c r="G1072" s="2" t="s">
        <v>2219</v>
      </c>
      <c r="H1072" s="2" t="s">
        <v>4363</v>
      </c>
    </row>
    <row r="1073" spans="4:8" x14ac:dyDescent="0.35">
      <c r="D1073" s="95" t="str">
        <f t="shared" si="16"/>
        <v/>
      </c>
      <c r="F1073" s="2" t="s">
        <v>2220</v>
      </c>
      <c r="G1073" s="2" t="s">
        <v>2221</v>
      </c>
      <c r="H1073" s="2" t="s">
        <v>4363</v>
      </c>
    </row>
    <row r="1074" spans="4:8" x14ac:dyDescent="0.35">
      <c r="D1074" s="95" t="str">
        <f t="shared" si="16"/>
        <v/>
      </c>
      <c r="F1074" s="2" t="s">
        <v>2222</v>
      </c>
      <c r="G1074" s="2" t="s">
        <v>156</v>
      </c>
      <c r="H1074" s="2" t="s">
        <v>4363</v>
      </c>
    </row>
    <row r="1075" spans="4:8" x14ac:dyDescent="0.35">
      <c r="D1075" s="95" t="str">
        <f t="shared" si="16"/>
        <v/>
      </c>
      <c r="F1075" s="2" t="s">
        <v>2223</v>
      </c>
      <c r="G1075" s="2" t="s">
        <v>2224</v>
      </c>
      <c r="H1075" s="2" t="s">
        <v>4363</v>
      </c>
    </row>
    <row r="1076" spans="4:8" x14ac:dyDescent="0.35">
      <c r="D1076" s="95" t="str">
        <f t="shared" si="16"/>
        <v/>
      </c>
      <c r="F1076" s="2" t="s">
        <v>2225</v>
      </c>
      <c r="G1076" s="2" t="s">
        <v>2226</v>
      </c>
      <c r="H1076" s="2" t="s">
        <v>4363</v>
      </c>
    </row>
    <row r="1077" spans="4:8" x14ac:dyDescent="0.35">
      <c r="D1077" s="95" t="str">
        <f t="shared" si="16"/>
        <v/>
      </c>
      <c r="F1077" s="2" t="s">
        <v>2227</v>
      </c>
      <c r="G1077" s="2" t="s">
        <v>2228</v>
      </c>
      <c r="H1077" s="2" t="s">
        <v>4363</v>
      </c>
    </row>
    <row r="1078" spans="4:8" x14ac:dyDescent="0.35">
      <c r="D1078" s="95" t="str">
        <f t="shared" si="16"/>
        <v/>
      </c>
      <c r="F1078" s="2" t="s">
        <v>2229</v>
      </c>
      <c r="G1078" s="2" t="s">
        <v>2230</v>
      </c>
      <c r="H1078" s="2" t="s">
        <v>4363</v>
      </c>
    </row>
    <row r="1079" spans="4:8" x14ac:dyDescent="0.35">
      <c r="D1079" s="95" t="str">
        <f t="shared" si="16"/>
        <v/>
      </c>
      <c r="F1079" s="2" t="s">
        <v>2231</v>
      </c>
      <c r="G1079" s="2" t="s">
        <v>2232</v>
      </c>
      <c r="H1079" s="2" t="s">
        <v>4363</v>
      </c>
    </row>
    <row r="1080" spans="4:8" x14ac:dyDescent="0.35">
      <c r="D1080" s="95" t="str">
        <f t="shared" si="16"/>
        <v/>
      </c>
      <c r="F1080" s="2" t="s">
        <v>2233</v>
      </c>
      <c r="G1080" s="2" t="s">
        <v>2234</v>
      </c>
      <c r="H1080" s="2" t="s">
        <v>4363</v>
      </c>
    </row>
    <row r="1081" spans="4:8" x14ac:dyDescent="0.35">
      <c r="D1081" s="95" t="str">
        <f t="shared" si="16"/>
        <v/>
      </c>
      <c r="F1081" s="2" t="s">
        <v>2235</v>
      </c>
      <c r="G1081" s="2" t="s">
        <v>2236</v>
      </c>
      <c r="H1081" s="2" t="s">
        <v>4363</v>
      </c>
    </row>
    <row r="1082" spans="4:8" x14ac:dyDescent="0.35">
      <c r="D1082" s="95" t="str">
        <f t="shared" si="16"/>
        <v/>
      </c>
      <c r="F1082" s="2" t="s">
        <v>2237</v>
      </c>
      <c r="G1082" s="2" t="s">
        <v>2238</v>
      </c>
      <c r="H1082" s="2" t="s">
        <v>4363</v>
      </c>
    </row>
    <row r="1083" spans="4:8" x14ac:dyDescent="0.35">
      <c r="D1083" s="95" t="str">
        <f t="shared" si="16"/>
        <v/>
      </c>
      <c r="F1083" s="2" t="s">
        <v>2239</v>
      </c>
      <c r="G1083" s="2" t="s">
        <v>2240</v>
      </c>
      <c r="H1083" s="2" t="s">
        <v>4363</v>
      </c>
    </row>
    <row r="1084" spans="4:8" x14ac:dyDescent="0.35">
      <c r="D1084" s="95" t="str">
        <f t="shared" si="16"/>
        <v/>
      </c>
      <c r="F1084" s="2" t="s">
        <v>2241</v>
      </c>
      <c r="G1084" s="2" t="s">
        <v>2242</v>
      </c>
      <c r="H1084" s="2" t="s">
        <v>4363</v>
      </c>
    </row>
    <row r="1085" spans="4:8" x14ac:dyDescent="0.35">
      <c r="D1085" s="95" t="str">
        <f t="shared" si="16"/>
        <v/>
      </c>
      <c r="F1085" s="2" t="s">
        <v>2243</v>
      </c>
      <c r="G1085" s="2" t="s">
        <v>2244</v>
      </c>
      <c r="H1085" s="2" t="s">
        <v>4363</v>
      </c>
    </row>
    <row r="1086" spans="4:8" x14ac:dyDescent="0.35">
      <c r="D1086" s="95" t="str">
        <f t="shared" si="16"/>
        <v/>
      </c>
      <c r="F1086" s="2" t="s">
        <v>2245</v>
      </c>
      <c r="G1086" s="2" t="s">
        <v>2246</v>
      </c>
      <c r="H1086" s="2" t="s">
        <v>4363</v>
      </c>
    </row>
    <row r="1087" spans="4:8" x14ac:dyDescent="0.35">
      <c r="D1087" s="95" t="str">
        <f t="shared" si="16"/>
        <v/>
      </c>
      <c r="F1087" s="2" t="s">
        <v>2247</v>
      </c>
      <c r="G1087" s="2" t="s">
        <v>2248</v>
      </c>
      <c r="H1087" s="2" t="s">
        <v>4363</v>
      </c>
    </row>
    <row r="1088" spans="4:8" x14ac:dyDescent="0.35">
      <c r="D1088" s="95" t="str">
        <f t="shared" si="16"/>
        <v/>
      </c>
      <c r="F1088" s="2" t="s">
        <v>2249</v>
      </c>
      <c r="G1088" s="2" t="s">
        <v>2250</v>
      </c>
      <c r="H1088" s="2" t="s">
        <v>4363</v>
      </c>
    </row>
    <row r="1089" spans="4:8" x14ac:dyDescent="0.35">
      <c r="D1089" s="95" t="str">
        <f t="shared" si="16"/>
        <v/>
      </c>
      <c r="F1089" s="2" t="s">
        <v>2251</v>
      </c>
      <c r="G1089" s="2" t="s">
        <v>2252</v>
      </c>
      <c r="H1089" s="2" t="s">
        <v>4363</v>
      </c>
    </row>
    <row r="1090" spans="4:8" x14ac:dyDescent="0.35">
      <c r="D1090" s="95" t="str">
        <f t="shared" si="16"/>
        <v/>
      </c>
      <c r="F1090" s="2" t="s">
        <v>2253</v>
      </c>
      <c r="G1090" s="2" t="s">
        <v>2254</v>
      </c>
      <c r="H1090" s="2" t="s">
        <v>4363</v>
      </c>
    </row>
    <row r="1091" spans="4:8" x14ac:dyDescent="0.35">
      <c r="D1091" s="95" t="str">
        <f t="shared" si="16"/>
        <v/>
      </c>
      <c r="F1091" s="2" t="s">
        <v>2255</v>
      </c>
      <c r="G1091" s="2" t="s">
        <v>2256</v>
      </c>
      <c r="H1091" s="2" t="s">
        <v>4363</v>
      </c>
    </row>
    <row r="1092" spans="4:8" x14ac:dyDescent="0.35">
      <c r="D1092" s="95" t="str">
        <f t="shared" si="16"/>
        <v/>
      </c>
      <c r="F1092" s="2" t="s">
        <v>2257</v>
      </c>
      <c r="G1092" s="2" t="s">
        <v>2258</v>
      </c>
      <c r="H1092" s="2" t="s">
        <v>4363</v>
      </c>
    </row>
    <row r="1093" spans="4:8" x14ac:dyDescent="0.35">
      <c r="D1093" s="95" t="str">
        <f t="shared" si="16"/>
        <v/>
      </c>
      <c r="F1093" s="2" t="s">
        <v>2259</v>
      </c>
      <c r="G1093" s="2" t="s">
        <v>2260</v>
      </c>
      <c r="H1093" s="2" t="s">
        <v>4363</v>
      </c>
    </row>
    <row r="1094" spans="4:8" x14ac:dyDescent="0.35">
      <c r="D1094" s="95" t="str">
        <f t="shared" si="16"/>
        <v/>
      </c>
      <c r="F1094" s="2" t="s">
        <v>2261</v>
      </c>
      <c r="G1094" s="2" t="s">
        <v>2262</v>
      </c>
      <c r="H1094" s="2" t="s">
        <v>4363</v>
      </c>
    </row>
    <row r="1095" spans="4:8" x14ac:dyDescent="0.35">
      <c r="D1095" s="95" t="str">
        <f t="shared" si="16"/>
        <v/>
      </c>
      <c r="F1095" s="2" t="s">
        <v>2263</v>
      </c>
      <c r="G1095" s="2" t="s">
        <v>2264</v>
      </c>
      <c r="H1095" s="2" t="s">
        <v>4363</v>
      </c>
    </row>
    <row r="1096" spans="4:8" x14ac:dyDescent="0.35">
      <c r="D1096" s="95" t="str">
        <f t="shared" ref="D1096:D1159" si="17">IFERROR(INDEX($F$6:$G$1048576,MATCH($C1096,$G$6:$G$1048576,0),MATCH($D$6,$F$6:$G$6,0)),"")</f>
        <v/>
      </c>
      <c r="F1096" s="2" t="s">
        <v>2265</v>
      </c>
      <c r="G1096" s="2" t="s">
        <v>2266</v>
      </c>
      <c r="H1096" s="2" t="s">
        <v>4363</v>
      </c>
    </row>
    <row r="1097" spans="4:8" x14ac:dyDescent="0.35">
      <c r="D1097" s="95" t="str">
        <f t="shared" si="17"/>
        <v/>
      </c>
      <c r="F1097" s="2" t="s">
        <v>2267</v>
      </c>
      <c r="G1097" s="2" t="s">
        <v>2268</v>
      </c>
      <c r="H1097" s="2" t="s">
        <v>4363</v>
      </c>
    </row>
    <row r="1098" spans="4:8" x14ac:dyDescent="0.35">
      <c r="D1098" s="95" t="str">
        <f t="shared" si="17"/>
        <v/>
      </c>
      <c r="F1098" s="2" t="s">
        <v>2269</v>
      </c>
      <c r="G1098" s="2" t="s">
        <v>2270</v>
      </c>
      <c r="H1098" s="2" t="s">
        <v>4363</v>
      </c>
    </row>
    <row r="1099" spans="4:8" x14ac:dyDescent="0.35">
      <c r="D1099" s="95" t="str">
        <f t="shared" si="17"/>
        <v/>
      </c>
      <c r="F1099" s="2" t="s">
        <v>2271</v>
      </c>
      <c r="G1099" s="2" t="s">
        <v>2272</v>
      </c>
      <c r="H1099" s="2" t="s">
        <v>4363</v>
      </c>
    </row>
    <row r="1100" spans="4:8" x14ac:dyDescent="0.35">
      <c r="D1100" s="95" t="str">
        <f t="shared" si="17"/>
        <v/>
      </c>
      <c r="F1100" s="2" t="s">
        <v>2273</v>
      </c>
      <c r="G1100" s="2" t="s">
        <v>2274</v>
      </c>
      <c r="H1100" s="2" t="s">
        <v>4363</v>
      </c>
    </row>
    <row r="1101" spans="4:8" x14ac:dyDescent="0.35">
      <c r="D1101" s="95" t="str">
        <f t="shared" si="17"/>
        <v/>
      </c>
      <c r="F1101" s="2" t="s">
        <v>2275</v>
      </c>
      <c r="G1101" s="2" t="s">
        <v>2276</v>
      </c>
      <c r="H1101" s="2" t="s">
        <v>4363</v>
      </c>
    </row>
    <row r="1102" spans="4:8" x14ac:dyDescent="0.35">
      <c r="D1102" s="95" t="str">
        <f t="shared" si="17"/>
        <v/>
      </c>
      <c r="F1102" s="2" t="s">
        <v>2277</v>
      </c>
      <c r="G1102" s="2" t="s">
        <v>2278</v>
      </c>
      <c r="H1102" s="2" t="s">
        <v>4363</v>
      </c>
    </row>
    <row r="1103" spans="4:8" x14ac:dyDescent="0.35">
      <c r="D1103" s="95" t="str">
        <f t="shared" si="17"/>
        <v/>
      </c>
      <c r="F1103" s="2" t="s">
        <v>2279</v>
      </c>
      <c r="G1103" s="2" t="s">
        <v>2280</v>
      </c>
      <c r="H1103" s="2" t="s">
        <v>4363</v>
      </c>
    </row>
    <row r="1104" spans="4:8" x14ac:dyDescent="0.35">
      <c r="D1104" s="95" t="str">
        <f t="shared" si="17"/>
        <v/>
      </c>
      <c r="F1104" s="2" t="s">
        <v>2281</v>
      </c>
      <c r="G1104" s="2" t="s">
        <v>2282</v>
      </c>
      <c r="H1104" s="2" t="s">
        <v>4363</v>
      </c>
    </row>
    <row r="1105" spans="4:8" x14ac:dyDescent="0.35">
      <c r="D1105" s="95" t="str">
        <f t="shared" si="17"/>
        <v/>
      </c>
      <c r="F1105" s="2" t="s">
        <v>2283</v>
      </c>
      <c r="G1105" s="2" t="s">
        <v>2284</v>
      </c>
      <c r="H1105" s="2" t="s">
        <v>4363</v>
      </c>
    </row>
    <row r="1106" spans="4:8" x14ac:dyDescent="0.35">
      <c r="D1106" s="95" t="str">
        <f t="shared" si="17"/>
        <v/>
      </c>
      <c r="F1106" s="2" t="s">
        <v>2285</v>
      </c>
      <c r="G1106" s="2" t="s">
        <v>2286</v>
      </c>
      <c r="H1106" s="2" t="s">
        <v>4363</v>
      </c>
    </row>
    <row r="1107" spans="4:8" x14ac:dyDescent="0.35">
      <c r="D1107" s="95" t="str">
        <f t="shared" si="17"/>
        <v/>
      </c>
      <c r="F1107" s="2" t="s">
        <v>2287</v>
      </c>
      <c r="G1107" s="2" t="s">
        <v>2288</v>
      </c>
      <c r="H1107" s="2" t="s">
        <v>4363</v>
      </c>
    </row>
    <row r="1108" spans="4:8" x14ac:dyDescent="0.35">
      <c r="D1108" s="95" t="str">
        <f t="shared" si="17"/>
        <v/>
      </c>
      <c r="F1108" s="2" t="s">
        <v>2289</v>
      </c>
      <c r="G1108" s="2" t="s">
        <v>2290</v>
      </c>
      <c r="H1108" s="2" t="s">
        <v>4363</v>
      </c>
    </row>
    <row r="1109" spans="4:8" x14ac:dyDescent="0.35">
      <c r="D1109" s="95" t="str">
        <f t="shared" si="17"/>
        <v/>
      </c>
      <c r="F1109" s="2" t="s">
        <v>2291</v>
      </c>
      <c r="G1109" s="2" t="s">
        <v>2292</v>
      </c>
      <c r="H1109" s="2" t="s">
        <v>4363</v>
      </c>
    </row>
    <row r="1110" spans="4:8" x14ac:dyDescent="0.35">
      <c r="D1110" s="95" t="str">
        <f t="shared" si="17"/>
        <v/>
      </c>
      <c r="F1110" s="2" t="s">
        <v>2293</v>
      </c>
      <c r="G1110" s="2" t="s">
        <v>2294</v>
      </c>
      <c r="H1110" s="2" t="s">
        <v>4363</v>
      </c>
    </row>
    <row r="1111" spans="4:8" x14ac:dyDescent="0.35">
      <c r="D1111" s="95" t="str">
        <f t="shared" si="17"/>
        <v/>
      </c>
      <c r="F1111" s="2" t="s">
        <v>2295</v>
      </c>
      <c r="G1111" s="2" t="s">
        <v>2296</v>
      </c>
      <c r="H1111" s="2" t="s">
        <v>4363</v>
      </c>
    </row>
    <row r="1112" spans="4:8" x14ac:dyDescent="0.35">
      <c r="D1112" s="95" t="str">
        <f t="shared" si="17"/>
        <v/>
      </c>
      <c r="F1112" s="2" t="s">
        <v>2297</v>
      </c>
      <c r="G1112" s="2" t="s">
        <v>2298</v>
      </c>
      <c r="H1112" s="2" t="s">
        <v>4363</v>
      </c>
    </row>
    <row r="1113" spans="4:8" x14ac:dyDescent="0.35">
      <c r="D1113" s="95" t="str">
        <f t="shared" si="17"/>
        <v/>
      </c>
      <c r="F1113" s="2" t="s">
        <v>2299</v>
      </c>
      <c r="G1113" s="2" t="s">
        <v>2300</v>
      </c>
      <c r="H1113" s="2" t="s">
        <v>4363</v>
      </c>
    </row>
    <row r="1114" spans="4:8" x14ac:dyDescent="0.35">
      <c r="D1114" s="95" t="str">
        <f t="shared" si="17"/>
        <v/>
      </c>
      <c r="F1114" s="2" t="s">
        <v>2301</v>
      </c>
      <c r="G1114" s="2" t="s">
        <v>2302</v>
      </c>
      <c r="H1114" s="2" t="s">
        <v>4363</v>
      </c>
    </row>
    <row r="1115" spans="4:8" x14ac:dyDescent="0.35">
      <c r="D1115" s="95" t="str">
        <f t="shared" si="17"/>
        <v/>
      </c>
      <c r="F1115" s="2" t="s">
        <v>2303</v>
      </c>
      <c r="G1115" s="2" t="s">
        <v>2304</v>
      </c>
      <c r="H1115" s="2" t="s">
        <v>4363</v>
      </c>
    </row>
    <row r="1116" spans="4:8" x14ac:dyDescent="0.35">
      <c r="D1116" s="95" t="str">
        <f t="shared" si="17"/>
        <v/>
      </c>
      <c r="F1116" s="2" t="s">
        <v>2305</v>
      </c>
      <c r="G1116" s="2" t="s">
        <v>2306</v>
      </c>
      <c r="H1116" s="2" t="s">
        <v>4363</v>
      </c>
    </row>
    <row r="1117" spans="4:8" x14ac:dyDescent="0.35">
      <c r="D1117" s="95" t="str">
        <f t="shared" si="17"/>
        <v/>
      </c>
      <c r="F1117" s="2" t="s">
        <v>2307</v>
      </c>
      <c r="G1117" s="2" t="s">
        <v>153</v>
      </c>
      <c r="H1117" s="2" t="s">
        <v>4363</v>
      </c>
    </row>
    <row r="1118" spans="4:8" x14ac:dyDescent="0.35">
      <c r="D1118" s="95" t="str">
        <f t="shared" si="17"/>
        <v/>
      </c>
      <c r="F1118" s="2" t="s">
        <v>2308</v>
      </c>
      <c r="G1118" s="2" t="s">
        <v>2309</v>
      </c>
      <c r="H1118" s="2" t="s">
        <v>4363</v>
      </c>
    </row>
    <row r="1119" spans="4:8" x14ac:dyDescent="0.35">
      <c r="D1119" s="95" t="str">
        <f t="shared" si="17"/>
        <v/>
      </c>
      <c r="F1119" s="2" t="s">
        <v>2310</v>
      </c>
      <c r="G1119" s="2" t="s">
        <v>2311</v>
      </c>
      <c r="H1119" s="2" t="s">
        <v>4363</v>
      </c>
    </row>
    <row r="1120" spans="4:8" x14ac:dyDescent="0.35">
      <c r="D1120" s="95" t="str">
        <f t="shared" si="17"/>
        <v/>
      </c>
      <c r="F1120" s="2" t="s">
        <v>2312</v>
      </c>
      <c r="G1120" s="2" t="s">
        <v>2313</v>
      </c>
      <c r="H1120" s="2" t="s">
        <v>4363</v>
      </c>
    </row>
    <row r="1121" spans="4:8" x14ac:dyDescent="0.35">
      <c r="D1121" s="95" t="str">
        <f t="shared" si="17"/>
        <v/>
      </c>
      <c r="F1121" s="2" t="s">
        <v>2314</v>
      </c>
      <c r="G1121" s="2" t="s">
        <v>2315</v>
      </c>
      <c r="H1121" s="2" t="s">
        <v>4363</v>
      </c>
    </row>
    <row r="1122" spans="4:8" x14ac:dyDescent="0.35">
      <c r="D1122" s="95" t="str">
        <f t="shared" si="17"/>
        <v/>
      </c>
      <c r="F1122" s="2" t="s">
        <v>2316</v>
      </c>
      <c r="G1122" s="2" t="s">
        <v>172</v>
      </c>
      <c r="H1122" s="2" t="s">
        <v>4363</v>
      </c>
    </row>
    <row r="1123" spans="4:8" x14ac:dyDescent="0.35">
      <c r="D1123" s="95" t="str">
        <f t="shared" si="17"/>
        <v/>
      </c>
      <c r="F1123" s="2" t="s">
        <v>2317</v>
      </c>
      <c r="G1123" s="2" t="s">
        <v>2318</v>
      </c>
      <c r="H1123" s="2" t="s">
        <v>4363</v>
      </c>
    </row>
    <row r="1124" spans="4:8" x14ac:dyDescent="0.35">
      <c r="D1124" s="95" t="str">
        <f t="shared" si="17"/>
        <v/>
      </c>
      <c r="F1124" s="2" t="s">
        <v>2319</v>
      </c>
      <c r="G1124" s="2" t="s">
        <v>2320</v>
      </c>
      <c r="H1124" s="2" t="s">
        <v>4363</v>
      </c>
    </row>
    <row r="1125" spans="4:8" x14ac:dyDescent="0.35">
      <c r="D1125" s="95" t="str">
        <f t="shared" si="17"/>
        <v/>
      </c>
      <c r="F1125" s="2" t="s">
        <v>2321</v>
      </c>
      <c r="G1125" s="2" t="s">
        <v>2322</v>
      </c>
      <c r="H1125" s="2" t="s">
        <v>4363</v>
      </c>
    </row>
    <row r="1126" spans="4:8" x14ac:dyDescent="0.35">
      <c r="D1126" s="95" t="str">
        <f t="shared" si="17"/>
        <v/>
      </c>
      <c r="F1126" s="2" t="s">
        <v>2323</v>
      </c>
      <c r="G1126" s="2" t="s">
        <v>2324</v>
      </c>
      <c r="H1126" s="2" t="s">
        <v>4363</v>
      </c>
    </row>
    <row r="1127" spans="4:8" x14ac:dyDescent="0.35">
      <c r="D1127" s="95" t="str">
        <f t="shared" si="17"/>
        <v/>
      </c>
      <c r="F1127" s="2" t="s">
        <v>2325</v>
      </c>
      <c r="G1127" s="2" t="s">
        <v>2326</v>
      </c>
      <c r="H1127" s="2" t="s">
        <v>4363</v>
      </c>
    </row>
    <row r="1128" spans="4:8" x14ac:dyDescent="0.35">
      <c r="D1128" s="95" t="str">
        <f t="shared" si="17"/>
        <v/>
      </c>
      <c r="F1128" s="2" t="s">
        <v>2327</v>
      </c>
      <c r="G1128" s="2" t="s">
        <v>2328</v>
      </c>
      <c r="H1128" s="2" t="s">
        <v>4363</v>
      </c>
    </row>
    <row r="1129" spans="4:8" x14ac:dyDescent="0.35">
      <c r="D1129" s="95" t="str">
        <f t="shared" si="17"/>
        <v/>
      </c>
      <c r="F1129" s="2" t="s">
        <v>2329</v>
      </c>
      <c r="G1129" s="2" t="s">
        <v>2330</v>
      </c>
      <c r="H1129" s="2" t="s">
        <v>4363</v>
      </c>
    </row>
    <row r="1130" spans="4:8" x14ac:dyDescent="0.35">
      <c r="D1130" s="95" t="str">
        <f t="shared" si="17"/>
        <v/>
      </c>
      <c r="F1130" s="2" t="s">
        <v>2331</v>
      </c>
      <c r="G1130" s="2" t="s">
        <v>2332</v>
      </c>
      <c r="H1130" s="2" t="s">
        <v>4363</v>
      </c>
    </row>
    <row r="1131" spans="4:8" x14ac:dyDescent="0.35">
      <c r="D1131" s="95" t="str">
        <f t="shared" si="17"/>
        <v/>
      </c>
      <c r="F1131" s="2" t="s">
        <v>2333</v>
      </c>
      <c r="G1131" s="2" t="s">
        <v>2334</v>
      </c>
      <c r="H1131" s="2" t="s">
        <v>4363</v>
      </c>
    </row>
    <row r="1132" spans="4:8" x14ac:dyDescent="0.35">
      <c r="D1132" s="95" t="str">
        <f t="shared" si="17"/>
        <v/>
      </c>
      <c r="F1132" s="2" t="s">
        <v>2335</v>
      </c>
      <c r="G1132" s="2" t="s">
        <v>2336</v>
      </c>
      <c r="H1132" s="2" t="s">
        <v>4363</v>
      </c>
    </row>
    <row r="1133" spans="4:8" x14ac:dyDescent="0.35">
      <c r="D1133" s="95" t="str">
        <f t="shared" si="17"/>
        <v/>
      </c>
      <c r="F1133" s="2" t="s">
        <v>2337</v>
      </c>
      <c r="G1133" s="2" t="s">
        <v>2338</v>
      </c>
      <c r="H1133" s="2" t="s">
        <v>4363</v>
      </c>
    </row>
    <row r="1134" spans="4:8" x14ac:dyDescent="0.35">
      <c r="D1134" s="95" t="str">
        <f t="shared" si="17"/>
        <v/>
      </c>
      <c r="F1134" s="2" t="s">
        <v>2339</v>
      </c>
      <c r="G1134" s="2" t="s">
        <v>2340</v>
      </c>
      <c r="H1134" s="2" t="s">
        <v>4363</v>
      </c>
    </row>
    <row r="1135" spans="4:8" x14ac:dyDescent="0.35">
      <c r="D1135" s="95" t="str">
        <f t="shared" si="17"/>
        <v/>
      </c>
      <c r="F1135" s="2" t="s">
        <v>2341</v>
      </c>
      <c r="G1135" s="2" t="s">
        <v>2342</v>
      </c>
      <c r="H1135" s="2" t="s">
        <v>4363</v>
      </c>
    </row>
    <row r="1136" spans="4:8" x14ac:dyDescent="0.35">
      <c r="D1136" s="95" t="str">
        <f t="shared" si="17"/>
        <v/>
      </c>
      <c r="F1136" s="2" t="s">
        <v>2343</v>
      </c>
      <c r="G1136" s="2" t="s">
        <v>2344</v>
      </c>
      <c r="H1136" s="2" t="s">
        <v>4363</v>
      </c>
    </row>
    <row r="1137" spans="4:8" x14ac:dyDescent="0.35">
      <c r="D1137" s="95" t="str">
        <f t="shared" si="17"/>
        <v/>
      </c>
      <c r="F1137" s="2" t="s">
        <v>2345</v>
      </c>
      <c r="G1137" s="2" t="s">
        <v>2346</v>
      </c>
      <c r="H1137" s="2" t="s">
        <v>4363</v>
      </c>
    </row>
    <row r="1138" spans="4:8" x14ac:dyDescent="0.35">
      <c r="D1138" s="95" t="str">
        <f t="shared" si="17"/>
        <v/>
      </c>
      <c r="F1138" s="2" t="s">
        <v>2347</v>
      </c>
      <c r="G1138" s="2" t="s">
        <v>2348</v>
      </c>
      <c r="H1138" s="2" t="s">
        <v>4363</v>
      </c>
    </row>
    <row r="1139" spans="4:8" x14ac:dyDescent="0.35">
      <c r="D1139" s="95" t="str">
        <f t="shared" si="17"/>
        <v/>
      </c>
      <c r="F1139" s="2" t="s">
        <v>2349</v>
      </c>
      <c r="G1139" s="2" t="s">
        <v>2350</v>
      </c>
      <c r="H1139" s="2" t="s">
        <v>4363</v>
      </c>
    </row>
    <row r="1140" spans="4:8" x14ac:dyDescent="0.35">
      <c r="D1140" s="95" t="str">
        <f t="shared" si="17"/>
        <v/>
      </c>
      <c r="F1140" s="2" t="s">
        <v>2351</v>
      </c>
      <c r="G1140" s="2" t="s">
        <v>2352</v>
      </c>
      <c r="H1140" s="2" t="s">
        <v>4363</v>
      </c>
    </row>
    <row r="1141" spans="4:8" x14ac:dyDescent="0.35">
      <c r="D1141" s="95" t="str">
        <f t="shared" si="17"/>
        <v/>
      </c>
      <c r="F1141" s="2" t="s">
        <v>2353</v>
      </c>
      <c r="G1141" s="2" t="s">
        <v>2354</v>
      </c>
      <c r="H1141" s="2" t="s">
        <v>4363</v>
      </c>
    </row>
    <row r="1142" spans="4:8" x14ac:dyDescent="0.35">
      <c r="D1142" s="95" t="str">
        <f t="shared" si="17"/>
        <v/>
      </c>
      <c r="F1142" s="2" t="s">
        <v>2355</v>
      </c>
      <c r="G1142" s="2" t="s">
        <v>2356</v>
      </c>
      <c r="H1142" s="2" t="s">
        <v>4363</v>
      </c>
    </row>
    <row r="1143" spans="4:8" x14ac:dyDescent="0.35">
      <c r="D1143" s="95" t="str">
        <f t="shared" si="17"/>
        <v/>
      </c>
      <c r="F1143" s="2" t="s">
        <v>2357</v>
      </c>
      <c r="G1143" s="2" t="s">
        <v>2358</v>
      </c>
      <c r="H1143" s="2" t="s">
        <v>4363</v>
      </c>
    </row>
    <row r="1144" spans="4:8" x14ac:dyDescent="0.35">
      <c r="D1144" s="95" t="str">
        <f t="shared" si="17"/>
        <v/>
      </c>
      <c r="F1144" s="2" t="s">
        <v>2359</v>
      </c>
      <c r="G1144" s="2" t="s">
        <v>2360</v>
      </c>
      <c r="H1144" s="2" t="s">
        <v>4363</v>
      </c>
    </row>
    <row r="1145" spans="4:8" x14ac:dyDescent="0.35">
      <c r="D1145" s="95" t="str">
        <f t="shared" si="17"/>
        <v/>
      </c>
      <c r="F1145" s="2" t="s">
        <v>2361</v>
      </c>
      <c r="G1145" s="2" t="s">
        <v>2362</v>
      </c>
      <c r="H1145" s="2" t="s">
        <v>4363</v>
      </c>
    </row>
    <row r="1146" spans="4:8" x14ac:dyDescent="0.35">
      <c r="D1146" s="95" t="str">
        <f t="shared" si="17"/>
        <v/>
      </c>
      <c r="F1146" s="2" t="s">
        <v>2363</v>
      </c>
      <c r="G1146" s="2" t="s">
        <v>2364</v>
      </c>
      <c r="H1146" s="2" t="s">
        <v>4363</v>
      </c>
    </row>
    <row r="1147" spans="4:8" x14ac:dyDescent="0.35">
      <c r="D1147" s="95" t="str">
        <f t="shared" si="17"/>
        <v/>
      </c>
      <c r="F1147" s="2" t="s">
        <v>2365</v>
      </c>
      <c r="G1147" s="2" t="s">
        <v>2366</v>
      </c>
      <c r="H1147" s="2" t="s">
        <v>4363</v>
      </c>
    </row>
    <row r="1148" spans="4:8" x14ac:dyDescent="0.35">
      <c r="D1148" s="95" t="str">
        <f t="shared" si="17"/>
        <v/>
      </c>
      <c r="F1148" s="2" t="s">
        <v>2367</v>
      </c>
      <c r="G1148" s="2" t="s">
        <v>2368</v>
      </c>
      <c r="H1148" s="2" t="s">
        <v>4363</v>
      </c>
    </row>
    <row r="1149" spans="4:8" x14ac:dyDescent="0.35">
      <c r="D1149" s="95" t="str">
        <f t="shared" si="17"/>
        <v/>
      </c>
      <c r="F1149" s="2" t="s">
        <v>2369</v>
      </c>
      <c r="G1149" s="2" t="s">
        <v>2370</v>
      </c>
      <c r="H1149" s="2" t="s">
        <v>4363</v>
      </c>
    </row>
    <row r="1150" spans="4:8" x14ac:dyDescent="0.35">
      <c r="D1150" s="95" t="str">
        <f t="shared" si="17"/>
        <v/>
      </c>
      <c r="F1150" s="2" t="s">
        <v>2371</v>
      </c>
      <c r="G1150" s="2" t="s">
        <v>2372</v>
      </c>
      <c r="H1150" s="2" t="s">
        <v>4363</v>
      </c>
    </row>
    <row r="1151" spans="4:8" x14ac:dyDescent="0.35">
      <c r="D1151" s="95" t="str">
        <f t="shared" si="17"/>
        <v/>
      </c>
      <c r="F1151" s="2" t="s">
        <v>2373</v>
      </c>
      <c r="G1151" s="2" t="s">
        <v>2374</v>
      </c>
      <c r="H1151" s="2" t="s">
        <v>4363</v>
      </c>
    </row>
    <row r="1152" spans="4:8" x14ac:dyDescent="0.35">
      <c r="D1152" s="95" t="str">
        <f t="shared" si="17"/>
        <v/>
      </c>
      <c r="F1152" s="2" t="s">
        <v>2375</v>
      </c>
      <c r="G1152" s="2" t="s">
        <v>2376</v>
      </c>
      <c r="H1152" s="2" t="s">
        <v>4363</v>
      </c>
    </row>
    <row r="1153" spans="4:8" x14ac:dyDescent="0.35">
      <c r="D1153" s="95" t="str">
        <f t="shared" si="17"/>
        <v/>
      </c>
      <c r="F1153" s="2" t="s">
        <v>2377</v>
      </c>
      <c r="G1153" s="2" t="s">
        <v>2378</v>
      </c>
      <c r="H1153" s="2" t="s">
        <v>4363</v>
      </c>
    </row>
    <row r="1154" spans="4:8" x14ac:dyDescent="0.35">
      <c r="D1154" s="95" t="str">
        <f t="shared" si="17"/>
        <v/>
      </c>
      <c r="F1154" s="2" t="s">
        <v>2379</v>
      </c>
      <c r="G1154" s="2" t="s">
        <v>2380</v>
      </c>
      <c r="H1154" s="2" t="s">
        <v>4363</v>
      </c>
    </row>
    <row r="1155" spans="4:8" x14ac:dyDescent="0.35">
      <c r="D1155" s="95" t="str">
        <f t="shared" si="17"/>
        <v/>
      </c>
      <c r="F1155" s="2" t="s">
        <v>2381</v>
      </c>
      <c r="G1155" s="2" t="s">
        <v>2382</v>
      </c>
      <c r="H1155" s="2" t="s">
        <v>4364</v>
      </c>
    </row>
    <row r="1156" spans="4:8" x14ac:dyDescent="0.35">
      <c r="D1156" s="95" t="str">
        <f t="shared" si="17"/>
        <v/>
      </c>
      <c r="F1156" s="2" t="s">
        <v>2383</v>
      </c>
      <c r="G1156" s="2" t="s">
        <v>2384</v>
      </c>
      <c r="H1156" s="2" t="s">
        <v>4364</v>
      </c>
    </row>
    <row r="1157" spans="4:8" x14ac:dyDescent="0.35">
      <c r="D1157" s="95" t="str">
        <f t="shared" si="17"/>
        <v/>
      </c>
      <c r="F1157" s="2" t="s">
        <v>2385</v>
      </c>
      <c r="G1157" s="2" t="s">
        <v>2386</v>
      </c>
      <c r="H1157" s="2" t="s">
        <v>4364</v>
      </c>
    </row>
    <row r="1158" spans="4:8" x14ac:dyDescent="0.35">
      <c r="D1158" s="95" t="str">
        <f t="shared" si="17"/>
        <v/>
      </c>
      <c r="F1158" s="2" t="s">
        <v>2387</v>
      </c>
      <c r="G1158" s="2" t="s">
        <v>2388</v>
      </c>
      <c r="H1158" s="2" t="s">
        <v>4364</v>
      </c>
    </row>
    <row r="1159" spans="4:8" x14ac:dyDescent="0.35">
      <c r="D1159" s="95" t="str">
        <f t="shared" si="17"/>
        <v/>
      </c>
      <c r="F1159" s="2" t="s">
        <v>2389</v>
      </c>
      <c r="G1159" s="2" t="s">
        <v>2390</v>
      </c>
      <c r="H1159" s="2" t="s">
        <v>4364</v>
      </c>
    </row>
    <row r="1160" spans="4:8" x14ac:dyDescent="0.35">
      <c r="D1160" s="95" t="str">
        <f t="shared" ref="D1160:D1223" si="18">IFERROR(INDEX($F$6:$G$1048576,MATCH($C1160,$G$6:$G$1048576,0),MATCH($D$6,$F$6:$G$6,0)),"")</f>
        <v/>
      </c>
      <c r="F1160" s="2" t="s">
        <v>2391</v>
      </c>
      <c r="G1160" s="2" t="s">
        <v>2392</v>
      </c>
      <c r="H1160" s="2" t="s">
        <v>4364</v>
      </c>
    </row>
    <row r="1161" spans="4:8" x14ac:dyDescent="0.35">
      <c r="D1161" s="95" t="str">
        <f t="shared" si="18"/>
        <v/>
      </c>
      <c r="F1161" s="2" t="s">
        <v>2393</v>
      </c>
      <c r="G1161" s="2" t="s">
        <v>2394</v>
      </c>
      <c r="H1161" s="2" t="s">
        <v>4364</v>
      </c>
    </row>
    <row r="1162" spans="4:8" x14ac:dyDescent="0.35">
      <c r="D1162" s="95" t="str">
        <f t="shared" si="18"/>
        <v/>
      </c>
      <c r="F1162" s="2" t="s">
        <v>2395</v>
      </c>
      <c r="G1162" s="2" t="s">
        <v>2396</v>
      </c>
      <c r="H1162" s="2" t="s">
        <v>4364</v>
      </c>
    </row>
    <row r="1163" spans="4:8" x14ac:dyDescent="0.35">
      <c r="D1163" s="95" t="str">
        <f t="shared" si="18"/>
        <v/>
      </c>
      <c r="F1163" s="2" t="s">
        <v>2397</v>
      </c>
      <c r="G1163" s="2" t="s">
        <v>2398</v>
      </c>
      <c r="H1163" s="2" t="s">
        <v>4364</v>
      </c>
    </row>
    <row r="1164" spans="4:8" x14ac:dyDescent="0.35">
      <c r="D1164" s="95" t="str">
        <f t="shared" si="18"/>
        <v/>
      </c>
      <c r="F1164" s="2" t="s">
        <v>2399</v>
      </c>
      <c r="G1164" s="2" t="s">
        <v>2400</v>
      </c>
      <c r="H1164" s="2" t="s">
        <v>4364</v>
      </c>
    </row>
    <row r="1165" spans="4:8" x14ac:dyDescent="0.35">
      <c r="D1165" s="95" t="str">
        <f t="shared" si="18"/>
        <v/>
      </c>
      <c r="F1165" s="2" t="s">
        <v>2401</v>
      </c>
      <c r="G1165" s="2" t="s">
        <v>2402</v>
      </c>
      <c r="H1165" s="2" t="s">
        <v>4364</v>
      </c>
    </row>
    <row r="1166" spans="4:8" x14ac:dyDescent="0.35">
      <c r="D1166" s="95" t="str">
        <f t="shared" si="18"/>
        <v/>
      </c>
      <c r="F1166" s="2" t="s">
        <v>2403</v>
      </c>
      <c r="G1166" s="2" t="s">
        <v>2404</v>
      </c>
      <c r="H1166" s="2" t="s">
        <v>4364</v>
      </c>
    </row>
    <row r="1167" spans="4:8" x14ac:dyDescent="0.35">
      <c r="D1167" s="95" t="str">
        <f t="shared" si="18"/>
        <v/>
      </c>
      <c r="F1167" s="2" t="s">
        <v>2405</v>
      </c>
      <c r="G1167" s="2" t="s">
        <v>2406</v>
      </c>
      <c r="H1167" s="2" t="s">
        <v>4364</v>
      </c>
    </row>
    <row r="1168" spans="4:8" x14ac:dyDescent="0.35">
      <c r="D1168" s="95" t="str">
        <f t="shared" si="18"/>
        <v/>
      </c>
      <c r="F1168" s="2" t="s">
        <v>2407</v>
      </c>
      <c r="G1168" s="2" t="s">
        <v>2408</v>
      </c>
      <c r="H1168" s="2" t="s">
        <v>4364</v>
      </c>
    </row>
    <row r="1169" spans="4:8" x14ac:dyDescent="0.35">
      <c r="D1169" s="95" t="str">
        <f t="shared" si="18"/>
        <v/>
      </c>
      <c r="F1169" s="2" t="s">
        <v>2409</v>
      </c>
      <c r="G1169" s="2" t="s">
        <v>2410</v>
      </c>
      <c r="H1169" s="2" t="s">
        <v>4364</v>
      </c>
    </row>
    <row r="1170" spans="4:8" x14ac:dyDescent="0.35">
      <c r="D1170" s="95" t="str">
        <f t="shared" si="18"/>
        <v/>
      </c>
      <c r="F1170" s="2" t="s">
        <v>2411</v>
      </c>
      <c r="G1170" s="2" t="s">
        <v>2412</v>
      </c>
      <c r="H1170" s="2" t="s">
        <v>4364</v>
      </c>
    </row>
    <row r="1171" spans="4:8" x14ac:dyDescent="0.35">
      <c r="D1171" s="95" t="str">
        <f t="shared" si="18"/>
        <v/>
      </c>
      <c r="F1171" s="2" t="s">
        <v>2413</v>
      </c>
      <c r="G1171" s="2" t="s">
        <v>2414</v>
      </c>
      <c r="H1171" s="2" t="s">
        <v>4364</v>
      </c>
    </row>
    <row r="1172" spans="4:8" x14ac:dyDescent="0.35">
      <c r="D1172" s="95" t="str">
        <f t="shared" si="18"/>
        <v/>
      </c>
      <c r="F1172" s="2" t="s">
        <v>2415</v>
      </c>
      <c r="G1172" s="2" t="s">
        <v>2416</v>
      </c>
      <c r="H1172" s="2" t="s">
        <v>4364</v>
      </c>
    </row>
    <row r="1173" spans="4:8" x14ac:dyDescent="0.35">
      <c r="D1173" s="95" t="str">
        <f t="shared" si="18"/>
        <v/>
      </c>
      <c r="F1173" s="2" t="s">
        <v>2417</v>
      </c>
      <c r="G1173" s="2" t="s">
        <v>2418</v>
      </c>
      <c r="H1173" s="2" t="s">
        <v>4364</v>
      </c>
    </row>
    <row r="1174" spans="4:8" x14ac:dyDescent="0.35">
      <c r="D1174" s="95" t="str">
        <f t="shared" si="18"/>
        <v/>
      </c>
      <c r="F1174" s="2" t="s">
        <v>2419</v>
      </c>
      <c r="G1174" s="2" t="s">
        <v>2420</v>
      </c>
      <c r="H1174" s="2" t="s">
        <v>4364</v>
      </c>
    </row>
    <row r="1175" spans="4:8" x14ac:dyDescent="0.35">
      <c r="D1175" s="95" t="str">
        <f t="shared" si="18"/>
        <v/>
      </c>
      <c r="F1175" s="2" t="s">
        <v>2421</v>
      </c>
      <c r="G1175" s="2" t="s">
        <v>2422</v>
      </c>
      <c r="H1175" s="2" t="s">
        <v>4364</v>
      </c>
    </row>
    <row r="1176" spans="4:8" x14ac:dyDescent="0.35">
      <c r="D1176" s="95" t="str">
        <f t="shared" si="18"/>
        <v/>
      </c>
      <c r="F1176" s="2" t="s">
        <v>2423</v>
      </c>
      <c r="G1176" s="2" t="s">
        <v>2424</v>
      </c>
      <c r="H1176" s="2" t="s">
        <v>4364</v>
      </c>
    </row>
    <row r="1177" spans="4:8" x14ac:dyDescent="0.35">
      <c r="D1177" s="95" t="str">
        <f t="shared" si="18"/>
        <v/>
      </c>
      <c r="F1177" s="2" t="s">
        <v>2425</v>
      </c>
      <c r="G1177" s="2" t="s">
        <v>2426</v>
      </c>
      <c r="H1177" s="2" t="s">
        <v>4364</v>
      </c>
    </row>
    <row r="1178" spans="4:8" x14ac:dyDescent="0.35">
      <c r="D1178" s="95" t="str">
        <f t="shared" si="18"/>
        <v/>
      </c>
      <c r="F1178" s="2" t="s">
        <v>2427</v>
      </c>
      <c r="G1178" s="2" t="s">
        <v>2428</v>
      </c>
      <c r="H1178" s="2" t="s">
        <v>4364</v>
      </c>
    </row>
    <row r="1179" spans="4:8" x14ac:dyDescent="0.35">
      <c r="D1179" s="95" t="str">
        <f t="shared" si="18"/>
        <v/>
      </c>
      <c r="F1179" s="2" t="s">
        <v>2429</v>
      </c>
      <c r="G1179" s="2" t="s">
        <v>2430</v>
      </c>
      <c r="H1179" s="2" t="s">
        <v>4364</v>
      </c>
    </row>
    <row r="1180" spans="4:8" x14ac:dyDescent="0.35">
      <c r="D1180" s="95" t="str">
        <f t="shared" si="18"/>
        <v/>
      </c>
      <c r="F1180" s="2" t="s">
        <v>2431</v>
      </c>
      <c r="G1180" s="2" t="s">
        <v>2432</v>
      </c>
      <c r="H1180" s="2" t="s">
        <v>4364</v>
      </c>
    </row>
    <row r="1181" spans="4:8" x14ac:dyDescent="0.35">
      <c r="D1181" s="95" t="str">
        <f t="shared" si="18"/>
        <v/>
      </c>
      <c r="F1181" s="2" t="s">
        <v>2433</v>
      </c>
      <c r="G1181" s="2" t="s">
        <v>2434</v>
      </c>
      <c r="H1181" s="2" t="s">
        <v>4364</v>
      </c>
    </row>
    <row r="1182" spans="4:8" x14ac:dyDescent="0.35">
      <c r="D1182" s="95" t="str">
        <f t="shared" si="18"/>
        <v/>
      </c>
      <c r="F1182" s="2" t="s">
        <v>2435</v>
      </c>
      <c r="G1182" s="2" t="s">
        <v>2436</v>
      </c>
      <c r="H1182" s="2" t="s">
        <v>4364</v>
      </c>
    </row>
    <row r="1183" spans="4:8" x14ac:dyDescent="0.35">
      <c r="D1183" s="95" t="str">
        <f t="shared" si="18"/>
        <v/>
      </c>
      <c r="F1183" s="2" t="s">
        <v>2437</v>
      </c>
      <c r="G1183" s="2" t="s">
        <v>2438</v>
      </c>
      <c r="H1183" s="2" t="s">
        <v>4364</v>
      </c>
    </row>
    <row r="1184" spans="4:8" x14ac:dyDescent="0.35">
      <c r="D1184" s="95" t="str">
        <f t="shared" si="18"/>
        <v/>
      </c>
      <c r="F1184" s="2" t="s">
        <v>2439</v>
      </c>
      <c r="G1184" s="2" t="s">
        <v>2440</v>
      </c>
      <c r="H1184" s="2" t="s">
        <v>4364</v>
      </c>
    </row>
    <row r="1185" spans="4:8" x14ac:dyDescent="0.35">
      <c r="D1185" s="95" t="str">
        <f t="shared" si="18"/>
        <v/>
      </c>
      <c r="F1185" s="2" t="s">
        <v>2441</v>
      </c>
      <c r="G1185" s="2" t="s">
        <v>2442</v>
      </c>
      <c r="H1185" s="2" t="s">
        <v>4364</v>
      </c>
    </row>
    <row r="1186" spans="4:8" x14ac:dyDescent="0.35">
      <c r="D1186" s="95" t="str">
        <f t="shared" si="18"/>
        <v/>
      </c>
      <c r="F1186" s="2" t="s">
        <v>2443</v>
      </c>
      <c r="G1186" s="2" t="s">
        <v>2444</v>
      </c>
      <c r="H1186" s="2" t="s">
        <v>4364</v>
      </c>
    </row>
    <row r="1187" spans="4:8" x14ac:dyDescent="0.35">
      <c r="D1187" s="95" t="str">
        <f t="shared" si="18"/>
        <v/>
      </c>
      <c r="F1187" s="2" t="s">
        <v>2445</v>
      </c>
      <c r="G1187" s="2" t="s">
        <v>2446</v>
      </c>
      <c r="H1187" s="2" t="s">
        <v>4364</v>
      </c>
    </row>
    <row r="1188" spans="4:8" x14ac:dyDescent="0.35">
      <c r="D1188" s="95" t="str">
        <f t="shared" si="18"/>
        <v/>
      </c>
      <c r="F1188" s="2" t="s">
        <v>2447</v>
      </c>
      <c r="G1188" s="2" t="s">
        <v>2448</v>
      </c>
      <c r="H1188" s="2" t="s">
        <v>4364</v>
      </c>
    </row>
    <row r="1189" spans="4:8" x14ac:dyDescent="0.35">
      <c r="D1189" s="95" t="str">
        <f t="shared" si="18"/>
        <v/>
      </c>
      <c r="F1189" s="2" t="s">
        <v>2449</v>
      </c>
      <c r="G1189" s="2" t="s">
        <v>2450</v>
      </c>
      <c r="H1189" s="2" t="s">
        <v>4364</v>
      </c>
    </row>
    <row r="1190" spans="4:8" x14ac:dyDescent="0.35">
      <c r="D1190" s="95" t="str">
        <f t="shared" si="18"/>
        <v/>
      </c>
      <c r="F1190" s="2" t="s">
        <v>2451</v>
      </c>
      <c r="G1190" s="2" t="s">
        <v>2452</v>
      </c>
      <c r="H1190" s="2" t="s">
        <v>4364</v>
      </c>
    </row>
    <row r="1191" spans="4:8" x14ac:dyDescent="0.35">
      <c r="D1191" s="95" t="str">
        <f t="shared" si="18"/>
        <v/>
      </c>
      <c r="F1191" s="2" t="s">
        <v>2453</v>
      </c>
      <c r="G1191" s="2" t="s">
        <v>2454</v>
      </c>
      <c r="H1191" s="2" t="s">
        <v>4364</v>
      </c>
    </row>
    <row r="1192" spans="4:8" x14ac:dyDescent="0.35">
      <c r="D1192" s="95" t="str">
        <f t="shared" si="18"/>
        <v/>
      </c>
      <c r="F1192" s="2" t="s">
        <v>2455</v>
      </c>
      <c r="G1192" s="2" t="s">
        <v>2456</v>
      </c>
      <c r="H1192" s="2" t="s">
        <v>4364</v>
      </c>
    </row>
    <row r="1193" spans="4:8" x14ac:dyDescent="0.35">
      <c r="D1193" s="95" t="str">
        <f t="shared" si="18"/>
        <v/>
      </c>
      <c r="F1193" s="2" t="s">
        <v>2457</v>
      </c>
      <c r="G1193" s="2" t="s">
        <v>2458</v>
      </c>
      <c r="H1193" s="2" t="s">
        <v>4364</v>
      </c>
    </row>
    <row r="1194" spans="4:8" x14ac:dyDescent="0.35">
      <c r="D1194" s="95" t="str">
        <f t="shared" si="18"/>
        <v/>
      </c>
      <c r="F1194" s="2" t="s">
        <v>2459</v>
      </c>
      <c r="G1194" s="2" t="s">
        <v>2460</v>
      </c>
      <c r="H1194" s="2" t="s">
        <v>4364</v>
      </c>
    </row>
    <row r="1195" spans="4:8" x14ac:dyDescent="0.35">
      <c r="D1195" s="95" t="str">
        <f t="shared" si="18"/>
        <v/>
      </c>
      <c r="F1195" s="2" t="s">
        <v>2461</v>
      </c>
      <c r="G1195" s="2" t="s">
        <v>2462</v>
      </c>
      <c r="H1195" s="2" t="s">
        <v>4364</v>
      </c>
    </row>
    <row r="1196" spans="4:8" x14ac:dyDescent="0.35">
      <c r="D1196" s="95" t="str">
        <f t="shared" si="18"/>
        <v/>
      </c>
      <c r="F1196" s="2" t="s">
        <v>2463</v>
      </c>
      <c r="G1196" s="2" t="s">
        <v>2464</v>
      </c>
      <c r="H1196" s="2" t="s">
        <v>4364</v>
      </c>
    </row>
    <row r="1197" spans="4:8" x14ac:dyDescent="0.35">
      <c r="D1197" s="95" t="str">
        <f t="shared" si="18"/>
        <v/>
      </c>
      <c r="F1197" s="2" t="s">
        <v>2465</v>
      </c>
      <c r="G1197" s="2" t="s">
        <v>2466</v>
      </c>
      <c r="H1197" s="2" t="s">
        <v>4364</v>
      </c>
    </row>
    <row r="1198" spans="4:8" x14ac:dyDescent="0.35">
      <c r="D1198" s="95" t="str">
        <f t="shared" si="18"/>
        <v/>
      </c>
      <c r="F1198" s="2" t="s">
        <v>2467</v>
      </c>
      <c r="G1198" s="2" t="s">
        <v>2468</v>
      </c>
      <c r="H1198" s="2" t="s">
        <v>4364</v>
      </c>
    </row>
    <row r="1199" spans="4:8" x14ac:dyDescent="0.35">
      <c r="D1199" s="95" t="str">
        <f t="shared" si="18"/>
        <v/>
      </c>
      <c r="F1199" s="2" t="s">
        <v>2469</v>
      </c>
      <c r="G1199" s="2" t="s">
        <v>2470</v>
      </c>
      <c r="H1199" s="2" t="s">
        <v>4364</v>
      </c>
    </row>
    <row r="1200" spans="4:8" x14ac:dyDescent="0.35">
      <c r="D1200" s="95" t="str">
        <f t="shared" si="18"/>
        <v/>
      </c>
      <c r="F1200" s="2" t="s">
        <v>2471</v>
      </c>
      <c r="G1200" s="2" t="s">
        <v>2472</v>
      </c>
      <c r="H1200" s="2" t="s">
        <v>4364</v>
      </c>
    </row>
    <row r="1201" spans="4:8" x14ac:dyDescent="0.35">
      <c r="D1201" s="95" t="str">
        <f t="shared" si="18"/>
        <v/>
      </c>
      <c r="F1201" s="2" t="s">
        <v>2473</v>
      </c>
      <c r="G1201" s="2" t="s">
        <v>2474</v>
      </c>
      <c r="H1201" s="2" t="s">
        <v>4364</v>
      </c>
    </row>
    <row r="1202" spans="4:8" x14ac:dyDescent="0.35">
      <c r="D1202" s="95" t="str">
        <f t="shared" si="18"/>
        <v/>
      </c>
      <c r="F1202" s="2" t="s">
        <v>2475</v>
      </c>
      <c r="G1202" s="2" t="s">
        <v>2476</v>
      </c>
      <c r="H1202" s="2" t="s">
        <v>4364</v>
      </c>
    </row>
    <row r="1203" spans="4:8" x14ac:dyDescent="0.35">
      <c r="D1203" s="95" t="str">
        <f t="shared" si="18"/>
        <v/>
      </c>
      <c r="F1203" s="2" t="s">
        <v>2477</v>
      </c>
      <c r="G1203" s="2" t="s">
        <v>2478</v>
      </c>
      <c r="H1203" s="2" t="s">
        <v>4364</v>
      </c>
    </row>
    <row r="1204" spans="4:8" x14ac:dyDescent="0.35">
      <c r="D1204" s="95" t="str">
        <f t="shared" si="18"/>
        <v/>
      </c>
      <c r="F1204" s="2" t="s">
        <v>2479</v>
      </c>
      <c r="G1204" s="2" t="s">
        <v>2480</v>
      </c>
      <c r="H1204" s="2" t="s">
        <v>4364</v>
      </c>
    </row>
    <row r="1205" spans="4:8" x14ac:dyDescent="0.35">
      <c r="D1205" s="95" t="str">
        <f t="shared" si="18"/>
        <v/>
      </c>
      <c r="F1205" s="2" t="s">
        <v>2481</v>
      </c>
      <c r="G1205" s="2" t="s">
        <v>2482</v>
      </c>
      <c r="H1205" s="2" t="s">
        <v>4364</v>
      </c>
    </row>
    <row r="1206" spans="4:8" x14ac:dyDescent="0.35">
      <c r="D1206" s="95" t="str">
        <f t="shared" si="18"/>
        <v/>
      </c>
      <c r="F1206" s="2" t="s">
        <v>2483</v>
      </c>
      <c r="G1206" s="2" t="s">
        <v>2484</v>
      </c>
      <c r="H1206" s="2" t="s">
        <v>4364</v>
      </c>
    </row>
    <row r="1207" spans="4:8" x14ac:dyDescent="0.35">
      <c r="D1207" s="95" t="str">
        <f t="shared" si="18"/>
        <v/>
      </c>
      <c r="F1207" s="2" t="s">
        <v>2485</v>
      </c>
      <c r="G1207" s="2" t="s">
        <v>2486</v>
      </c>
      <c r="H1207" s="2" t="s">
        <v>4364</v>
      </c>
    </row>
    <row r="1208" spans="4:8" x14ac:dyDescent="0.35">
      <c r="D1208" s="95" t="str">
        <f t="shared" si="18"/>
        <v/>
      </c>
      <c r="F1208" s="2" t="s">
        <v>2487</v>
      </c>
      <c r="G1208" s="2" t="s">
        <v>2488</v>
      </c>
      <c r="H1208" s="2" t="s">
        <v>4364</v>
      </c>
    </row>
    <row r="1209" spans="4:8" x14ac:dyDescent="0.35">
      <c r="D1209" s="95" t="str">
        <f t="shared" si="18"/>
        <v/>
      </c>
      <c r="F1209" s="2" t="s">
        <v>2489</v>
      </c>
      <c r="G1209" s="2" t="s">
        <v>2490</v>
      </c>
      <c r="H1209" s="2" t="s">
        <v>4364</v>
      </c>
    </row>
    <row r="1210" spans="4:8" x14ac:dyDescent="0.35">
      <c r="D1210" s="95" t="str">
        <f t="shared" si="18"/>
        <v/>
      </c>
      <c r="F1210" s="2" t="s">
        <v>2491</v>
      </c>
      <c r="G1210" s="2" t="s">
        <v>2492</v>
      </c>
      <c r="H1210" s="2" t="s">
        <v>4364</v>
      </c>
    </row>
    <row r="1211" spans="4:8" x14ac:dyDescent="0.35">
      <c r="D1211" s="95" t="str">
        <f t="shared" si="18"/>
        <v/>
      </c>
      <c r="F1211" s="2" t="s">
        <v>2493</v>
      </c>
      <c r="G1211" s="2" t="s">
        <v>2494</v>
      </c>
      <c r="H1211" s="2" t="s">
        <v>4364</v>
      </c>
    </row>
    <row r="1212" spans="4:8" x14ac:dyDescent="0.35">
      <c r="D1212" s="95" t="str">
        <f t="shared" si="18"/>
        <v/>
      </c>
      <c r="F1212" s="2" t="s">
        <v>2495</v>
      </c>
      <c r="G1212" s="2" t="s">
        <v>2496</v>
      </c>
      <c r="H1212" s="2" t="s">
        <v>4364</v>
      </c>
    </row>
    <row r="1213" spans="4:8" x14ac:dyDescent="0.35">
      <c r="D1213" s="95" t="str">
        <f t="shared" si="18"/>
        <v/>
      </c>
      <c r="F1213" s="2" t="s">
        <v>2497</v>
      </c>
      <c r="G1213" s="2" t="s">
        <v>2498</v>
      </c>
      <c r="H1213" s="2" t="s">
        <v>4364</v>
      </c>
    </row>
    <row r="1214" spans="4:8" x14ac:dyDescent="0.35">
      <c r="D1214" s="95" t="str">
        <f t="shared" si="18"/>
        <v/>
      </c>
      <c r="F1214" s="2" t="s">
        <v>2499</v>
      </c>
      <c r="G1214" s="2" t="s">
        <v>2500</v>
      </c>
      <c r="H1214" s="2" t="s">
        <v>4364</v>
      </c>
    </row>
    <row r="1215" spans="4:8" x14ac:dyDescent="0.35">
      <c r="D1215" s="95" t="str">
        <f t="shared" si="18"/>
        <v/>
      </c>
      <c r="F1215" s="2" t="s">
        <v>2501</v>
      </c>
      <c r="G1215" s="2" t="s">
        <v>2502</v>
      </c>
      <c r="H1215" s="2" t="s">
        <v>4364</v>
      </c>
    </row>
    <row r="1216" spans="4:8" x14ac:dyDescent="0.35">
      <c r="D1216" s="95" t="str">
        <f t="shared" si="18"/>
        <v/>
      </c>
      <c r="F1216" s="2" t="s">
        <v>2503</v>
      </c>
      <c r="G1216" s="2" t="s">
        <v>2504</v>
      </c>
      <c r="H1216" s="2" t="s">
        <v>4364</v>
      </c>
    </row>
    <row r="1217" spans="4:8" x14ac:dyDescent="0.35">
      <c r="D1217" s="95" t="str">
        <f t="shared" si="18"/>
        <v/>
      </c>
      <c r="F1217" s="2" t="s">
        <v>2505</v>
      </c>
      <c r="G1217" s="2" t="s">
        <v>2506</v>
      </c>
      <c r="H1217" s="2" t="s">
        <v>4364</v>
      </c>
    </row>
    <row r="1218" spans="4:8" x14ac:dyDescent="0.35">
      <c r="D1218" s="95" t="str">
        <f t="shared" si="18"/>
        <v/>
      </c>
      <c r="F1218" s="2" t="s">
        <v>2507</v>
      </c>
      <c r="G1218" s="2" t="s">
        <v>2508</v>
      </c>
      <c r="H1218" s="2" t="s">
        <v>4364</v>
      </c>
    </row>
    <row r="1219" spans="4:8" x14ac:dyDescent="0.35">
      <c r="D1219" s="95" t="str">
        <f t="shared" si="18"/>
        <v/>
      </c>
      <c r="F1219" s="2" t="s">
        <v>2509</v>
      </c>
      <c r="G1219" s="2" t="s">
        <v>2510</v>
      </c>
      <c r="H1219" s="2" t="s">
        <v>4364</v>
      </c>
    </row>
    <row r="1220" spans="4:8" x14ac:dyDescent="0.35">
      <c r="D1220" s="95" t="str">
        <f t="shared" si="18"/>
        <v/>
      </c>
      <c r="F1220" s="2" t="s">
        <v>2511</v>
      </c>
      <c r="G1220" s="2" t="s">
        <v>2512</v>
      </c>
      <c r="H1220" s="2" t="s">
        <v>4364</v>
      </c>
    </row>
    <row r="1221" spans="4:8" x14ac:dyDescent="0.35">
      <c r="D1221" s="95" t="str">
        <f t="shared" si="18"/>
        <v/>
      </c>
      <c r="F1221" s="2" t="s">
        <v>2513</v>
      </c>
      <c r="G1221" s="2" t="s">
        <v>2514</v>
      </c>
      <c r="H1221" s="2" t="s">
        <v>4364</v>
      </c>
    </row>
    <row r="1222" spans="4:8" x14ac:dyDescent="0.35">
      <c r="D1222" s="95" t="str">
        <f t="shared" si="18"/>
        <v/>
      </c>
      <c r="F1222" s="2" t="s">
        <v>2515</v>
      </c>
      <c r="G1222" s="2" t="s">
        <v>2516</v>
      </c>
      <c r="H1222" s="2" t="s">
        <v>4364</v>
      </c>
    </row>
    <row r="1223" spans="4:8" x14ac:dyDescent="0.35">
      <c r="D1223" s="95" t="str">
        <f t="shared" si="18"/>
        <v/>
      </c>
      <c r="F1223" s="2" t="s">
        <v>2517</v>
      </c>
      <c r="G1223" s="2" t="s">
        <v>2518</v>
      </c>
      <c r="H1223" s="2" t="s">
        <v>4364</v>
      </c>
    </row>
    <row r="1224" spans="4:8" x14ac:dyDescent="0.35">
      <c r="D1224" s="95" t="str">
        <f t="shared" ref="D1224:D1287" si="19">IFERROR(INDEX($F$6:$G$1048576,MATCH($C1224,$G$6:$G$1048576,0),MATCH($D$6,$F$6:$G$6,0)),"")</f>
        <v/>
      </c>
      <c r="F1224" s="2" t="s">
        <v>2519</v>
      </c>
      <c r="G1224" s="2" t="s">
        <v>2520</v>
      </c>
      <c r="H1224" s="2" t="s">
        <v>4364</v>
      </c>
    </row>
    <row r="1225" spans="4:8" x14ac:dyDescent="0.35">
      <c r="D1225" s="95" t="str">
        <f t="shared" si="19"/>
        <v/>
      </c>
      <c r="F1225" s="2" t="s">
        <v>2521</v>
      </c>
      <c r="G1225" s="2" t="s">
        <v>2522</v>
      </c>
      <c r="H1225" s="2" t="s">
        <v>4364</v>
      </c>
    </row>
    <row r="1226" spans="4:8" x14ac:dyDescent="0.35">
      <c r="D1226" s="95" t="str">
        <f t="shared" si="19"/>
        <v/>
      </c>
      <c r="F1226" s="2" t="s">
        <v>2523</v>
      </c>
      <c r="G1226" s="2" t="s">
        <v>2524</v>
      </c>
      <c r="H1226" s="2" t="s">
        <v>4364</v>
      </c>
    </row>
    <row r="1227" spans="4:8" x14ac:dyDescent="0.35">
      <c r="D1227" s="95" t="str">
        <f t="shared" si="19"/>
        <v/>
      </c>
      <c r="F1227" s="2" t="s">
        <v>2525</v>
      </c>
      <c r="G1227" s="2" t="s">
        <v>2526</v>
      </c>
      <c r="H1227" s="2" t="s">
        <v>4364</v>
      </c>
    </row>
    <row r="1228" spans="4:8" x14ac:dyDescent="0.35">
      <c r="D1228" s="95" t="str">
        <f t="shared" si="19"/>
        <v/>
      </c>
      <c r="F1228" s="2" t="s">
        <v>2527</v>
      </c>
      <c r="G1228" s="2" t="s">
        <v>2528</v>
      </c>
      <c r="H1228" s="2" t="s">
        <v>4364</v>
      </c>
    </row>
    <row r="1229" spans="4:8" x14ac:dyDescent="0.35">
      <c r="D1229" s="95" t="str">
        <f t="shared" si="19"/>
        <v/>
      </c>
      <c r="F1229" s="2" t="s">
        <v>2529</v>
      </c>
      <c r="G1229" s="2" t="s">
        <v>2530</v>
      </c>
      <c r="H1229" s="2" t="s">
        <v>4364</v>
      </c>
    </row>
    <row r="1230" spans="4:8" x14ac:dyDescent="0.35">
      <c r="D1230" s="95" t="str">
        <f t="shared" si="19"/>
        <v/>
      </c>
      <c r="F1230" s="2" t="s">
        <v>2531</v>
      </c>
      <c r="G1230" s="2" t="s">
        <v>2532</v>
      </c>
      <c r="H1230" s="2" t="s">
        <v>4364</v>
      </c>
    </row>
    <row r="1231" spans="4:8" x14ac:dyDescent="0.35">
      <c r="D1231" s="95" t="str">
        <f t="shared" si="19"/>
        <v/>
      </c>
      <c r="F1231" s="2" t="s">
        <v>2533</v>
      </c>
      <c r="G1231" s="2" t="s">
        <v>2534</v>
      </c>
      <c r="H1231" s="2" t="s">
        <v>4364</v>
      </c>
    </row>
    <row r="1232" spans="4:8" x14ac:dyDescent="0.35">
      <c r="D1232" s="95" t="str">
        <f t="shared" si="19"/>
        <v/>
      </c>
      <c r="F1232" s="2" t="s">
        <v>2535</v>
      </c>
      <c r="G1232" s="2" t="s">
        <v>2536</v>
      </c>
      <c r="H1232" s="2" t="s">
        <v>4364</v>
      </c>
    </row>
    <row r="1233" spans="4:8" x14ac:dyDescent="0.35">
      <c r="D1233" s="95" t="str">
        <f t="shared" si="19"/>
        <v/>
      </c>
      <c r="F1233" s="2" t="s">
        <v>2537</v>
      </c>
      <c r="G1233" s="2" t="s">
        <v>2538</v>
      </c>
      <c r="H1233" s="2" t="s">
        <v>4364</v>
      </c>
    </row>
    <row r="1234" spans="4:8" x14ac:dyDescent="0.35">
      <c r="D1234" s="95" t="str">
        <f t="shared" si="19"/>
        <v/>
      </c>
      <c r="F1234" s="2" t="s">
        <v>2539</v>
      </c>
      <c r="G1234" s="2" t="s">
        <v>2540</v>
      </c>
      <c r="H1234" s="2" t="s">
        <v>4364</v>
      </c>
    </row>
    <row r="1235" spans="4:8" x14ac:dyDescent="0.35">
      <c r="D1235" s="95" t="str">
        <f t="shared" si="19"/>
        <v/>
      </c>
      <c r="F1235" s="2" t="s">
        <v>2541</v>
      </c>
      <c r="G1235" s="2" t="s">
        <v>2542</v>
      </c>
      <c r="H1235" s="2" t="s">
        <v>4364</v>
      </c>
    </row>
    <row r="1236" spans="4:8" x14ac:dyDescent="0.35">
      <c r="D1236" s="95" t="str">
        <f t="shared" si="19"/>
        <v/>
      </c>
      <c r="F1236" s="2" t="s">
        <v>2543</v>
      </c>
      <c r="G1236" s="2" t="s">
        <v>2544</v>
      </c>
      <c r="H1236" s="2" t="s">
        <v>4364</v>
      </c>
    </row>
    <row r="1237" spans="4:8" x14ac:dyDescent="0.35">
      <c r="D1237" s="95" t="str">
        <f t="shared" si="19"/>
        <v/>
      </c>
      <c r="F1237" s="2" t="s">
        <v>2545</v>
      </c>
      <c r="G1237" s="2" t="s">
        <v>2546</v>
      </c>
      <c r="H1237" s="2" t="s">
        <v>4364</v>
      </c>
    </row>
    <row r="1238" spans="4:8" x14ac:dyDescent="0.35">
      <c r="D1238" s="95" t="str">
        <f t="shared" si="19"/>
        <v/>
      </c>
      <c r="F1238" s="2" t="s">
        <v>2547</v>
      </c>
      <c r="G1238" s="2" t="s">
        <v>2548</v>
      </c>
      <c r="H1238" s="2" t="s">
        <v>4364</v>
      </c>
    </row>
    <row r="1239" spans="4:8" x14ac:dyDescent="0.35">
      <c r="D1239" s="95" t="str">
        <f t="shared" si="19"/>
        <v/>
      </c>
      <c r="F1239" s="2" t="s">
        <v>2549</v>
      </c>
      <c r="G1239" s="2" t="s">
        <v>2550</v>
      </c>
      <c r="H1239" s="2" t="s">
        <v>4364</v>
      </c>
    </row>
    <row r="1240" spans="4:8" x14ac:dyDescent="0.35">
      <c r="D1240" s="95" t="str">
        <f t="shared" si="19"/>
        <v/>
      </c>
      <c r="F1240" s="2" t="s">
        <v>2551</v>
      </c>
      <c r="G1240" s="2" t="s">
        <v>2552</v>
      </c>
      <c r="H1240" s="2" t="s">
        <v>4364</v>
      </c>
    </row>
    <row r="1241" spans="4:8" x14ac:dyDescent="0.35">
      <c r="D1241" s="95" t="str">
        <f t="shared" si="19"/>
        <v/>
      </c>
      <c r="F1241" s="2" t="s">
        <v>2553</v>
      </c>
      <c r="G1241" s="2" t="s">
        <v>2554</v>
      </c>
      <c r="H1241" s="2" t="s">
        <v>4364</v>
      </c>
    </row>
    <row r="1242" spans="4:8" x14ac:dyDescent="0.35">
      <c r="D1242" s="95" t="str">
        <f t="shared" si="19"/>
        <v/>
      </c>
      <c r="F1242" s="2" t="s">
        <v>2555</v>
      </c>
      <c r="G1242" s="2" t="s">
        <v>2556</v>
      </c>
      <c r="H1242" s="2" t="s">
        <v>4364</v>
      </c>
    </row>
    <row r="1243" spans="4:8" x14ac:dyDescent="0.35">
      <c r="D1243" s="95" t="str">
        <f t="shared" si="19"/>
        <v/>
      </c>
      <c r="F1243" s="2" t="s">
        <v>2557</v>
      </c>
      <c r="G1243" s="2" t="s">
        <v>2558</v>
      </c>
      <c r="H1243" s="2" t="s">
        <v>4364</v>
      </c>
    </row>
    <row r="1244" spans="4:8" x14ac:dyDescent="0.35">
      <c r="D1244" s="95" t="str">
        <f t="shared" si="19"/>
        <v/>
      </c>
      <c r="F1244" s="2" t="s">
        <v>2559</v>
      </c>
      <c r="G1244" s="2" t="s">
        <v>2560</v>
      </c>
      <c r="H1244" s="2" t="s">
        <v>4364</v>
      </c>
    </row>
    <row r="1245" spans="4:8" x14ac:dyDescent="0.35">
      <c r="D1245" s="95" t="str">
        <f t="shared" si="19"/>
        <v/>
      </c>
      <c r="F1245" s="2" t="s">
        <v>2561</v>
      </c>
      <c r="G1245" s="2" t="s">
        <v>2562</v>
      </c>
      <c r="H1245" s="2" t="s">
        <v>4364</v>
      </c>
    </row>
    <row r="1246" spans="4:8" x14ac:dyDescent="0.35">
      <c r="D1246" s="95" t="str">
        <f t="shared" si="19"/>
        <v/>
      </c>
      <c r="F1246" s="2" t="s">
        <v>2563</v>
      </c>
      <c r="G1246" s="2" t="s">
        <v>2564</v>
      </c>
      <c r="H1246" s="2" t="s">
        <v>4364</v>
      </c>
    </row>
    <row r="1247" spans="4:8" x14ac:dyDescent="0.35">
      <c r="D1247" s="95" t="str">
        <f t="shared" si="19"/>
        <v/>
      </c>
      <c r="F1247" s="2" t="s">
        <v>2565</v>
      </c>
      <c r="G1247" s="2" t="s">
        <v>2566</v>
      </c>
      <c r="H1247" s="2" t="s">
        <v>4364</v>
      </c>
    </row>
    <row r="1248" spans="4:8" x14ac:dyDescent="0.35">
      <c r="D1248" s="95" t="str">
        <f t="shared" si="19"/>
        <v/>
      </c>
      <c r="F1248" s="2" t="s">
        <v>2567</v>
      </c>
      <c r="G1248" s="2" t="s">
        <v>2568</v>
      </c>
      <c r="H1248" s="2" t="s">
        <v>4364</v>
      </c>
    </row>
    <row r="1249" spans="4:8" x14ac:dyDescent="0.35">
      <c r="D1249" s="95" t="str">
        <f t="shared" si="19"/>
        <v/>
      </c>
      <c r="F1249" s="2" t="s">
        <v>2569</v>
      </c>
      <c r="G1249" s="2" t="s">
        <v>2570</v>
      </c>
      <c r="H1249" s="2" t="s">
        <v>4364</v>
      </c>
    </row>
    <row r="1250" spans="4:8" x14ac:dyDescent="0.35">
      <c r="D1250" s="95" t="str">
        <f t="shared" si="19"/>
        <v/>
      </c>
      <c r="F1250" s="2" t="s">
        <v>2571</v>
      </c>
      <c r="G1250" s="2" t="s">
        <v>2572</v>
      </c>
      <c r="H1250" s="2" t="s">
        <v>4364</v>
      </c>
    </row>
    <row r="1251" spans="4:8" x14ac:dyDescent="0.35">
      <c r="D1251" s="95" t="str">
        <f t="shared" si="19"/>
        <v/>
      </c>
      <c r="F1251" s="2" t="s">
        <v>2573</v>
      </c>
      <c r="G1251" s="2" t="s">
        <v>2574</v>
      </c>
      <c r="H1251" s="2" t="s">
        <v>4364</v>
      </c>
    </row>
    <row r="1252" spans="4:8" x14ac:dyDescent="0.35">
      <c r="D1252" s="95" t="str">
        <f t="shared" si="19"/>
        <v/>
      </c>
      <c r="F1252" s="2" t="s">
        <v>2575</v>
      </c>
      <c r="G1252" s="2" t="s">
        <v>2576</v>
      </c>
      <c r="H1252" s="2" t="s">
        <v>4364</v>
      </c>
    </row>
    <row r="1253" spans="4:8" x14ac:dyDescent="0.35">
      <c r="D1253" s="95" t="str">
        <f t="shared" si="19"/>
        <v/>
      </c>
      <c r="F1253" s="2" t="s">
        <v>2577</v>
      </c>
      <c r="G1253" s="2" t="s">
        <v>2578</v>
      </c>
      <c r="H1253" s="2" t="s">
        <v>4364</v>
      </c>
    </row>
    <row r="1254" spans="4:8" x14ac:dyDescent="0.35">
      <c r="D1254" s="95" t="str">
        <f t="shared" si="19"/>
        <v/>
      </c>
      <c r="F1254" s="2" t="s">
        <v>2579</v>
      </c>
      <c r="G1254" s="2" t="s">
        <v>2580</v>
      </c>
      <c r="H1254" s="2" t="s">
        <v>4364</v>
      </c>
    </row>
    <row r="1255" spans="4:8" x14ac:dyDescent="0.35">
      <c r="D1255" s="95" t="str">
        <f t="shared" si="19"/>
        <v/>
      </c>
      <c r="F1255" s="2" t="s">
        <v>2581</v>
      </c>
      <c r="G1255" s="2" t="s">
        <v>2582</v>
      </c>
      <c r="H1255" s="2" t="s">
        <v>4364</v>
      </c>
    </row>
    <row r="1256" spans="4:8" x14ac:dyDescent="0.35">
      <c r="D1256" s="95" t="str">
        <f t="shared" si="19"/>
        <v/>
      </c>
      <c r="F1256" s="2" t="s">
        <v>2583</v>
      </c>
      <c r="G1256" s="2" t="s">
        <v>2584</v>
      </c>
      <c r="H1256" s="2" t="s">
        <v>4364</v>
      </c>
    </row>
    <row r="1257" spans="4:8" x14ac:dyDescent="0.35">
      <c r="D1257" s="95" t="str">
        <f t="shared" si="19"/>
        <v/>
      </c>
      <c r="F1257" s="2" t="s">
        <v>2585</v>
      </c>
      <c r="G1257" s="2" t="s">
        <v>2586</v>
      </c>
      <c r="H1257" s="2" t="s">
        <v>4364</v>
      </c>
    </row>
    <row r="1258" spans="4:8" x14ac:dyDescent="0.35">
      <c r="D1258" s="95" t="str">
        <f t="shared" si="19"/>
        <v/>
      </c>
      <c r="F1258" s="2" t="s">
        <v>2587</v>
      </c>
      <c r="G1258" s="2" t="s">
        <v>2588</v>
      </c>
      <c r="H1258" s="2" t="s">
        <v>4364</v>
      </c>
    </row>
    <row r="1259" spans="4:8" x14ac:dyDescent="0.35">
      <c r="D1259" s="95" t="str">
        <f t="shared" si="19"/>
        <v/>
      </c>
      <c r="F1259" s="2" t="s">
        <v>2589</v>
      </c>
      <c r="G1259" s="2" t="s">
        <v>2590</v>
      </c>
      <c r="H1259" s="2" t="s">
        <v>4364</v>
      </c>
    </row>
    <row r="1260" spans="4:8" x14ac:dyDescent="0.35">
      <c r="D1260" s="95" t="str">
        <f t="shared" si="19"/>
        <v/>
      </c>
      <c r="F1260" s="2" t="s">
        <v>2591</v>
      </c>
      <c r="G1260" s="2" t="s">
        <v>2592</v>
      </c>
      <c r="H1260" s="2" t="s">
        <v>4364</v>
      </c>
    </row>
    <row r="1261" spans="4:8" x14ac:dyDescent="0.35">
      <c r="D1261" s="95" t="str">
        <f t="shared" si="19"/>
        <v/>
      </c>
      <c r="F1261" s="2" t="s">
        <v>2593</v>
      </c>
      <c r="G1261" s="2" t="s">
        <v>2594</v>
      </c>
      <c r="H1261" s="2" t="s">
        <v>4364</v>
      </c>
    </row>
    <row r="1262" spans="4:8" x14ac:dyDescent="0.35">
      <c r="D1262" s="95" t="str">
        <f t="shared" si="19"/>
        <v/>
      </c>
      <c r="F1262" s="2" t="s">
        <v>2595</v>
      </c>
      <c r="G1262" s="2" t="s">
        <v>2596</v>
      </c>
      <c r="H1262" s="2" t="s">
        <v>4364</v>
      </c>
    </row>
    <row r="1263" spans="4:8" x14ac:dyDescent="0.35">
      <c r="D1263" s="95" t="str">
        <f t="shared" si="19"/>
        <v/>
      </c>
      <c r="F1263" s="2" t="s">
        <v>2597</v>
      </c>
      <c r="G1263" s="2" t="s">
        <v>2598</v>
      </c>
      <c r="H1263" s="2" t="s">
        <v>4364</v>
      </c>
    </row>
    <row r="1264" spans="4:8" x14ac:dyDescent="0.35">
      <c r="D1264" s="95" t="str">
        <f t="shared" si="19"/>
        <v/>
      </c>
      <c r="F1264" s="2" t="s">
        <v>2599</v>
      </c>
      <c r="G1264" s="2" t="s">
        <v>2600</v>
      </c>
      <c r="H1264" s="2" t="s">
        <v>4364</v>
      </c>
    </row>
    <row r="1265" spans="4:8" x14ac:dyDescent="0.35">
      <c r="D1265" s="95" t="str">
        <f t="shared" si="19"/>
        <v/>
      </c>
      <c r="F1265" s="2" t="s">
        <v>2601</v>
      </c>
      <c r="G1265" s="2" t="s">
        <v>2602</v>
      </c>
      <c r="H1265" s="2" t="s">
        <v>4364</v>
      </c>
    </row>
    <row r="1266" spans="4:8" x14ac:dyDescent="0.35">
      <c r="D1266" s="95" t="str">
        <f t="shared" si="19"/>
        <v/>
      </c>
      <c r="F1266" s="2" t="s">
        <v>2603</v>
      </c>
      <c r="G1266" s="2" t="s">
        <v>2604</v>
      </c>
      <c r="H1266" s="2" t="s">
        <v>4364</v>
      </c>
    </row>
    <row r="1267" spans="4:8" x14ac:dyDescent="0.35">
      <c r="D1267" s="95" t="str">
        <f t="shared" si="19"/>
        <v/>
      </c>
      <c r="F1267" s="2" t="s">
        <v>2605</v>
      </c>
      <c r="G1267" s="2" t="s">
        <v>2606</v>
      </c>
      <c r="H1267" s="2" t="s">
        <v>4364</v>
      </c>
    </row>
    <row r="1268" spans="4:8" x14ac:dyDescent="0.35">
      <c r="D1268" s="95" t="str">
        <f t="shared" si="19"/>
        <v/>
      </c>
      <c r="F1268" s="2" t="s">
        <v>2607</v>
      </c>
      <c r="G1268" s="2" t="s">
        <v>2608</v>
      </c>
      <c r="H1268" s="2" t="s">
        <v>4364</v>
      </c>
    </row>
    <row r="1269" spans="4:8" x14ac:dyDescent="0.35">
      <c r="D1269" s="95" t="str">
        <f t="shared" si="19"/>
        <v/>
      </c>
      <c r="F1269" s="2" t="s">
        <v>2609</v>
      </c>
      <c r="G1269" s="2" t="s">
        <v>2610</v>
      </c>
      <c r="H1269" s="2" t="s">
        <v>4364</v>
      </c>
    </row>
    <row r="1270" spans="4:8" x14ac:dyDescent="0.35">
      <c r="D1270" s="95" t="str">
        <f t="shared" si="19"/>
        <v/>
      </c>
      <c r="F1270" s="2" t="s">
        <v>2611</v>
      </c>
      <c r="G1270" s="2" t="s">
        <v>2612</v>
      </c>
      <c r="H1270" s="2" t="s">
        <v>4364</v>
      </c>
    </row>
    <row r="1271" spans="4:8" x14ac:dyDescent="0.35">
      <c r="D1271" s="95" t="str">
        <f t="shared" si="19"/>
        <v/>
      </c>
      <c r="F1271" s="2" t="s">
        <v>2613</v>
      </c>
      <c r="G1271" s="2" t="s">
        <v>2614</v>
      </c>
      <c r="H1271" s="2" t="s">
        <v>4364</v>
      </c>
    </row>
    <row r="1272" spans="4:8" x14ac:dyDescent="0.35">
      <c r="D1272" s="95" t="str">
        <f t="shared" si="19"/>
        <v/>
      </c>
      <c r="F1272" s="2" t="s">
        <v>2615</v>
      </c>
      <c r="G1272" s="2" t="s">
        <v>2616</v>
      </c>
      <c r="H1272" s="2" t="s">
        <v>4364</v>
      </c>
    </row>
    <row r="1273" spans="4:8" x14ac:dyDescent="0.35">
      <c r="D1273" s="95" t="str">
        <f t="shared" si="19"/>
        <v/>
      </c>
      <c r="F1273" s="2" t="s">
        <v>2617</v>
      </c>
      <c r="G1273" s="2" t="s">
        <v>2618</v>
      </c>
      <c r="H1273" s="2" t="s">
        <v>4364</v>
      </c>
    </row>
    <row r="1274" spans="4:8" x14ac:dyDescent="0.35">
      <c r="D1274" s="95" t="str">
        <f t="shared" si="19"/>
        <v/>
      </c>
      <c r="F1274" s="2" t="s">
        <v>2619</v>
      </c>
      <c r="G1274" s="2" t="s">
        <v>2620</v>
      </c>
      <c r="H1274" s="2" t="s">
        <v>4364</v>
      </c>
    </row>
    <row r="1275" spans="4:8" x14ac:dyDescent="0.35">
      <c r="D1275" s="95" t="str">
        <f t="shared" si="19"/>
        <v/>
      </c>
      <c r="F1275" s="2" t="s">
        <v>2621</v>
      </c>
      <c r="G1275" s="2" t="s">
        <v>2622</v>
      </c>
      <c r="H1275" s="2" t="s">
        <v>4364</v>
      </c>
    </row>
    <row r="1276" spans="4:8" x14ac:dyDescent="0.35">
      <c r="D1276" s="95" t="str">
        <f t="shared" si="19"/>
        <v/>
      </c>
      <c r="F1276" s="2" t="s">
        <v>2623</v>
      </c>
      <c r="G1276" s="2" t="s">
        <v>2624</v>
      </c>
      <c r="H1276" s="2" t="s">
        <v>4364</v>
      </c>
    </row>
    <row r="1277" spans="4:8" x14ac:dyDescent="0.35">
      <c r="D1277" s="95" t="str">
        <f t="shared" si="19"/>
        <v/>
      </c>
      <c r="F1277" s="2" t="s">
        <v>2625</v>
      </c>
      <c r="G1277" s="2" t="s">
        <v>2626</v>
      </c>
      <c r="H1277" s="2" t="s">
        <v>4364</v>
      </c>
    </row>
    <row r="1278" spans="4:8" x14ac:dyDescent="0.35">
      <c r="D1278" s="95" t="str">
        <f t="shared" si="19"/>
        <v/>
      </c>
      <c r="F1278" s="2" t="s">
        <v>2627</v>
      </c>
      <c r="G1278" s="2" t="s">
        <v>2628</v>
      </c>
      <c r="H1278" s="2" t="s">
        <v>4364</v>
      </c>
    </row>
    <row r="1279" spans="4:8" x14ac:dyDescent="0.35">
      <c r="D1279" s="95" t="str">
        <f t="shared" si="19"/>
        <v/>
      </c>
      <c r="F1279" s="2" t="s">
        <v>2629</v>
      </c>
      <c r="G1279" s="2" t="s">
        <v>2630</v>
      </c>
      <c r="H1279" s="2" t="s">
        <v>4364</v>
      </c>
    </row>
    <row r="1280" spans="4:8" x14ac:dyDescent="0.35">
      <c r="D1280" s="95" t="str">
        <f t="shared" si="19"/>
        <v/>
      </c>
      <c r="F1280" s="2" t="s">
        <v>2631</v>
      </c>
      <c r="G1280" s="2" t="s">
        <v>2632</v>
      </c>
      <c r="H1280" s="2" t="s">
        <v>4364</v>
      </c>
    </row>
    <row r="1281" spans="4:8" x14ac:dyDescent="0.35">
      <c r="D1281" s="95" t="str">
        <f t="shared" si="19"/>
        <v/>
      </c>
      <c r="F1281" s="2" t="s">
        <v>2633</v>
      </c>
      <c r="G1281" s="2" t="s">
        <v>2634</v>
      </c>
      <c r="H1281" s="2" t="s">
        <v>4364</v>
      </c>
    </row>
    <row r="1282" spans="4:8" x14ac:dyDescent="0.35">
      <c r="D1282" s="95" t="str">
        <f t="shared" si="19"/>
        <v/>
      </c>
      <c r="F1282" s="2" t="s">
        <v>2635</v>
      </c>
      <c r="G1282" s="2" t="s">
        <v>2636</v>
      </c>
      <c r="H1282" s="2" t="s">
        <v>4364</v>
      </c>
    </row>
    <row r="1283" spans="4:8" x14ac:dyDescent="0.35">
      <c r="D1283" s="95" t="str">
        <f t="shared" si="19"/>
        <v/>
      </c>
      <c r="F1283" s="2" t="s">
        <v>2637</v>
      </c>
      <c r="G1283" s="2" t="s">
        <v>2638</v>
      </c>
      <c r="H1283" s="2" t="s">
        <v>4364</v>
      </c>
    </row>
    <row r="1284" spans="4:8" x14ac:dyDescent="0.35">
      <c r="D1284" s="95" t="str">
        <f t="shared" si="19"/>
        <v/>
      </c>
      <c r="F1284" s="2" t="s">
        <v>2639</v>
      </c>
      <c r="G1284" s="2" t="s">
        <v>2640</v>
      </c>
      <c r="H1284" s="2" t="s">
        <v>4364</v>
      </c>
    </row>
    <row r="1285" spans="4:8" x14ac:dyDescent="0.35">
      <c r="D1285" s="95" t="str">
        <f t="shared" si="19"/>
        <v/>
      </c>
      <c r="F1285" s="2" t="s">
        <v>2641</v>
      </c>
      <c r="G1285" s="2" t="s">
        <v>2642</v>
      </c>
      <c r="H1285" s="2" t="s">
        <v>4364</v>
      </c>
    </row>
    <row r="1286" spans="4:8" x14ac:dyDescent="0.35">
      <c r="D1286" s="95" t="str">
        <f t="shared" si="19"/>
        <v/>
      </c>
      <c r="F1286" s="2" t="s">
        <v>2643</v>
      </c>
      <c r="G1286" s="2" t="s">
        <v>2644</v>
      </c>
      <c r="H1286" s="2" t="s">
        <v>4364</v>
      </c>
    </row>
    <row r="1287" spans="4:8" x14ac:dyDescent="0.35">
      <c r="D1287" s="95" t="str">
        <f t="shared" si="19"/>
        <v/>
      </c>
      <c r="F1287" s="2" t="s">
        <v>2645</v>
      </c>
      <c r="G1287" s="2" t="s">
        <v>2646</v>
      </c>
      <c r="H1287" s="2" t="s">
        <v>4364</v>
      </c>
    </row>
    <row r="1288" spans="4:8" x14ac:dyDescent="0.35">
      <c r="D1288" s="95" t="str">
        <f t="shared" ref="D1288:D1351" si="20">IFERROR(INDEX($F$6:$G$1048576,MATCH($C1288,$G$6:$G$1048576,0),MATCH($D$6,$F$6:$G$6,0)),"")</f>
        <v/>
      </c>
      <c r="F1288" s="2" t="s">
        <v>2647</v>
      </c>
      <c r="G1288" s="2" t="s">
        <v>2648</v>
      </c>
      <c r="H1288" s="2" t="s">
        <v>4364</v>
      </c>
    </row>
    <row r="1289" spans="4:8" x14ac:dyDescent="0.35">
      <c r="D1289" s="95" t="str">
        <f t="shared" si="20"/>
        <v/>
      </c>
      <c r="F1289" s="2" t="s">
        <v>2649</v>
      </c>
      <c r="G1289" s="2" t="s">
        <v>2650</v>
      </c>
      <c r="H1289" s="2" t="s">
        <v>4364</v>
      </c>
    </row>
    <row r="1290" spans="4:8" x14ac:dyDescent="0.35">
      <c r="D1290" s="95" t="str">
        <f t="shared" si="20"/>
        <v/>
      </c>
      <c r="F1290" s="2" t="s">
        <v>2651</v>
      </c>
      <c r="G1290" s="2" t="s">
        <v>2652</v>
      </c>
      <c r="H1290" s="2" t="s">
        <v>4364</v>
      </c>
    </row>
    <row r="1291" spans="4:8" x14ac:dyDescent="0.35">
      <c r="D1291" s="95" t="str">
        <f t="shared" si="20"/>
        <v/>
      </c>
      <c r="F1291" s="2" t="s">
        <v>2653</v>
      </c>
      <c r="G1291" s="2" t="s">
        <v>2654</v>
      </c>
      <c r="H1291" s="2" t="s">
        <v>4364</v>
      </c>
    </row>
    <row r="1292" spans="4:8" x14ac:dyDescent="0.35">
      <c r="D1292" s="95" t="str">
        <f t="shared" si="20"/>
        <v/>
      </c>
      <c r="F1292" s="2" t="s">
        <v>2655</v>
      </c>
      <c r="G1292" s="2" t="s">
        <v>2656</v>
      </c>
      <c r="H1292" s="2" t="s">
        <v>4364</v>
      </c>
    </row>
    <row r="1293" spans="4:8" x14ac:dyDescent="0.35">
      <c r="D1293" s="95" t="str">
        <f t="shared" si="20"/>
        <v/>
      </c>
      <c r="F1293" s="2" t="s">
        <v>2657</v>
      </c>
      <c r="G1293" s="2" t="s">
        <v>2658</v>
      </c>
      <c r="H1293" s="2" t="s">
        <v>4364</v>
      </c>
    </row>
    <row r="1294" spans="4:8" x14ac:dyDescent="0.35">
      <c r="D1294" s="95" t="str">
        <f t="shared" si="20"/>
        <v/>
      </c>
      <c r="F1294" s="2" t="s">
        <v>2659</v>
      </c>
      <c r="G1294" s="2" t="s">
        <v>2660</v>
      </c>
      <c r="H1294" s="2" t="s">
        <v>4364</v>
      </c>
    </row>
    <row r="1295" spans="4:8" x14ac:dyDescent="0.35">
      <c r="D1295" s="95" t="str">
        <f t="shared" si="20"/>
        <v/>
      </c>
      <c r="F1295" s="2" t="s">
        <v>2661</v>
      </c>
      <c r="G1295" s="2" t="s">
        <v>2662</v>
      </c>
      <c r="H1295" s="2" t="s">
        <v>4364</v>
      </c>
    </row>
    <row r="1296" spans="4:8" x14ac:dyDescent="0.35">
      <c r="D1296" s="95" t="str">
        <f t="shared" si="20"/>
        <v/>
      </c>
      <c r="F1296" s="2" t="s">
        <v>2663</v>
      </c>
      <c r="G1296" s="2" t="s">
        <v>2664</v>
      </c>
      <c r="H1296" s="2" t="s">
        <v>4364</v>
      </c>
    </row>
    <row r="1297" spans="4:8" x14ac:dyDescent="0.35">
      <c r="D1297" s="95" t="str">
        <f t="shared" si="20"/>
        <v/>
      </c>
      <c r="F1297" s="2" t="s">
        <v>2665</v>
      </c>
      <c r="G1297" s="2" t="s">
        <v>2666</v>
      </c>
      <c r="H1297" s="2" t="s">
        <v>4364</v>
      </c>
    </row>
    <row r="1298" spans="4:8" x14ac:dyDescent="0.35">
      <c r="D1298" s="95" t="str">
        <f t="shared" si="20"/>
        <v/>
      </c>
      <c r="F1298" s="2" t="s">
        <v>2667</v>
      </c>
      <c r="G1298" s="2" t="s">
        <v>2668</v>
      </c>
      <c r="H1298" s="2" t="s">
        <v>4364</v>
      </c>
    </row>
    <row r="1299" spans="4:8" x14ac:dyDescent="0.35">
      <c r="D1299" s="95" t="str">
        <f t="shared" si="20"/>
        <v/>
      </c>
      <c r="F1299" s="2" t="s">
        <v>2669</v>
      </c>
      <c r="G1299" s="2" t="s">
        <v>2670</v>
      </c>
      <c r="H1299" s="2" t="s">
        <v>4364</v>
      </c>
    </row>
    <row r="1300" spans="4:8" x14ac:dyDescent="0.35">
      <c r="D1300" s="95" t="str">
        <f t="shared" si="20"/>
        <v/>
      </c>
      <c r="F1300" s="2" t="s">
        <v>2671</v>
      </c>
      <c r="G1300" s="2" t="s">
        <v>2672</v>
      </c>
      <c r="H1300" s="2" t="s">
        <v>4364</v>
      </c>
    </row>
    <row r="1301" spans="4:8" x14ac:dyDescent="0.35">
      <c r="D1301" s="95" t="str">
        <f t="shared" si="20"/>
        <v/>
      </c>
      <c r="F1301" s="2" t="s">
        <v>2673</v>
      </c>
      <c r="G1301" s="2" t="s">
        <v>2674</v>
      </c>
      <c r="H1301" s="2" t="s">
        <v>4364</v>
      </c>
    </row>
    <row r="1302" spans="4:8" x14ac:dyDescent="0.35">
      <c r="D1302" s="95" t="str">
        <f t="shared" si="20"/>
        <v/>
      </c>
      <c r="F1302" s="2" t="s">
        <v>2675</v>
      </c>
      <c r="G1302" s="2" t="s">
        <v>2676</v>
      </c>
      <c r="H1302" s="2" t="s">
        <v>4364</v>
      </c>
    </row>
    <row r="1303" spans="4:8" x14ac:dyDescent="0.35">
      <c r="D1303" s="95" t="str">
        <f t="shared" si="20"/>
        <v/>
      </c>
      <c r="F1303" s="2" t="s">
        <v>2677</v>
      </c>
      <c r="G1303" s="2" t="s">
        <v>2678</v>
      </c>
      <c r="H1303" s="2" t="s">
        <v>4364</v>
      </c>
    </row>
    <row r="1304" spans="4:8" x14ac:dyDescent="0.35">
      <c r="D1304" s="95" t="str">
        <f t="shared" si="20"/>
        <v/>
      </c>
      <c r="F1304" s="2" t="s">
        <v>2679</v>
      </c>
      <c r="G1304" s="2" t="s">
        <v>2680</v>
      </c>
      <c r="H1304" s="2" t="s">
        <v>4364</v>
      </c>
    </row>
    <row r="1305" spans="4:8" x14ac:dyDescent="0.35">
      <c r="D1305" s="95" t="str">
        <f t="shared" si="20"/>
        <v/>
      </c>
      <c r="F1305" s="2" t="s">
        <v>2681</v>
      </c>
      <c r="G1305" s="2" t="s">
        <v>2682</v>
      </c>
      <c r="H1305" s="2" t="s">
        <v>4364</v>
      </c>
    </row>
    <row r="1306" spans="4:8" x14ac:dyDescent="0.35">
      <c r="D1306" s="95" t="str">
        <f t="shared" si="20"/>
        <v/>
      </c>
      <c r="F1306" s="2" t="s">
        <v>2683</v>
      </c>
      <c r="G1306" s="2" t="s">
        <v>2684</v>
      </c>
      <c r="H1306" s="2" t="s">
        <v>4364</v>
      </c>
    </row>
    <row r="1307" spans="4:8" x14ac:dyDescent="0.35">
      <c r="D1307" s="95" t="str">
        <f t="shared" si="20"/>
        <v/>
      </c>
      <c r="F1307" s="2" t="s">
        <v>2685</v>
      </c>
      <c r="G1307" s="2" t="s">
        <v>2686</v>
      </c>
      <c r="H1307" s="2" t="s">
        <v>4364</v>
      </c>
    </row>
    <row r="1308" spans="4:8" x14ac:dyDescent="0.35">
      <c r="D1308" s="95" t="str">
        <f t="shared" si="20"/>
        <v/>
      </c>
      <c r="F1308" s="2" t="s">
        <v>2687</v>
      </c>
      <c r="G1308" s="2" t="s">
        <v>96</v>
      </c>
      <c r="H1308" s="2" t="s">
        <v>4364</v>
      </c>
    </row>
    <row r="1309" spans="4:8" x14ac:dyDescent="0.35">
      <c r="D1309" s="95" t="str">
        <f t="shared" si="20"/>
        <v/>
      </c>
      <c r="F1309" s="2" t="s">
        <v>2688</v>
      </c>
      <c r="G1309" s="2" t="s">
        <v>2689</v>
      </c>
      <c r="H1309" s="2" t="s">
        <v>4364</v>
      </c>
    </row>
    <row r="1310" spans="4:8" x14ac:dyDescent="0.35">
      <c r="D1310" s="95" t="str">
        <f t="shared" si="20"/>
        <v/>
      </c>
      <c r="F1310" s="2" t="s">
        <v>2690</v>
      </c>
      <c r="G1310" s="2" t="s">
        <v>2691</v>
      </c>
      <c r="H1310" s="2" t="s">
        <v>4364</v>
      </c>
    </row>
    <row r="1311" spans="4:8" x14ac:dyDescent="0.35">
      <c r="D1311" s="95" t="str">
        <f t="shared" si="20"/>
        <v/>
      </c>
      <c r="F1311" s="2" t="s">
        <v>2692</v>
      </c>
      <c r="G1311" s="2" t="s">
        <v>2693</v>
      </c>
      <c r="H1311" s="2" t="s">
        <v>4364</v>
      </c>
    </row>
    <row r="1312" spans="4:8" x14ac:dyDescent="0.35">
      <c r="D1312" s="95" t="str">
        <f t="shared" si="20"/>
        <v/>
      </c>
      <c r="F1312" s="2" t="s">
        <v>2694</v>
      </c>
      <c r="G1312" s="2" t="s">
        <v>2695</v>
      </c>
      <c r="H1312" s="2" t="s">
        <v>4364</v>
      </c>
    </row>
    <row r="1313" spans="4:8" x14ac:dyDescent="0.35">
      <c r="D1313" s="95" t="str">
        <f t="shared" si="20"/>
        <v/>
      </c>
      <c r="F1313" s="2" t="s">
        <v>2696</v>
      </c>
      <c r="G1313" s="2" t="s">
        <v>2697</v>
      </c>
      <c r="H1313" s="2" t="s">
        <v>4364</v>
      </c>
    </row>
    <row r="1314" spans="4:8" x14ac:dyDescent="0.35">
      <c r="D1314" s="95" t="str">
        <f t="shared" si="20"/>
        <v/>
      </c>
      <c r="F1314" s="2" t="s">
        <v>2698</v>
      </c>
      <c r="G1314" s="2" t="s">
        <v>2699</v>
      </c>
      <c r="H1314" s="2" t="s">
        <v>4364</v>
      </c>
    </row>
    <row r="1315" spans="4:8" x14ac:dyDescent="0.35">
      <c r="D1315" s="95" t="str">
        <f t="shared" si="20"/>
        <v/>
      </c>
      <c r="F1315" s="2" t="s">
        <v>2700</v>
      </c>
      <c r="G1315" s="2" t="s">
        <v>2701</v>
      </c>
      <c r="H1315" s="2" t="s">
        <v>4364</v>
      </c>
    </row>
    <row r="1316" spans="4:8" x14ac:dyDescent="0.35">
      <c r="D1316" s="95" t="str">
        <f t="shared" si="20"/>
        <v/>
      </c>
      <c r="F1316" s="2" t="s">
        <v>2702</v>
      </c>
      <c r="G1316" s="2" t="s">
        <v>2703</v>
      </c>
      <c r="H1316" s="2" t="s">
        <v>4364</v>
      </c>
    </row>
    <row r="1317" spans="4:8" x14ac:dyDescent="0.35">
      <c r="D1317" s="95" t="str">
        <f t="shared" si="20"/>
        <v/>
      </c>
      <c r="F1317" s="2" t="s">
        <v>2704</v>
      </c>
      <c r="G1317" s="2" t="s">
        <v>2705</v>
      </c>
      <c r="H1317" s="2" t="s">
        <v>4364</v>
      </c>
    </row>
    <row r="1318" spans="4:8" x14ac:dyDescent="0.35">
      <c r="D1318" s="95" t="str">
        <f t="shared" si="20"/>
        <v/>
      </c>
      <c r="F1318" s="2" t="s">
        <v>2706</v>
      </c>
      <c r="G1318" s="2" t="s">
        <v>2707</v>
      </c>
      <c r="H1318" s="2" t="s">
        <v>4364</v>
      </c>
    </row>
    <row r="1319" spans="4:8" x14ac:dyDescent="0.35">
      <c r="D1319" s="95" t="str">
        <f t="shared" si="20"/>
        <v/>
      </c>
      <c r="F1319" s="2" t="s">
        <v>2708</v>
      </c>
      <c r="G1319" s="2" t="s">
        <v>2709</v>
      </c>
      <c r="H1319" s="2" t="s">
        <v>4364</v>
      </c>
    </row>
    <row r="1320" spans="4:8" x14ac:dyDescent="0.35">
      <c r="D1320" s="95" t="str">
        <f t="shared" si="20"/>
        <v/>
      </c>
      <c r="F1320" s="2" t="s">
        <v>2710</v>
      </c>
      <c r="G1320" s="2" t="s">
        <v>2711</v>
      </c>
      <c r="H1320" s="2" t="s">
        <v>4364</v>
      </c>
    </row>
    <row r="1321" spans="4:8" x14ac:dyDescent="0.35">
      <c r="D1321" s="95" t="str">
        <f t="shared" si="20"/>
        <v/>
      </c>
      <c r="F1321" s="2" t="s">
        <v>2712</v>
      </c>
      <c r="G1321" s="2" t="s">
        <v>2713</v>
      </c>
      <c r="H1321" s="2" t="s">
        <v>4364</v>
      </c>
    </row>
    <row r="1322" spans="4:8" x14ac:dyDescent="0.35">
      <c r="D1322" s="95" t="str">
        <f t="shared" si="20"/>
        <v/>
      </c>
      <c r="F1322" s="2" t="s">
        <v>2714</v>
      </c>
      <c r="G1322" s="2" t="s">
        <v>2715</v>
      </c>
      <c r="H1322" s="2" t="s">
        <v>4364</v>
      </c>
    </row>
    <row r="1323" spans="4:8" x14ac:dyDescent="0.35">
      <c r="D1323" s="95" t="str">
        <f t="shared" si="20"/>
        <v/>
      </c>
      <c r="F1323" s="2" t="s">
        <v>2716</v>
      </c>
      <c r="G1323" s="2" t="s">
        <v>2717</v>
      </c>
      <c r="H1323" s="2" t="s">
        <v>4364</v>
      </c>
    </row>
    <row r="1324" spans="4:8" x14ac:dyDescent="0.35">
      <c r="D1324" s="95" t="str">
        <f t="shared" si="20"/>
        <v/>
      </c>
      <c r="F1324" s="2" t="s">
        <v>2718</v>
      </c>
      <c r="G1324" s="2" t="s">
        <v>2719</v>
      </c>
      <c r="H1324" s="2" t="s">
        <v>4364</v>
      </c>
    </row>
    <row r="1325" spans="4:8" x14ac:dyDescent="0.35">
      <c r="D1325" s="95" t="str">
        <f t="shared" si="20"/>
        <v/>
      </c>
      <c r="F1325" s="2" t="s">
        <v>2720</v>
      </c>
      <c r="G1325" s="2" t="s">
        <v>2721</v>
      </c>
      <c r="H1325" s="2" t="s">
        <v>4364</v>
      </c>
    </row>
    <row r="1326" spans="4:8" x14ac:dyDescent="0.35">
      <c r="D1326" s="95" t="str">
        <f t="shared" si="20"/>
        <v/>
      </c>
      <c r="F1326" s="2" t="s">
        <v>2722</v>
      </c>
      <c r="G1326" s="2" t="s">
        <v>2723</v>
      </c>
      <c r="H1326" s="2" t="s">
        <v>4364</v>
      </c>
    </row>
    <row r="1327" spans="4:8" x14ac:dyDescent="0.35">
      <c r="D1327" s="95" t="str">
        <f t="shared" si="20"/>
        <v/>
      </c>
      <c r="F1327" s="2" t="s">
        <v>2724</v>
      </c>
      <c r="G1327" s="2" t="s">
        <v>2725</v>
      </c>
      <c r="H1327" s="2" t="s">
        <v>4364</v>
      </c>
    </row>
    <row r="1328" spans="4:8" x14ac:dyDescent="0.35">
      <c r="D1328" s="95" t="str">
        <f t="shared" si="20"/>
        <v/>
      </c>
      <c r="F1328" s="2" t="s">
        <v>2726</v>
      </c>
      <c r="G1328" s="2" t="s">
        <v>2727</v>
      </c>
      <c r="H1328" s="2" t="s">
        <v>4364</v>
      </c>
    </row>
    <row r="1329" spans="4:8" x14ac:dyDescent="0.35">
      <c r="D1329" s="95" t="str">
        <f t="shared" si="20"/>
        <v/>
      </c>
      <c r="F1329" s="2" t="s">
        <v>2728</v>
      </c>
      <c r="G1329" s="2" t="s">
        <v>2729</v>
      </c>
      <c r="H1329" s="2" t="s">
        <v>4364</v>
      </c>
    </row>
    <row r="1330" spans="4:8" x14ac:dyDescent="0.35">
      <c r="D1330" s="95" t="str">
        <f t="shared" si="20"/>
        <v/>
      </c>
      <c r="F1330" s="2" t="s">
        <v>2730</v>
      </c>
      <c r="G1330" s="2" t="s">
        <v>2731</v>
      </c>
      <c r="H1330" s="2" t="s">
        <v>4364</v>
      </c>
    </row>
    <row r="1331" spans="4:8" x14ac:dyDescent="0.35">
      <c r="D1331" s="95" t="str">
        <f t="shared" si="20"/>
        <v/>
      </c>
      <c r="F1331" s="2" t="s">
        <v>2732</v>
      </c>
      <c r="G1331" s="2" t="s">
        <v>2733</v>
      </c>
      <c r="H1331" s="2" t="s">
        <v>4364</v>
      </c>
    </row>
    <row r="1332" spans="4:8" x14ac:dyDescent="0.35">
      <c r="D1332" s="95" t="str">
        <f t="shared" si="20"/>
        <v/>
      </c>
      <c r="F1332" s="2" t="s">
        <v>2734</v>
      </c>
      <c r="G1332" s="2" t="s">
        <v>2735</v>
      </c>
      <c r="H1332" s="2" t="s">
        <v>4364</v>
      </c>
    </row>
    <row r="1333" spans="4:8" x14ac:dyDescent="0.35">
      <c r="D1333" s="95" t="str">
        <f t="shared" si="20"/>
        <v/>
      </c>
      <c r="F1333" s="2" t="s">
        <v>2736</v>
      </c>
      <c r="G1333" s="2" t="s">
        <v>2737</v>
      </c>
      <c r="H1333" s="2" t="s">
        <v>4364</v>
      </c>
    </row>
    <row r="1334" spans="4:8" x14ac:dyDescent="0.35">
      <c r="D1334" s="95" t="str">
        <f t="shared" si="20"/>
        <v/>
      </c>
      <c r="F1334" s="2" t="s">
        <v>2738</v>
      </c>
      <c r="G1334" s="2" t="s">
        <v>2739</v>
      </c>
      <c r="H1334" s="2" t="s">
        <v>4364</v>
      </c>
    </row>
    <row r="1335" spans="4:8" x14ac:dyDescent="0.35">
      <c r="D1335" s="95" t="str">
        <f t="shared" si="20"/>
        <v/>
      </c>
      <c r="F1335" s="2" t="s">
        <v>2740</v>
      </c>
      <c r="G1335" s="2" t="s">
        <v>2741</v>
      </c>
      <c r="H1335" s="2" t="s">
        <v>4364</v>
      </c>
    </row>
    <row r="1336" spans="4:8" x14ac:dyDescent="0.35">
      <c r="D1336" s="95" t="str">
        <f t="shared" si="20"/>
        <v/>
      </c>
      <c r="F1336" s="2" t="s">
        <v>2742</v>
      </c>
      <c r="G1336" s="2" t="s">
        <v>2743</v>
      </c>
      <c r="H1336" s="2" t="s">
        <v>4364</v>
      </c>
    </row>
    <row r="1337" spans="4:8" x14ac:dyDescent="0.35">
      <c r="D1337" s="95" t="str">
        <f t="shared" si="20"/>
        <v/>
      </c>
      <c r="F1337" s="2" t="s">
        <v>2744</v>
      </c>
      <c r="G1337" s="2" t="s">
        <v>2745</v>
      </c>
      <c r="H1337" s="2" t="s">
        <v>4364</v>
      </c>
    </row>
    <row r="1338" spans="4:8" x14ac:dyDescent="0.35">
      <c r="D1338" s="95" t="str">
        <f t="shared" si="20"/>
        <v/>
      </c>
      <c r="F1338" s="2" t="s">
        <v>2746</v>
      </c>
      <c r="G1338" s="2" t="s">
        <v>2747</v>
      </c>
      <c r="H1338" s="2" t="s">
        <v>4364</v>
      </c>
    </row>
    <row r="1339" spans="4:8" x14ac:dyDescent="0.35">
      <c r="D1339" s="95" t="str">
        <f t="shared" si="20"/>
        <v/>
      </c>
      <c r="F1339" s="2" t="s">
        <v>2748</v>
      </c>
      <c r="G1339" s="2" t="s">
        <v>2749</v>
      </c>
      <c r="H1339" s="2" t="s">
        <v>4364</v>
      </c>
    </row>
    <row r="1340" spans="4:8" x14ac:dyDescent="0.35">
      <c r="D1340" s="95" t="str">
        <f t="shared" si="20"/>
        <v/>
      </c>
      <c r="F1340" s="2" t="s">
        <v>2750</v>
      </c>
      <c r="G1340" s="2" t="s">
        <v>2751</v>
      </c>
      <c r="H1340" s="2" t="s">
        <v>4364</v>
      </c>
    </row>
    <row r="1341" spans="4:8" x14ac:dyDescent="0.35">
      <c r="D1341" s="95" t="str">
        <f t="shared" si="20"/>
        <v/>
      </c>
      <c r="F1341" s="2" t="s">
        <v>2752</v>
      </c>
      <c r="G1341" s="2" t="s">
        <v>2753</v>
      </c>
      <c r="H1341" s="2" t="s">
        <v>4364</v>
      </c>
    </row>
    <row r="1342" spans="4:8" x14ac:dyDescent="0.35">
      <c r="D1342" s="95" t="str">
        <f t="shared" si="20"/>
        <v/>
      </c>
      <c r="F1342" s="2" t="s">
        <v>2754</v>
      </c>
      <c r="G1342" s="2" t="s">
        <v>2755</v>
      </c>
      <c r="H1342" s="2" t="s">
        <v>4364</v>
      </c>
    </row>
    <row r="1343" spans="4:8" x14ac:dyDescent="0.35">
      <c r="D1343" s="95" t="str">
        <f t="shared" si="20"/>
        <v/>
      </c>
      <c r="F1343" s="2" t="s">
        <v>2756</v>
      </c>
      <c r="G1343" s="2" t="s">
        <v>2757</v>
      </c>
      <c r="H1343" s="2" t="s">
        <v>4364</v>
      </c>
    </row>
    <row r="1344" spans="4:8" x14ac:dyDescent="0.35">
      <c r="D1344" s="95" t="str">
        <f t="shared" si="20"/>
        <v/>
      </c>
      <c r="F1344" s="2" t="s">
        <v>2758</v>
      </c>
      <c r="G1344" s="2" t="s">
        <v>2759</v>
      </c>
      <c r="H1344" s="2" t="s">
        <v>4364</v>
      </c>
    </row>
    <row r="1345" spans="4:8" x14ac:dyDescent="0.35">
      <c r="D1345" s="95" t="str">
        <f t="shared" si="20"/>
        <v/>
      </c>
      <c r="F1345" s="2" t="s">
        <v>2760</v>
      </c>
      <c r="G1345" s="2" t="s">
        <v>2761</v>
      </c>
      <c r="H1345" s="2" t="s">
        <v>4364</v>
      </c>
    </row>
    <row r="1346" spans="4:8" x14ac:dyDescent="0.35">
      <c r="D1346" s="95" t="str">
        <f t="shared" si="20"/>
        <v/>
      </c>
      <c r="F1346" s="2" t="s">
        <v>2762</v>
      </c>
      <c r="G1346" s="2" t="s">
        <v>2763</v>
      </c>
      <c r="H1346" s="2" t="s">
        <v>4364</v>
      </c>
    </row>
    <row r="1347" spans="4:8" x14ac:dyDescent="0.35">
      <c r="D1347" s="95" t="str">
        <f t="shared" si="20"/>
        <v/>
      </c>
      <c r="F1347" s="2" t="s">
        <v>2764</v>
      </c>
      <c r="G1347" s="2" t="s">
        <v>2765</v>
      </c>
      <c r="H1347" s="2" t="s">
        <v>4364</v>
      </c>
    </row>
    <row r="1348" spans="4:8" x14ac:dyDescent="0.35">
      <c r="D1348" s="95" t="str">
        <f t="shared" si="20"/>
        <v/>
      </c>
      <c r="F1348" s="2" t="s">
        <v>2766</v>
      </c>
      <c r="G1348" s="2" t="s">
        <v>2767</v>
      </c>
      <c r="H1348" s="2" t="s">
        <v>4364</v>
      </c>
    </row>
    <row r="1349" spans="4:8" x14ac:dyDescent="0.35">
      <c r="D1349" s="95" t="str">
        <f t="shared" si="20"/>
        <v/>
      </c>
      <c r="F1349" s="2" t="s">
        <v>2768</v>
      </c>
      <c r="G1349" s="2" t="s">
        <v>2769</v>
      </c>
      <c r="H1349" s="2" t="s">
        <v>4364</v>
      </c>
    </row>
    <row r="1350" spans="4:8" x14ac:dyDescent="0.35">
      <c r="D1350" s="95" t="str">
        <f t="shared" si="20"/>
        <v/>
      </c>
      <c r="F1350" s="2" t="s">
        <v>2770</v>
      </c>
      <c r="G1350" s="2" t="s">
        <v>2771</v>
      </c>
      <c r="H1350" s="2" t="s">
        <v>4364</v>
      </c>
    </row>
    <row r="1351" spans="4:8" x14ac:dyDescent="0.35">
      <c r="D1351" s="95" t="str">
        <f t="shared" si="20"/>
        <v/>
      </c>
      <c r="F1351" s="2" t="s">
        <v>2772</v>
      </c>
      <c r="G1351" s="2" t="s">
        <v>2773</v>
      </c>
      <c r="H1351" s="2" t="s">
        <v>4364</v>
      </c>
    </row>
    <row r="1352" spans="4:8" x14ac:dyDescent="0.35">
      <c r="D1352" s="95" t="str">
        <f t="shared" ref="D1352:D1415" si="21">IFERROR(INDEX($F$6:$G$1048576,MATCH($C1352,$G$6:$G$1048576,0),MATCH($D$6,$F$6:$G$6,0)),"")</f>
        <v/>
      </c>
      <c r="F1352" s="2" t="s">
        <v>2774</v>
      </c>
      <c r="G1352" s="2" t="s">
        <v>2775</v>
      </c>
      <c r="H1352" s="2" t="s">
        <v>4364</v>
      </c>
    </row>
    <row r="1353" spans="4:8" x14ac:dyDescent="0.35">
      <c r="D1353" s="95" t="str">
        <f t="shared" si="21"/>
        <v/>
      </c>
      <c r="F1353" s="2" t="s">
        <v>2776</v>
      </c>
      <c r="G1353" s="2" t="s">
        <v>2777</v>
      </c>
      <c r="H1353" s="2" t="s">
        <v>4364</v>
      </c>
    </row>
    <row r="1354" spans="4:8" x14ac:dyDescent="0.35">
      <c r="D1354" s="95" t="str">
        <f t="shared" si="21"/>
        <v/>
      </c>
      <c r="F1354" s="2" t="s">
        <v>2778</v>
      </c>
      <c r="G1354" s="2" t="s">
        <v>2779</v>
      </c>
      <c r="H1354" s="2" t="s">
        <v>4364</v>
      </c>
    </row>
    <row r="1355" spans="4:8" x14ac:dyDescent="0.35">
      <c r="D1355" s="95" t="str">
        <f t="shared" si="21"/>
        <v/>
      </c>
      <c r="F1355" s="2" t="s">
        <v>2780</v>
      </c>
      <c r="G1355" s="2" t="s">
        <v>2781</v>
      </c>
      <c r="H1355" s="2" t="s">
        <v>4364</v>
      </c>
    </row>
    <row r="1356" spans="4:8" x14ac:dyDescent="0.35">
      <c r="D1356" s="95" t="str">
        <f t="shared" si="21"/>
        <v/>
      </c>
      <c r="F1356" s="2" t="s">
        <v>2782</v>
      </c>
      <c r="G1356" s="2" t="s">
        <v>2783</v>
      </c>
      <c r="H1356" s="2" t="s">
        <v>4364</v>
      </c>
    </row>
    <row r="1357" spans="4:8" x14ac:dyDescent="0.35">
      <c r="D1357" s="95" t="str">
        <f t="shared" si="21"/>
        <v/>
      </c>
      <c r="F1357" s="2" t="s">
        <v>2784</v>
      </c>
      <c r="G1357" s="2" t="s">
        <v>2785</v>
      </c>
      <c r="H1357" s="2" t="s">
        <v>4364</v>
      </c>
    </row>
    <row r="1358" spans="4:8" x14ac:dyDescent="0.35">
      <c r="D1358" s="95" t="str">
        <f t="shared" si="21"/>
        <v/>
      </c>
      <c r="F1358" s="2" t="s">
        <v>2786</v>
      </c>
      <c r="G1358" s="2" t="s">
        <v>2787</v>
      </c>
      <c r="H1358" s="2" t="s">
        <v>4364</v>
      </c>
    </row>
    <row r="1359" spans="4:8" x14ac:dyDescent="0.35">
      <c r="D1359" s="95" t="str">
        <f t="shared" si="21"/>
        <v/>
      </c>
      <c r="F1359" s="2" t="s">
        <v>2788</v>
      </c>
      <c r="G1359" s="2" t="s">
        <v>2789</v>
      </c>
      <c r="H1359" s="2" t="s">
        <v>4364</v>
      </c>
    </row>
    <row r="1360" spans="4:8" x14ac:dyDescent="0.35">
      <c r="D1360" s="95" t="str">
        <f t="shared" si="21"/>
        <v/>
      </c>
      <c r="F1360" s="2" t="s">
        <v>2790</v>
      </c>
      <c r="G1360" s="2" t="s">
        <v>2791</v>
      </c>
      <c r="H1360" s="2" t="s">
        <v>4364</v>
      </c>
    </row>
    <row r="1361" spans="4:8" x14ac:dyDescent="0.35">
      <c r="D1361" s="95" t="str">
        <f t="shared" si="21"/>
        <v/>
      </c>
      <c r="F1361" s="2" t="s">
        <v>2792</v>
      </c>
      <c r="G1361" s="2" t="s">
        <v>2793</v>
      </c>
      <c r="H1361" s="2" t="s">
        <v>4364</v>
      </c>
    </row>
    <row r="1362" spans="4:8" x14ac:dyDescent="0.35">
      <c r="D1362" s="95" t="str">
        <f t="shared" si="21"/>
        <v/>
      </c>
      <c r="F1362" s="2" t="s">
        <v>2794</v>
      </c>
      <c r="G1362" s="2" t="s">
        <v>2795</v>
      </c>
      <c r="H1362" s="2" t="s">
        <v>4364</v>
      </c>
    </row>
    <row r="1363" spans="4:8" x14ac:dyDescent="0.35">
      <c r="D1363" s="95" t="str">
        <f t="shared" si="21"/>
        <v/>
      </c>
      <c r="F1363" s="2" t="s">
        <v>2796</v>
      </c>
      <c r="G1363" s="2" t="s">
        <v>2797</v>
      </c>
      <c r="H1363" s="2" t="s">
        <v>4364</v>
      </c>
    </row>
    <row r="1364" spans="4:8" x14ac:dyDescent="0.35">
      <c r="D1364" s="95" t="str">
        <f t="shared" si="21"/>
        <v/>
      </c>
      <c r="F1364" s="2" t="s">
        <v>2798</v>
      </c>
      <c r="G1364" s="2" t="s">
        <v>2799</v>
      </c>
      <c r="H1364" s="2" t="s">
        <v>4364</v>
      </c>
    </row>
    <row r="1365" spans="4:8" x14ac:dyDescent="0.35">
      <c r="D1365" s="95" t="str">
        <f t="shared" si="21"/>
        <v/>
      </c>
      <c r="F1365" s="2" t="s">
        <v>2800</v>
      </c>
      <c r="G1365" s="2" t="s">
        <v>2801</v>
      </c>
      <c r="H1365" s="2" t="s">
        <v>4364</v>
      </c>
    </row>
    <row r="1366" spans="4:8" x14ac:dyDescent="0.35">
      <c r="D1366" s="95" t="str">
        <f t="shared" si="21"/>
        <v/>
      </c>
      <c r="F1366" s="2" t="s">
        <v>2802</v>
      </c>
      <c r="G1366" s="2" t="s">
        <v>2803</v>
      </c>
      <c r="H1366" s="2" t="s">
        <v>4364</v>
      </c>
    </row>
    <row r="1367" spans="4:8" x14ac:dyDescent="0.35">
      <c r="D1367" s="95" t="str">
        <f t="shared" si="21"/>
        <v/>
      </c>
      <c r="F1367" s="2" t="s">
        <v>2804</v>
      </c>
      <c r="G1367" s="2" t="s">
        <v>2805</v>
      </c>
      <c r="H1367" s="2" t="s">
        <v>4364</v>
      </c>
    </row>
    <row r="1368" spans="4:8" x14ac:dyDescent="0.35">
      <c r="D1368" s="95" t="str">
        <f t="shared" si="21"/>
        <v/>
      </c>
      <c r="F1368" s="2" t="s">
        <v>2806</v>
      </c>
      <c r="G1368" s="2" t="s">
        <v>2807</v>
      </c>
      <c r="H1368" s="2" t="s">
        <v>4364</v>
      </c>
    </row>
    <row r="1369" spans="4:8" x14ac:dyDescent="0.35">
      <c r="D1369" s="95" t="str">
        <f t="shared" si="21"/>
        <v/>
      </c>
      <c r="F1369" s="2" t="s">
        <v>2808</v>
      </c>
      <c r="G1369" s="2" t="s">
        <v>2809</v>
      </c>
      <c r="H1369" s="2" t="s">
        <v>4364</v>
      </c>
    </row>
    <row r="1370" spans="4:8" x14ac:dyDescent="0.35">
      <c r="D1370" s="95" t="str">
        <f t="shared" si="21"/>
        <v/>
      </c>
      <c r="F1370" s="2" t="s">
        <v>2810</v>
      </c>
      <c r="G1370" s="2" t="s">
        <v>2811</v>
      </c>
      <c r="H1370" s="2" t="s">
        <v>4364</v>
      </c>
    </row>
    <row r="1371" spans="4:8" x14ac:dyDescent="0.35">
      <c r="D1371" s="95" t="str">
        <f t="shared" si="21"/>
        <v/>
      </c>
      <c r="F1371" s="2" t="s">
        <v>2812</v>
      </c>
      <c r="G1371" s="2" t="s">
        <v>2813</v>
      </c>
      <c r="H1371" s="2" t="s">
        <v>4364</v>
      </c>
    </row>
    <row r="1372" spans="4:8" x14ac:dyDescent="0.35">
      <c r="D1372" s="95" t="str">
        <f t="shared" si="21"/>
        <v/>
      </c>
      <c r="F1372" s="2" t="s">
        <v>2814</v>
      </c>
      <c r="G1372" s="2" t="s">
        <v>2815</v>
      </c>
      <c r="H1372" s="2" t="s">
        <v>4364</v>
      </c>
    </row>
    <row r="1373" spans="4:8" x14ac:dyDescent="0.35">
      <c r="D1373" s="95" t="str">
        <f t="shared" si="21"/>
        <v/>
      </c>
      <c r="F1373" s="2" t="s">
        <v>2816</v>
      </c>
      <c r="G1373" s="2" t="s">
        <v>2817</v>
      </c>
      <c r="H1373" s="2" t="s">
        <v>4364</v>
      </c>
    </row>
    <row r="1374" spans="4:8" x14ac:dyDescent="0.35">
      <c r="D1374" s="95" t="str">
        <f t="shared" si="21"/>
        <v/>
      </c>
      <c r="F1374" s="2" t="s">
        <v>2818</v>
      </c>
      <c r="G1374" s="2" t="s">
        <v>2819</v>
      </c>
      <c r="H1374" s="2" t="s">
        <v>4364</v>
      </c>
    </row>
    <row r="1375" spans="4:8" x14ac:dyDescent="0.35">
      <c r="D1375" s="95" t="str">
        <f t="shared" si="21"/>
        <v/>
      </c>
      <c r="F1375" s="2" t="s">
        <v>2820</v>
      </c>
      <c r="G1375" s="2" t="s">
        <v>2821</v>
      </c>
      <c r="H1375" s="2" t="s">
        <v>4364</v>
      </c>
    </row>
    <row r="1376" spans="4:8" x14ac:dyDescent="0.35">
      <c r="D1376" s="95" t="str">
        <f t="shared" si="21"/>
        <v/>
      </c>
      <c r="F1376" s="2" t="s">
        <v>2822</v>
      </c>
      <c r="G1376" s="2" t="s">
        <v>2823</v>
      </c>
      <c r="H1376" s="2" t="s">
        <v>4364</v>
      </c>
    </row>
    <row r="1377" spans="4:8" x14ac:dyDescent="0.35">
      <c r="D1377" s="95" t="str">
        <f t="shared" si="21"/>
        <v/>
      </c>
      <c r="F1377" s="2" t="s">
        <v>2824</v>
      </c>
      <c r="G1377" s="2" t="s">
        <v>2825</v>
      </c>
      <c r="H1377" s="2" t="s">
        <v>4364</v>
      </c>
    </row>
    <row r="1378" spans="4:8" x14ac:dyDescent="0.35">
      <c r="D1378" s="95" t="str">
        <f t="shared" si="21"/>
        <v/>
      </c>
      <c r="F1378" s="2" t="s">
        <v>2826</v>
      </c>
      <c r="G1378" s="2" t="s">
        <v>2827</v>
      </c>
      <c r="H1378" s="2" t="s">
        <v>4364</v>
      </c>
    </row>
    <row r="1379" spans="4:8" x14ac:dyDescent="0.35">
      <c r="D1379" s="95" t="str">
        <f t="shared" si="21"/>
        <v/>
      </c>
      <c r="F1379" s="2" t="s">
        <v>2828</v>
      </c>
      <c r="G1379" s="2" t="s">
        <v>2829</v>
      </c>
      <c r="H1379" s="2" t="s">
        <v>4364</v>
      </c>
    </row>
    <row r="1380" spans="4:8" x14ac:dyDescent="0.35">
      <c r="D1380" s="95" t="str">
        <f t="shared" si="21"/>
        <v/>
      </c>
      <c r="F1380" s="2" t="s">
        <v>2830</v>
      </c>
      <c r="G1380" s="2" t="s">
        <v>2831</v>
      </c>
      <c r="H1380" s="2" t="s">
        <v>4364</v>
      </c>
    </row>
    <row r="1381" spans="4:8" x14ac:dyDescent="0.35">
      <c r="D1381" s="95" t="str">
        <f t="shared" si="21"/>
        <v/>
      </c>
      <c r="F1381" s="2" t="s">
        <v>2832</v>
      </c>
      <c r="G1381" s="2" t="s">
        <v>2833</v>
      </c>
      <c r="H1381" s="2" t="s">
        <v>4364</v>
      </c>
    </row>
    <row r="1382" spans="4:8" x14ac:dyDescent="0.35">
      <c r="D1382" s="95" t="str">
        <f t="shared" si="21"/>
        <v/>
      </c>
      <c r="F1382" s="2" t="s">
        <v>2834</v>
      </c>
      <c r="G1382" s="2" t="s">
        <v>2835</v>
      </c>
      <c r="H1382" s="2" t="s">
        <v>4364</v>
      </c>
    </row>
    <row r="1383" spans="4:8" x14ac:dyDescent="0.35">
      <c r="D1383" s="95" t="str">
        <f t="shared" si="21"/>
        <v/>
      </c>
      <c r="F1383" s="2" t="s">
        <v>2836</v>
      </c>
      <c r="G1383" s="2" t="s">
        <v>2837</v>
      </c>
      <c r="H1383" s="2" t="s">
        <v>4364</v>
      </c>
    </row>
    <row r="1384" spans="4:8" x14ac:dyDescent="0.35">
      <c r="D1384" s="95" t="str">
        <f t="shared" si="21"/>
        <v/>
      </c>
      <c r="F1384" s="2" t="s">
        <v>2838</v>
      </c>
      <c r="G1384" s="2" t="s">
        <v>2839</v>
      </c>
      <c r="H1384" s="2" t="s">
        <v>4364</v>
      </c>
    </row>
    <row r="1385" spans="4:8" x14ac:dyDescent="0.35">
      <c r="D1385" s="95" t="str">
        <f t="shared" si="21"/>
        <v/>
      </c>
      <c r="F1385" s="2" t="s">
        <v>2840</v>
      </c>
      <c r="G1385" s="2" t="s">
        <v>2841</v>
      </c>
      <c r="H1385" s="2" t="s">
        <v>4364</v>
      </c>
    </row>
    <row r="1386" spans="4:8" x14ac:dyDescent="0.35">
      <c r="D1386" s="95" t="str">
        <f t="shared" si="21"/>
        <v/>
      </c>
      <c r="F1386" s="2" t="s">
        <v>2842</v>
      </c>
      <c r="G1386" s="2" t="s">
        <v>2843</v>
      </c>
      <c r="H1386" s="2" t="s">
        <v>4364</v>
      </c>
    </row>
    <row r="1387" spans="4:8" x14ac:dyDescent="0.35">
      <c r="D1387" s="95" t="str">
        <f t="shared" si="21"/>
        <v/>
      </c>
      <c r="F1387" s="2" t="s">
        <v>2844</v>
      </c>
      <c r="G1387" s="2" t="s">
        <v>2845</v>
      </c>
      <c r="H1387" s="2" t="s">
        <v>4364</v>
      </c>
    </row>
    <row r="1388" spans="4:8" x14ac:dyDescent="0.35">
      <c r="D1388" s="95" t="str">
        <f t="shared" si="21"/>
        <v/>
      </c>
      <c r="F1388" s="2" t="s">
        <v>2846</v>
      </c>
      <c r="G1388" s="2" t="s">
        <v>2847</v>
      </c>
      <c r="H1388" s="2" t="s">
        <v>4364</v>
      </c>
    </row>
    <row r="1389" spans="4:8" x14ac:dyDescent="0.35">
      <c r="D1389" s="95" t="str">
        <f t="shared" si="21"/>
        <v/>
      </c>
      <c r="F1389" s="2" t="s">
        <v>2848</v>
      </c>
      <c r="G1389" s="2" t="s">
        <v>2849</v>
      </c>
      <c r="H1389" s="2" t="s">
        <v>4364</v>
      </c>
    </row>
    <row r="1390" spans="4:8" x14ac:dyDescent="0.35">
      <c r="D1390" s="95" t="str">
        <f t="shared" si="21"/>
        <v/>
      </c>
      <c r="F1390" s="2" t="s">
        <v>2850</v>
      </c>
      <c r="G1390" s="2" t="s">
        <v>2851</v>
      </c>
      <c r="H1390" s="2" t="s">
        <v>4364</v>
      </c>
    </row>
    <row r="1391" spans="4:8" x14ac:dyDescent="0.35">
      <c r="D1391" s="95" t="str">
        <f t="shared" si="21"/>
        <v/>
      </c>
      <c r="F1391" s="2" t="s">
        <v>2852</v>
      </c>
      <c r="G1391" s="2" t="s">
        <v>2853</v>
      </c>
      <c r="H1391" s="2" t="s">
        <v>4364</v>
      </c>
    </row>
    <row r="1392" spans="4:8" x14ac:dyDescent="0.35">
      <c r="D1392" s="95" t="str">
        <f t="shared" si="21"/>
        <v/>
      </c>
      <c r="F1392" s="2" t="s">
        <v>2854</v>
      </c>
      <c r="G1392" s="2" t="s">
        <v>2855</v>
      </c>
      <c r="H1392" s="2" t="s">
        <v>4364</v>
      </c>
    </row>
    <row r="1393" spans="4:8" x14ac:dyDescent="0.35">
      <c r="D1393" s="95" t="str">
        <f t="shared" si="21"/>
        <v/>
      </c>
      <c r="F1393" s="2" t="s">
        <v>2856</v>
      </c>
      <c r="G1393" s="2" t="s">
        <v>2857</v>
      </c>
      <c r="H1393" s="2" t="s">
        <v>4364</v>
      </c>
    </row>
    <row r="1394" spans="4:8" x14ac:dyDescent="0.35">
      <c r="D1394" s="95" t="str">
        <f t="shared" si="21"/>
        <v/>
      </c>
      <c r="F1394" s="2" t="s">
        <v>2858</v>
      </c>
      <c r="G1394" s="2" t="s">
        <v>2859</v>
      </c>
      <c r="H1394" s="2" t="s">
        <v>4364</v>
      </c>
    </row>
    <row r="1395" spans="4:8" x14ac:dyDescent="0.35">
      <c r="D1395" s="95" t="str">
        <f t="shared" si="21"/>
        <v/>
      </c>
      <c r="F1395" s="2" t="s">
        <v>2860</v>
      </c>
      <c r="G1395" s="2" t="s">
        <v>2861</v>
      </c>
      <c r="H1395" s="2" t="s">
        <v>4364</v>
      </c>
    </row>
    <row r="1396" spans="4:8" x14ac:dyDescent="0.35">
      <c r="D1396" s="95" t="str">
        <f t="shared" si="21"/>
        <v/>
      </c>
      <c r="F1396" s="2" t="s">
        <v>2862</v>
      </c>
      <c r="G1396" s="2" t="s">
        <v>2863</v>
      </c>
      <c r="H1396" s="2" t="s">
        <v>4364</v>
      </c>
    </row>
    <row r="1397" spans="4:8" x14ac:dyDescent="0.35">
      <c r="D1397" s="95" t="str">
        <f t="shared" si="21"/>
        <v/>
      </c>
      <c r="F1397" s="2" t="s">
        <v>2864</v>
      </c>
      <c r="G1397" s="2" t="s">
        <v>2865</v>
      </c>
      <c r="H1397" s="2" t="s">
        <v>4364</v>
      </c>
    </row>
    <row r="1398" spans="4:8" x14ac:dyDescent="0.35">
      <c r="D1398" s="95" t="str">
        <f t="shared" si="21"/>
        <v/>
      </c>
      <c r="F1398" s="2" t="s">
        <v>2866</v>
      </c>
      <c r="G1398" s="2" t="s">
        <v>2867</v>
      </c>
      <c r="H1398" s="2" t="s">
        <v>4364</v>
      </c>
    </row>
    <row r="1399" spans="4:8" x14ac:dyDescent="0.35">
      <c r="D1399" s="95" t="str">
        <f t="shared" si="21"/>
        <v/>
      </c>
      <c r="F1399" s="2" t="s">
        <v>2868</v>
      </c>
      <c r="G1399" s="2" t="s">
        <v>2869</v>
      </c>
      <c r="H1399" s="2" t="s">
        <v>4364</v>
      </c>
    </row>
    <row r="1400" spans="4:8" x14ac:dyDescent="0.35">
      <c r="D1400" s="95" t="str">
        <f t="shared" si="21"/>
        <v/>
      </c>
      <c r="F1400" s="2" t="s">
        <v>2870</v>
      </c>
      <c r="G1400" s="2" t="s">
        <v>2871</v>
      </c>
      <c r="H1400" s="2" t="s">
        <v>4364</v>
      </c>
    </row>
    <row r="1401" spans="4:8" x14ac:dyDescent="0.35">
      <c r="D1401" s="95" t="str">
        <f t="shared" si="21"/>
        <v/>
      </c>
      <c r="F1401" s="2" t="s">
        <v>2872</v>
      </c>
      <c r="G1401" s="2" t="s">
        <v>2873</v>
      </c>
      <c r="H1401" s="2" t="s">
        <v>4364</v>
      </c>
    </row>
    <row r="1402" spans="4:8" x14ac:dyDescent="0.35">
      <c r="D1402" s="95" t="str">
        <f t="shared" si="21"/>
        <v/>
      </c>
      <c r="F1402" s="2" t="s">
        <v>2874</v>
      </c>
      <c r="G1402" s="2" t="s">
        <v>2875</v>
      </c>
      <c r="H1402" s="2" t="s">
        <v>4364</v>
      </c>
    </row>
    <row r="1403" spans="4:8" x14ac:dyDescent="0.35">
      <c r="D1403" s="95" t="str">
        <f t="shared" si="21"/>
        <v/>
      </c>
      <c r="F1403" s="2" t="s">
        <v>2876</v>
      </c>
      <c r="G1403" s="2" t="s">
        <v>2877</v>
      </c>
      <c r="H1403" s="2" t="s">
        <v>4364</v>
      </c>
    </row>
    <row r="1404" spans="4:8" x14ac:dyDescent="0.35">
      <c r="D1404" s="95" t="str">
        <f t="shared" si="21"/>
        <v/>
      </c>
      <c r="F1404" s="2" t="s">
        <v>2878</v>
      </c>
      <c r="G1404" s="2" t="s">
        <v>2879</v>
      </c>
      <c r="H1404" s="2" t="s">
        <v>4364</v>
      </c>
    </row>
    <row r="1405" spans="4:8" x14ac:dyDescent="0.35">
      <c r="D1405" s="95" t="str">
        <f t="shared" si="21"/>
        <v/>
      </c>
      <c r="F1405" s="2" t="s">
        <v>2880</v>
      </c>
      <c r="G1405" s="2" t="s">
        <v>2881</v>
      </c>
      <c r="H1405" s="2" t="s">
        <v>4364</v>
      </c>
    </row>
    <row r="1406" spans="4:8" x14ac:dyDescent="0.35">
      <c r="D1406" s="95" t="str">
        <f t="shared" si="21"/>
        <v/>
      </c>
      <c r="F1406" s="2" t="s">
        <v>2882</v>
      </c>
      <c r="G1406" s="2" t="s">
        <v>2883</v>
      </c>
      <c r="H1406" s="2" t="s">
        <v>4364</v>
      </c>
    </row>
    <row r="1407" spans="4:8" x14ac:dyDescent="0.35">
      <c r="D1407" s="95" t="str">
        <f t="shared" si="21"/>
        <v/>
      </c>
      <c r="F1407" s="2" t="s">
        <v>2884</v>
      </c>
      <c r="G1407" s="2" t="s">
        <v>2885</v>
      </c>
      <c r="H1407" s="2" t="s">
        <v>4364</v>
      </c>
    </row>
    <row r="1408" spans="4:8" x14ac:dyDescent="0.35">
      <c r="D1408" s="95" t="str">
        <f t="shared" si="21"/>
        <v/>
      </c>
      <c r="F1408" s="2" t="s">
        <v>2886</v>
      </c>
      <c r="G1408" s="2" t="s">
        <v>2887</v>
      </c>
      <c r="H1408" s="2" t="s">
        <v>4364</v>
      </c>
    </row>
    <row r="1409" spans="4:8" x14ac:dyDescent="0.35">
      <c r="D1409" s="95" t="str">
        <f t="shared" si="21"/>
        <v/>
      </c>
      <c r="F1409" s="2" t="s">
        <v>2888</v>
      </c>
      <c r="G1409" s="2" t="s">
        <v>2889</v>
      </c>
      <c r="H1409" s="2" t="s">
        <v>4364</v>
      </c>
    </row>
    <row r="1410" spans="4:8" x14ac:dyDescent="0.35">
      <c r="D1410" s="95" t="str">
        <f t="shared" si="21"/>
        <v/>
      </c>
      <c r="F1410" s="2" t="s">
        <v>2890</v>
      </c>
      <c r="G1410" s="2" t="s">
        <v>2891</v>
      </c>
      <c r="H1410" s="2" t="s">
        <v>4364</v>
      </c>
    </row>
    <row r="1411" spans="4:8" x14ac:dyDescent="0.35">
      <c r="D1411" s="95" t="str">
        <f t="shared" si="21"/>
        <v/>
      </c>
      <c r="F1411" s="2" t="s">
        <v>2892</v>
      </c>
      <c r="G1411" s="2" t="s">
        <v>2893</v>
      </c>
      <c r="H1411" s="2" t="s">
        <v>4364</v>
      </c>
    </row>
    <row r="1412" spans="4:8" x14ac:dyDescent="0.35">
      <c r="D1412" s="95" t="str">
        <f t="shared" si="21"/>
        <v/>
      </c>
      <c r="F1412" s="2" t="s">
        <v>2894</v>
      </c>
      <c r="G1412" s="2" t="s">
        <v>2895</v>
      </c>
      <c r="H1412" s="2" t="s">
        <v>4364</v>
      </c>
    </row>
    <row r="1413" spans="4:8" x14ac:dyDescent="0.35">
      <c r="D1413" s="95" t="str">
        <f t="shared" si="21"/>
        <v/>
      </c>
      <c r="F1413" s="2" t="s">
        <v>2896</v>
      </c>
      <c r="G1413" s="2" t="s">
        <v>2897</v>
      </c>
      <c r="H1413" s="2" t="s">
        <v>4364</v>
      </c>
    </row>
    <row r="1414" spans="4:8" x14ac:dyDescent="0.35">
      <c r="D1414" s="95" t="str">
        <f t="shared" si="21"/>
        <v/>
      </c>
      <c r="F1414" s="2" t="s">
        <v>2898</v>
      </c>
      <c r="G1414" s="2" t="s">
        <v>2899</v>
      </c>
      <c r="H1414" s="2" t="s">
        <v>4364</v>
      </c>
    </row>
    <row r="1415" spans="4:8" x14ac:dyDescent="0.35">
      <c r="D1415" s="95" t="str">
        <f t="shared" si="21"/>
        <v/>
      </c>
      <c r="F1415" s="2" t="s">
        <v>2900</v>
      </c>
      <c r="G1415" s="2" t="s">
        <v>2901</v>
      </c>
      <c r="H1415" s="2" t="s">
        <v>4364</v>
      </c>
    </row>
    <row r="1416" spans="4:8" x14ac:dyDescent="0.35">
      <c r="D1416" s="95" t="str">
        <f t="shared" ref="D1416:D1479" si="22">IFERROR(INDEX($F$6:$G$1048576,MATCH($C1416,$G$6:$G$1048576,0),MATCH($D$6,$F$6:$G$6,0)),"")</f>
        <v/>
      </c>
      <c r="F1416" s="2" t="s">
        <v>2902</v>
      </c>
      <c r="G1416" s="2" t="s">
        <v>2903</v>
      </c>
      <c r="H1416" s="2" t="s">
        <v>4364</v>
      </c>
    </row>
    <row r="1417" spans="4:8" x14ac:dyDescent="0.35">
      <c r="D1417" s="95" t="str">
        <f t="shared" si="22"/>
        <v/>
      </c>
      <c r="F1417" s="2" t="s">
        <v>2904</v>
      </c>
      <c r="G1417" s="2" t="s">
        <v>2905</v>
      </c>
      <c r="H1417" s="2" t="s">
        <v>4364</v>
      </c>
    </row>
    <row r="1418" spans="4:8" x14ac:dyDescent="0.35">
      <c r="D1418" s="95" t="str">
        <f t="shared" si="22"/>
        <v/>
      </c>
      <c r="F1418" s="2" t="s">
        <v>2906</v>
      </c>
      <c r="G1418" s="2" t="s">
        <v>2907</v>
      </c>
      <c r="H1418" s="2" t="s">
        <v>4364</v>
      </c>
    </row>
    <row r="1419" spans="4:8" x14ac:dyDescent="0.35">
      <c r="D1419" s="95" t="str">
        <f t="shared" si="22"/>
        <v/>
      </c>
      <c r="F1419" s="2" t="s">
        <v>2908</v>
      </c>
      <c r="G1419" s="2" t="s">
        <v>2909</v>
      </c>
      <c r="H1419" s="2" t="s">
        <v>4364</v>
      </c>
    </row>
    <row r="1420" spans="4:8" x14ac:dyDescent="0.35">
      <c r="D1420" s="95" t="str">
        <f t="shared" si="22"/>
        <v/>
      </c>
      <c r="F1420" s="2" t="s">
        <v>2910</v>
      </c>
      <c r="G1420" s="2" t="s">
        <v>2911</v>
      </c>
      <c r="H1420" s="2" t="s">
        <v>4364</v>
      </c>
    </row>
    <row r="1421" spans="4:8" x14ac:dyDescent="0.35">
      <c r="D1421" s="95" t="str">
        <f t="shared" si="22"/>
        <v/>
      </c>
      <c r="F1421" s="2" t="s">
        <v>2912</v>
      </c>
      <c r="G1421" s="2" t="s">
        <v>2913</v>
      </c>
      <c r="H1421" s="2" t="s">
        <v>4364</v>
      </c>
    </row>
    <row r="1422" spans="4:8" x14ac:dyDescent="0.35">
      <c r="D1422" s="95" t="str">
        <f t="shared" si="22"/>
        <v/>
      </c>
      <c r="F1422" s="2" t="s">
        <v>2914</v>
      </c>
      <c r="G1422" s="2" t="s">
        <v>2915</v>
      </c>
      <c r="H1422" s="2" t="s">
        <v>4364</v>
      </c>
    </row>
    <row r="1423" spans="4:8" x14ac:dyDescent="0.35">
      <c r="D1423" s="95" t="str">
        <f t="shared" si="22"/>
        <v/>
      </c>
      <c r="F1423" s="2" t="s">
        <v>2916</v>
      </c>
      <c r="G1423" s="2" t="s">
        <v>2917</v>
      </c>
      <c r="H1423" s="2" t="s">
        <v>4364</v>
      </c>
    </row>
    <row r="1424" spans="4:8" x14ac:dyDescent="0.35">
      <c r="D1424" s="95" t="str">
        <f t="shared" si="22"/>
        <v/>
      </c>
      <c r="F1424" s="2" t="s">
        <v>2918</v>
      </c>
      <c r="G1424" s="2" t="s">
        <v>2919</v>
      </c>
      <c r="H1424" s="2" t="s">
        <v>4364</v>
      </c>
    </row>
    <row r="1425" spans="4:8" x14ac:dyDescent="0.35">
      <c r="D1425" s="95" t="str">
        <f t="shared" si="22"/>
        <v/>
      </c>
      <c r="F1425" s="2" t="s">
        <v>2920</v>
      </c>
      <c r="G1425" s="2" t="s">
        <v>2921</v>
      </c>
      <c r="H1425" s="2" t="s">
        <v>4364</v>
      </c>
    </row>
    <row r="1426" spans="4:8" x14ac:dyDescent="0.35">
      <c r="D1426" s="95" t="str">
        <f t="shared" si="22"/>
        <v/>
      </c>
      <c r="F1426" s="2" t="s">
        <v>2922</v>
      </c>
      <c r="G1426" s="2" t="s">
        <v>2923</v>
      </c>
      <c r="H1426" s="2" t="s">
        <v>4364</v>
      </c>
    </row>
    <row r="1427" spans="4:8" x14ac:dyDescent="0.35">
      <c r="D1427" s="95" t="str">
        <f t="shared" si="22"/>
        <v/>
      </c>
      <c r="F1427" s="2" t="s">
        <v>2924</v>
      </c>
      <c r="G1427" s="2" t="s">
        <v>2925</v>
      </c>
      <c r="H1427" s="2" t="s">
        <v>4364</v>
      </c>
    </row>
    <row r="1428" spans="4:8" x14ac:dyDescent="0.35">
      <c r="D1428" s="95" t="str">
        <f t="shared" si="22"/>
        <v/>
      </c>
      <c r="F1428" s="2" t="s">
        <v>2926</v>
      </c>
      <c r="G1428" s="2" t="s">
        <v>2927</v>
      </c>
      <c r="H1428" s="2" t="s">
        <v>4364</v>
      </c>
    </row>
    <row r="1429" spans="4:8" x14ac:dyDescent="0.35">
      <c r="D1429" s="95" t="str">
        <f t="shared" si="22"/>
        <v/>
      </c>
      <c r="F1429" s="2" t="s">
        <v>2928</v>
      </c>
      <c r="G1429" s="2" t="s">
        <v>2929</v>
      </c>
      <c r="H1429" s="2" t="s">
        <v>4364</v>
      </c>
    </row>
    <row r="1430" spans="4:8" x14ac:dyDescent="0.35">
      <c r="D1430" s="95" t="str">
        <f t="shared" si="22"/>
        <v/>
      </c>
      <c r="F1430" s="2" t="s">
        <v>2930</v>
      </c>
      <c r="G1430" s="2" t="s">
        <v>2931</v>
      </c>
      <c r="H1430" s="2" t="s">
        <v>4364</v>
      </c>
    </row>
    <row r="1431" spans="4:8" x14ac:dyDescent="0.35">
      <c r="D1431" s="95" t="str">
        <f t="shared" si="22"/>
        <v/>
      </c>
      <c r="F1431" s="2" t="s">
        <v>2932</v>
      </c>
      <c r="G1431" s="2" t="s">
        <v>2933</v>
      </c>
      <c r="H1431" s="2" t="s">
        <v>4364</v>
      </c>
    </row>
    <row r="1432" spans="4:8" x14ac:dyDescent="0.35">
      <c r="D1432" s="95" t="str">
        <f t="shared" si="22"/>
        <v/>
      </c>
      <c r="F1432" s="2" t="s">
        <v>2934</v>
      </c>
      <c r="G1432" s="2" t="s">
        <v>2935</v>
      </c>
      <c r="H1432" s="2" t="s">
        <v>4364</v>
      </c>
    </row>
    <row r="1433" spans="4:8" x14ac:dyDescent="0.35">
      <c r="D1433" s="95" t="str">
        <f t="shared" si="22"/>
        <v/>
      </c>
      <c r="F1433" s="2" t="s">
        <v>2936</v>
      </c>
      <c r="G1433" s="2" t="s">
        <v>2937</v>
      </c>
      <c r="H1433" s="2" t="s">
        <v>4364</v>
      </c>
    </row>
    <row r="1434" spans="4:8" x14ac:dyDescent="0.35">
      <c r="D1434" s="95" t="str">
        <f t="shared" si="22"/>
        <v/>
      </c>
      <c r="F1434" s="2" t="s">
        <v>2938</v>
      </c>
      <c r="G1434" s="2" t="s">
        <v>2939</v>
      </c>
      <c r="H1434" s="2" t="s">
        <v>4364</v>
      </c>
    </row>
    <row r="1435" spans="4:8" x14ac:dyDescent="0.35">
      <c r="D1435" s="95" t="str">
        <f t="shared" si="22"/>
        <v/>
      </c>
      <c r="F1435" s="2" t="s">
        <v>2940</v>
      </c>
      <c r="G1435" s="2" t="s">
        <v>2941</v>
      </c>
      <c r="H1435" s="2" t="s">
        <v>4364</v>
      </c>
    </row>
    <row r="1436" spans="4:8" x14ac:dyDescent="0.35">
      <c r="D1436" s="95" t="str">
        <f t="shared" si="22"/>
        <v/>
      </c>
      <c r="F1436" s="2" t="s">
        <v>2942</v>
      </c>
      <c r="G1436" s="2" t="s">
        <v>2943</v>
      </c>
      <c r="H1436" s="2" t="s">
        <v>4364</v>
      </c>
    </row>
    <row r="1437" spans="4:8" x14ac:dyDescent="0.35">
      <c r="D1437" s="95" t="str">
        <f t="shared" si="22"/>
        <v/>
      </c>
      <c r="F1437" s="2" t="s">
        <v>2944</v>
      </c>
      <c r="G1437" s="2" t="s">
        <v>2945</v>
      </c>
      <c r="H1437" s="2" t="s">
        <v>4364</v>
      </c>
    </row>
    <row r="1438" spans="4:8" x14ac:dyDescent="0.35">
      <c r="D1438" s="95" t="str">
        <f t="shared" si="22"/>
        <v/>
      </c>
      <c r="F1438" s="2" t="s">
        <v>2946</v>
      </c>
      <c r="G1438" s="2" t="s">
        <v>2947</v>
      </c>
      <c r="H1438" s="2" t="s">
        <v>4364</v>
      </c>
    </row>
    <row r="1439" spans="4:8" x14ac:dyDescent="0.35">
      <c r="D1439" s="95" t="str">
        <f t="shared" si="22"/>
        <v/>
      </c>
      <c r="F1439" s="2" t="s">
        <v>2948</v>
      </c>
      <c r="G1439" s="2" t="s">
        <v>2949</v>
      </c>
      <c r="H1439" s="2" t="s">
        <v>4364</v>
      </c>
    </row>
    <row r="1440" spans="4:8" x14ac:dyDescent="0.35">
      <c r="D1440" s="95" t="str">
        <f t="shared" si="22"/>
        <v/>
      </c>
      <c r="F1440" s="2" t="s">
        <v>2950</v>
      </c>
      <c r="G1440" s="2" t="s">
        <v>2951</v>
      </c>
      <c r="H1440" s="2" t="s">
        <v>4364</v>
      </c>
    </row>
    <row r="1441" spans="4:8" x14ac:dyDescent="0.35">
      <c r="D1441" s="95" t="str">
        <f t="shared" si="22"/>
        <v/>
      </c>
      <c r="F1441" s="2" t="s">
        <v>2952</v>
      </c>
      <c r="G1441" s="2" t="s">
        <v>2953</v>
      </c>
      <c r="H1441" s="2" t="s">
        <v>4364</v>
      </c>
    </row>
    <row r="1442" spans="4:8" x14ac:dyDescent="0.35">
      <c r="D1442" s="95" t="str">
        <f t="shared" si="22"/>
        <v/>
      </c>
      <c r="F1442" s="2" t="s">
        <v>2954</v>
      </c>
      <c r="G1442" s="2" t="s">
        <v>2955</v>
      </c>
      <c r="H1442" s="2" t="s">
        <v>4364</v>
      </c>
    </row>
    <row r="1443" spans="4:8" x14ac:dyDescent="0.35">
      <c r="D1443" s="95" t="str">
        <f t="shared" si="22"/>
        <v/>
      </c>
      <c r="F1443" s="2" t="s">
        <v>2956</v>
      </c>
      <c r="G1443" s="2" t="s">
        <v>2957</v>
      </c>
      <c r="H1443" s="2" t="s">
        <v>4364</v>
      </c>
    </row>
    <row r="1444" spans="4:8" x14ac:dyDescent="0.35">
      <c r="D1444" s="95" t="str">
        <f t="shared" si="22"/>
        <v/>
      </c>
      <c r="F1444" s="2" t="s">
        <v>2958</v>
      </c>
      <c r="G1444" s="2" t="s">
        <v>2959</v>
      </c>
      <c r="H1444" s="2" t="s">
        <v>4364</v>
      </c>
    </row>
    <row r="1445" spans="4:8" x14ac:dyDescent="0.35">
      <c r="D1445" s="95" t="str">
        <f t="shared" si="22"/>
        <v/>
      </c>
      <c r="F1445" s="2" t="s">
        <v>2960</v>
      </c>
      <c r="G1445" s="2" t="s">
        <v>2961</v>
      </c>
      <c r="H1445" s="2" t="s">
        <v>4364</v>
      </c>
    </row>
    <row r="1446" spans="4:8" x14ac:dyDescent="0.35">
      <c r="D1446" s="95" t="str">
        <f t="shared" si="22"/>
        <v/>
      </c>
      <c r="F1446" s="2" t="s">
        <v>2962</v>
      </c>
      <c r="G1446" s="2" t="s">
        <v>2963</v>
      </c>
      <c r="H1446" s="2" t="s">
        <v>4364</v>
      </c>
    </row>
    <row r="1447" spans="4:8" x14ac:dyDescent="0.35">
      <c r="D1447" s="95" t="str">
        <f t="shared" si="22"/>
        <v/>
      </c>
      <c r="F1447" s="2" t="s">
        <v>2964</v>
      </c>
      <c r="G1447" s="2" t="s">
        <v>2965</v>
      </c>
      <c r="H1447" s="2" t="s">
        <v>4364</v>
      </c>
    </row>
    <row r="1448" spans="4:8" x14ac:dyDescent="0.35">
      <c r="D1448" s="95" t="str">
        <f t="shared" si="22"/>
        <v/>
      </c>
      <c r="F1448" s="2" t="s">
        <v>2966</v>
      </c>
      <c r="G1448" s="2" t="s">
        <v>2967</v>
      </c>
      <c r="H1448" s="2" t="s">
        <v>4364</v>
      </c>
    </row>
    <row r="1449" spans="4:8" x14ac:dyDescent="0.35">
      <c r="D1449" s="95" t="str">
        <f t="shared" si="22"/>
        <v/>
      </c>
      <c r="F1449" s="2" t="s">
        <v>2968</v>
      </c>
      <c r="G1449" s="2" t="s">
        <v>2969</v>
      </c>
      <c r="H1449" s="2" t="s">
        <v>4364</v>
      </c>
    </row>
    <row r="1450" spans="4:8" x14ac:dyDescent="0.35">
      <c r="D1450" s="95" t="str">
        <f t="shared" si="22"/>
        <v/>
      </c>
      <c r="F1450" s="2" t="s">
        <v>2970</v>
      </c>
      <c r="G1450" s="2" t="s">
        <v>2971</v>
      </c>
      <c r="H1450" s="2" t="s">
        <v>4364</v>
      </c>
    </row>
    <row r="1451" spans="4:8" x14ac:dyDescent="0.35">
      <c r="D1451" s="95" t="str">
        <f t="shared" si="22"/>
        <v/>
      </c>
      <c r="F1451" s="2" t="s">
        <v>2972</v>
      </c>
      <c r="G1451" s="2" t="s">
        <v>2973</v>
      </c>
      <c r="H1451" s="2" t="s">
        <v>4364</v>
      </c>
    </row>
    <row r="1452" spans="4:8" x14ac:dyDescent="0.35">
      <c r="D1452" s="95" t="str">
        <f t="shared" si="22"/>
        <v/>
      </c>
      <c r="F1452" s="2" t="s">
        <v>2974</v>
      </c>
      <c r="G1452" s="2" t="s">
        <v>2975</v>
      </c>
      <c r="H1452" s="2" t="s">
        <v>4364</v>
      </c>
    </row>
    <row r="1453" spans="4:8" x14ac:dyDescent="0.35">
      <c r="D1453" s="95" t="str">
        <f t="shared" si="22"/>
        <v/>
      </c>
      <c r="F1453" s="2" t="s">
        <v>2976</v>
      </c>
      <c r="G1453" s="2" t="s">
        <v>2977</v>
      </c>
      <c r="H1453" s="2" t="s">
        <v>4364</v>
      </c>
    </row>
    <row r="1454" spans="4:8" x14ac:dyDescent="0.35">
      <c r="D1454" s="95" t="str">
        <f t="shared" si="22"/>
        <v/>
      </c>
      <c r="F1454" s="2" t="s">
        <v>2978</v>
      </c>
      <c r="G1454" s="2" t="s">
        <v>2979</v>
      </c>
      <c r="H1454" s="2" t="s">
        <v>4364</v>
      </c>
    </row>
    <row r="1455" spans="4:8" x14ac:dyDescent="0.35">
      <c r="D1455" s="95" t="str">
        <f t="shared" si="22"/>
        <v/>
      </c>
      <c r="F1455" s="2" t="s">
        <v>2980</v>
      </c>
      <c r="G1455" s="2" t="s">
        <v>2981</v>
      </c>
      <c r="H1455" s="2" t="s">
        <v>4364</v>
      </c>
    </row>
    <row r="1456" spans="4:8" x14ac:dyDescent="0.35">
      <c r="D1456" s="95" t="str">
        <f t="shared" si="22"/>
        <v/>
      </c>
      <c r="F1456" s="2" t="s">
        <v>2982</v>
      </c>
      <c r="G1456" s="2" t="s">
        <v>2983</v>
      </c>
      <c r="H1456" s="2" t="s">
        <v>4364</v>
      </c>
    </row>
    <row r="1457" spans="4:8" x14ac:dyDescent="0.35">
      <c r="D1457" s="95" t="str">
        <f t="shared" si="22"/>
        <v/>
      </c>
      <c r="F1457" s="2" t="s">
        <v>2984</v>
      </c>
      <c r="G1457" s="2" t="s">
        <v>2985</v>
      </c>
      <c r="H1457" s="2" t="s">
        <v>4364</v>
      </c>
    </row>
    <row r="1458" spans="4:8" x14ac:dyDescent="0.35">
      <c r="D1458" s="95" t="str">
        <f t="shared" si="22"/>
        <v/>
      </c>
      <c r="F1458" s="2" t="s">
        <v>2986</v>
      </c>
      <c r="G1458" s="2" t="s">
        <v>2987</v>
      </c>
      <c r="H1458" s="2" t="s">
        <v>4364</v>
      </c>
    </row>
    <row r="1459" spans="4:8" x14ac:dyDescent="0.35">
      <c r="D1459" s="95" t="str">
        <f t="shared" si="22"/>
        <v/>
      </c>
      <c r="F1459" s="2" t="s">
        <v>2988</v>
      </c>
      <c r="G1459" s="2" t="s">
        <v>2989</v>
      </c>
      <c r="H1459" s="2" t="s">
        <v>4364</v>
      </c>
    </row>
    <row r="1460" spans="4:8" x14ac:dyDescent="0.35">
      <c r="D1460" s="95" t="str">
        <f t="shared" si="22"/>
        <v/>
      </c>
      <c r="F1460" s="2" t="s">
        <v>2990</v>
      </c>
      <c r="G1460" s="2" t="s">
        <v>2991</v>
      </c>
      <c r="H1460" s="2" t="s">
        <v>4364</v>
      </c>
    </row>
    <row r="1461" spans="4:8" x14ac:dyDescent="0.35">
      <c r="D1461" s="95" t="str">
        <f t="shared" si="22"/>
        <v/>
      </c>
      <c r="F1461" s="2" t="s">
        <v>2992</v>
      </c>
      <c r="G1461" s="2" t="s">
        <v>2993</v>
      </c>
      <c r="H1461" s="2" t="s">
        <v>4364</v>
      </c>
    </row>
    <row r="1462" spans="4:8" x14ac:dyDescent="0.35">
      <c r="D1462" s="95" t="str">
        <f t="shared" si="22"/>
        <v/>
      </c>
      <c r="F1462" s="2" t="s">
        <v>2994</v>
      </c>
      <c r="G1462" s="2" t="s">
        <v>2995</v>
      </c>
      <c r="H1462" s="2" t="s">
        <v>4364</v>
      </c>
    </row>
    <row r="1463" spans="4:8" x14ac:dyDescent="0.35">
      <c r="D1463" s="95" t="str">
        <f t="shared" si="22"/>
        <v/>
      </c>
      <c r="F1463" s="2" t="s">
        <v>2996</v>
      </c>
      <c r="G1463" s="2" t="s">
        <v>2997</v>
      </c>
      <c r="H1463" s="2" t="s">
        <v>4364</v>
      </c>
    </row>
    <row r="1464" spans="4:8" x14ac:dyDescent="0.35">
      <c r="D1464" s="95" t="str">
        <f t="shared" si="22"/>
        <v/>
      </c>
      <c r="F1464" s="2" t="s">
        <v>2998</v>
      </c>
      <c r="G1464" s="2" t="s">
        <v>2999</v>
      </c>
      <c r="H1464" s="2" t="s">
        <v>4364</v>
      </c>
    </row>
    <row r="1465" spans="4:8" x14ac:dyDescent="0.35">
      <c r="D1465" s="95" t="str">
        <f t="shared" si="22"/>
        <v/>
      </c>
      <c r="F1465" s="2" t="s">
        <v>3000</v>
      </c>
      <c r="G1465" s="2" t="s">
        <v>3001</v>
      </c>
      <c r="H1465" s="2" t="s">
        <v>4364</v>
      </c>
    </row>
    <row r="1466" spans="4:8" x14ac:dyDescent="0.35">
      <c r="D1466" s="95" t="str">
        <f t="shared" si="22"/>
        <v/>
      </c>
      <c r="F1466" s="2" t="s">
        <v>3002</v>
      </c>
      <c r="G1466" s="2" t="s">
        <v>3003</v>
      </c>
      <c r="H1466" s="2" t="s">
        <v>4364</v>
      </c>
    </row>
    <row r="1467" spans="4:8" x14ac:dyDescent="0.35">
      <c r="D1467" s="95" t="str">
        <f t="shared" si="22"/>
        <v/>
      </c>
      <c r="F1467" s="2" t="s">
        <v>3004</v>
      </c>
      <c r="G1467" s="2" t="s">
        <v>3005</v>
      </c>
      <c r="H1467" s="2" t="s">
        <v>4364</v>
      </c>
    </row>
    <row r="1468" spans="4:8" x14ac:dyDescent="0.35">
      <c r="D1468" s="95" t="str">
        <f t="shared" si="22"/>
        <v/>
      </c>
      <c r="F1468" s="2" t="s">
        <v>3006</v>
      </c>
      <c r="G1468" s="2" t="s">
        <v>3007</v>
      </c>
      <c r="H1468" s="2" t="s">
        <v>4364</v>
      </c>
    </row>
    <row r="1469" spans="4:8" x14ac:dyDescent="0.35">
      <c r="D1469" s="95" t="str">
        <f t="shared" si="22"/>
        <v/>
      </c>
      <c r="F1469" s="2" t="s">
        <v>3008</v>
      </c>
      <c r="G1469" s="2" t="s">
        <v>3009</v>
      </c>
      <c r="H1469" s="2" t="s">
        <v>4364</v>
      </c>
    </row>
    <row r="1470" spans="4:8" x14ac:dyDescent="0.35">
      <c r="D1470" s="95" t="str">
        <f t="shared" si="22"/>
        <v/>
      </c>
      <c r="F1470" s="2" t="s">
        <v>3010</v>
      </c>
      <c r="G1470" s="2" t="s">
        <v>3011</v>
      </c>
      <c r="H1470" s="2" t="s">
        <v>4364</v>
      </c>
    </row>
    <row r="1471" spans="4:8" x14ac:dyDescent="0.35">
      <c r="D1471" s="95" t="str">
        <f t="shared" si="22"/>
        <v/>
      </c>
      <c r="F1471" s="2" t="s">
        <v>3012</v>
      </c>
      <c r="G1471" s="2" t="s">
        <v>3013</v>
      </c>
      <c r="H1471" s="2" t="s">
        <v>4364</v>
      </c>
    </row>
    <row r="1472" spans="4:8" x14ac:dyDescent="0.35">
      <c r="D1472" s="95" t="str">
        <f t="shared" si="22"/>
        <v/>
      </c>
      <c r="F1472" s="2" t="s">
        <v>3014</v>
      </c>
      <c r="G1472" s="2" t="s">
        <v>3015</v>
      </c>
      <c r="H1472" s="2" t="s">
        <v>4364</v>
      </c>
    </row>
    <row r="1473" spans="4:8" x14ac:dyDescent="0.35">
      <c r="D1473" s="95" t="str">
        <f t="shared" si="22"/>
        <v/>
      </c>
      <c r="F1473" s="2" t="s">
        <v>3016</v>
      </c>
      <c r="G1473" s="2" t="s">
        <v>3017</v>
      </c>
      <c r="H1473" s="2" t="s">
        <v>4364</v>
      </c>
    </row>
    <row r="1474" spans="4:8" x14ac:dyDescent="0.35">
      <c r="D1474" s="95" t="str">
        <f t="shared" si="22"/>
        <v/>
      </c>
      <c r="F1474" s="2" t="s">
        <v>3018</v>
      </c>
      <c r="G1474" s="2" t="s">
        <v>3019</v>
      </c>
      <c r="H1474" s="2" t="s">
        <v>4364</v>
      </c>
    </row>
    <row r="1475" spans="4:8" x14ac:dyDescent="0.35">
      <c r="D1475" s="95" t="str">
        <f t="shared" si="22"/>
        <v/>
      </c>
      <c r="F1475" s="2" t="s">
        <v>3020</v>
      </c>
      <c r="G1475" s="2" t="s">
        <v>3021</v>
      </c>
      <c r="H1475" s="2" t="s">
        <v>4364</v>
      </c>
    </row>
    <row r="1476" spans="4:8" x14ac:dyDescent="0.35">
      <c r="D1476" s="95" t="str">
        <f t="shared" si="22"/>
        <v/>
      </c>
      <c r="F1476" s="2" t="s">
        <v>3022</v>
      </c>
      <c r="G1476" s="2" t="s">
        <v>3023</v>
      </c>
      <c r="H1476" s="2" t="s">
        <v>4364</v>
      </c>
    </row>
    <row r="1477" spans="4:8" x14ac:dyDescent="0.35">
      <c r="D1477" s="95" t="str">
        <f t="shared" si="22"/>
        <v/>
      </c>
      <c r="F1477" s="2" t="s">
        <v>3024</v>
      </c>
      <c r="G1477" s="2" t="s">
        <v>3025</v>
      </c>
      <c r="H1477" s="2" t="s">
        <v>4364</v>
      </c>
    </row>
    <row r="1478" spans="4:8" x14ac:dyDescent="0.35">
      <c r="D1478" s="95" t="str">
        <f t="shared" si="22"/>
        <v/>
      </c>
      <c r="F1478" s="2" t="s">
        <v>3026</v>
      </c>
      <c r="G1478" s="2" t="s">
        <v>3027</v>
      </c>
      <c r="H1478" s="2" t="s">
        <v>4364</v>
      </c>
    </row>
    <row r="1479" spans="4:8" x14ac:dyDescent="0.35">
      <c r="D1479" s="95" t="str">
        <f t="shared" si="22"/>
        <v/>
      </c>
      <c r="F1479" s="2" t="s">
        <v>3028</v>
      </c>
      <c r="G1479" s="2" t="s">
        <v>3029</v>
      </c>
      <c r="H1479" s="2" t="s">
        <v>4364</v>
      </c>
    </row>
    <row r="1480" spans="4:8" x14ac:dyDescent="0.35">
      <c r="D1480" s="95" t="str">
        <f t="shared" ref="D1480:D1543" si="23">IFERROR(INDEX($F$6:$G$1048576,MATCH($C1480,$G$6:$G$1048576,0),MATCH($D$6,$F$6:$G$6,0)),"")</f>
        <v/>
      </c>
      <c r="F1480" s="2" t="s">
        <v>3030</v>
      </c>
      <c r="G1480" s="2" t="s">
        <v>3031</v>
      </c>
      <c r="H1480" s="2" t="s">
        <v>4364</v>
      </c>
    </row>
    <row r="1481" spans="4:8" x14ac:dyDescent="0.35">
      <c r="D1481" s="95" t="str">
        <f t="shared" si="23"/>
        <v/>
      </c>
      <c r="F1481" s="2" t="s">
        <v>3032</v>
      </c>
      <c r="G1481" s="2" t="s">
        <v>3033</v>
      </c>
      <c r="H1481" s="2" t="s">
        <v>4364</v>
      </c>
    </row>
    <row r="1482" spans="4:8" x14ac:dyDescent="0.35">
      <c r="D1482" s="95" t="str">
        <f t="shared" si="23"/>
        <v/>
      </c>
      <c r="F1482" s="2" t="s">
        <v>3034</v>
      </c>
      <c r="G1482" s="2" t="s">
        <v>3035</v>
      </c>
      <c r="H1482" s="2" t="s">
        <v>4364</v>
      </c>
    </row>
    <row r="1483" spans="4:8" x14ac:dyDescent="0.35">
      <c r="D1483" s="95" t="str">
        <f t="shared" si="23"/>
        <v/>
      </c>
      <c r="F1483" s="2" t="s">
        <v>3036</v>
      </c>
      <c r="G1483" s="2" t="s">
        <v>3037</v>
      </c>
      <c r="H1483" s="2" t="s">
        <v>4364</v>
      </c>
    </row>
    <row r="1484" spans="4:8" x14ac:dyDescent="0.35">
      <c r="D1484" s="95" t="str">
        <f t="shared" si="23"/>
        <v/>
      </c>
      <c r="F1484" s="2" t="s">
        <v>3038</v>
      </c>
      <c r="G1484" s="2" t="s">
        <v>3039</v>
      </c>
      <c r="H1484" s="2" t="s">
        <v>4364</v>
      </c>
    </row>
    <row r="1485" spans="4:8" x14ac:dyDescent="0.35">
      <c r="D1485" s="95" t="str">
        <f t="shared" si="23"/>
        <v/>
      </c>
      <c r="F1485" s="2" t="s">
        <v>3040</v>
      </c>
      <c r="G1485" s="2" t="s">
        <v>3041</v>
      </c>
      <c r="H1485" s="2" t="s">
        <v>4364</v>
      </c>
    </row>
    <row r="1486" spans="4:8" x14ac:dyDescent="0.35">
      <c r="D1486" s="95" t="str">
        <f t="shared" si="23"/>
        <v/>
      </c>
      <c r="F1486" s="2" t="s">
        <v>3042</v>
      </c>
      <c r="G1486" s="2" t="s">
        <v>3043</v>
      </c>
      <c r="H1486" s="2" t="s">
        <v>4364</v>
      </c>
    </row>
    <row r="1487" spans="4:8" x14ac:dyDescent="0.35">
      <c r="D1487" s="95" t="str">
        <f t="shared" si="23"/>
        <v/>
      </c>
      <c r="F1487" s="2" t="s">
        <v>3044</v>
      </c>
      <c r="G1487" s="2" t="s">
        <v>3045</v>
      </c>
      <c r="H1487" s="2" t="s">
        <v>4364</v>
      </c>
    </row>
    <row r="1488" spans="4:8" x14ac:dyDescent="0.35">
      <c r="D1488" s="95" t="str">
        <f t="shared" si="23"/>
        <v/>
      </c>
      <c r="F1488" s="2" t="s">
        <v>3046</v>
      </c>
      <c r="G1488" s="2" t="s">
        <v>3047</v>
      </c>
      <c r="H1488" s="2" t="s">
        <v>4364</v>
      </c>
    </row>
    <row r="1489" spans="4:8" x14ac:dyDescent="0.35">
      <c r="D1489" s="95" t="str">
        <f t="shared" si="23"/>
        <v/>
      </c>
      <c r="F1489" s="2" t="s">
        <v>3048</v>
      </c>
      <c r="G1489" s="2" t="s">
        <v>3049</v>
      </c>
      <c r="H1489" s="2" t="s">
        <v>4364</v>
      </c>
    </row>
    <row r="1490" spans="4:8" x14ac:dyDescent="0.35">
      <c r="D1490" s="95" t="str">
        <f t="shared" si="23"/>
        <v/>
      </c>
      <c r="F1490" s="2" t="s">
        <v>3050</v>
      </c>
      <c r="G1490" s="2" t="s">
        <v>3051</v>
      </c>
      <c r="H1490" s="2" t="s">
        <v>4364</v>
      </c>
    </row>
    <row r="1491" spans="4:8" x14ac:dyDescent="0.35">
      <c r="D1491" s="95" t="str">
        <f t="shared" si="23"/>
        <v/>
      </c>
      <c r="F1491" s="2" t="s">
        <v>3052</v>
      </c>
      <c r="G1491" s="2" t="s">
        <v>3053</v>
      </c>
      <c r="H1491" s="2" t="s">
        <v>4364</v>
      </c>
    </row>
    <row r="1492" spans="4:8" x14ac:dyDescent="0.35">
      <c r="D1492" s="95" t="str">
        <f t="shared" si="23"/>
        <v/>
      </c>
      <c r="F1492" s="2" t="s">
        <v>3054</v>
      </c>
      <c r="G1492" s="2" t="s">
        <v>3055</v>
      </c>
      <c r="H1492" s="2" t="s">
        <v>4364</v>
      </c>
    </row>
    <row r="1493" spans="4:8" x14ac:dyDescent="0.35">
      <c r="D1493" s="95" t="str">
        <f t="shared" si="23"/>
        <v/>
      </c>
      <c r="F1493" s="2" t="s">
        <v>3056</v>
      </c>
      <c r="G1493" s="2" t="s">
        <v>3057</v>
      </c>
      <c r="H1493" s="2" t="s">
        <v>4364</v>
      </c>
    </row>
    <row r="1494" spans="4:8" x14ac:dyDescent="0.35">
      <c r="D1494" s="95" t="str">
        <f t="shared" si="23"/>
        <v/>
      </c>
      <c r="F1494" s="2" t="s">
        <v>3058</v>
      </c>
      <c r="G1494" s="2" t="s">
        <v>3059</v>
      </c>
      <c r="H1494" s="2" t="s">
        <v>4364</v>
      </c>
    </row>
    <row r="1495" spans="4:8" x14ac:dyDescent="0.35">
      <c r="D1495" s="95" t="str">
        <f t="shared" si="23"/>
        <v/>
      </c>
      <c r="F1495" s="2" t="s">
        <v>3060</v>
      </c>
      <c r="G1495" s="2" t="s">
        <v>3061</v>
      </c>
      <c r="H1495" s="2" t="s">
        <v>4364</v>
      </c>
    </row>
    <row r="1496" spans="4:8" x14ac:dyDescent="0.35">
      <c r="D1496" s="95" t="str">
        <f t="shared" si="23"/>
        <v/>
      </c>
      <c r="F1496" s="2" t="s">
        <v>3062</v>
      </c>
      <c r="G1496" s="2" t="s">
        <v>3063</v>
      </c>
      <c r="H1496" s="2" t="s">
        <v>4364</v>
      </c>
    </row>
    <row r="1497" spans="4:8" x14ac:dyDescent="0.35">
      <c r="D1497" s="95" t="str">
        <f t="shared" si="23"/>
        <v/>
      </c>
      <c r="F1497" s="2" t="s">
        <v>3064</v>
      </c>
      <c r="G1497" s="2" t="s">
        <v>3065</v>
      </c>
      <c r="H1497" s="2" t="s">
        <v>4364</v>
      </c>
    </row>
    <row r="1498" spans="4:8" x14ac:dyDescent="0.35">
      <c r="D1498" s="95" t="str">
        <f t="shared" si="23"/>
        <v/>
      </c>
      <c r="F1498" s="2" t="s">
        <v>3066</v>
      </c>
      <c r="G1498" s="2" t="s">
        <v>3067</v>
      </c>
      <c r="H1498" s="2" t="s">
        <v>4364</v>
      </c>
    </row>
    <row r="1499" spans="4:8" x14ac:dyDescent="0.35">
      <c r="D1499" s="95" t="str">
        <f t="shared" si="23"/>
        <v/>
      </c>
      <c r="F1499" s="2" t="s">
        <v>3068</v>
      </c>
      <c r="G1499" s="2" t="s">
        <v>3069</v>
      </c>
      <c r="H1499" s="2" t="s">
        <v>4364</v>
      </c>
    </row>
    <row r="1500" spans="4:8" x14ac:dyDescent="0.35">
      <c r="D1500" s="95" t="str">
        <f t="shared" si="23"/>
        <v/>
      </c>
      <c r="F1500" s="2" t="s">
        <v>3070</v>
      </c>
      <c r="G1500" s="2" t="s">
        <v>3071</v>
      </c>
      <c r="H1500" s="2" t="s">
        <v>4364</v>
      </c>
    </row>
    <row r="1501" spans="4:8" x14ac:dyDescent="0.35">
      <c r="D1501" s="95" t="str">
        <f t="shared" si="23"/>
        <v/>
      </c>
      <c r="F1501" s="2" t="s">
        <v>3072</v>
      </c>
      <c r="G1501" s="2" t="s">
        <v>3073</v>
      </c>
      <c r="H1501" s="2" t="s">
        <v>4364</v>
      </c>
    </row>
    <row r="1502" spans="4:8" x14ac:dyDescent="0.35">
      <c r="D1502" s="95" t="str">
        <f t="shared" si="23"/>
        <v/>
      </c>
      <c r="F1502" s="2" t="s">
        <v>3074</v>
      </c>
      <c r="G1502" s="2" t="s">
        <v>3075</v>
      </c>
      <c r="H1502" s="2" t="s">
        <v>4364</v>
      </c>
    </row>
    <row r="1503" spans="4:8" x14ac:dyDescent="0.35">
      <c r="D1503" s="95" t="str">
        <f t="shared" si="23"/>
        <v/>
      </c>
      <c r="F1503" s="2" t="s">
        <v>3076</v>
      </c>
      <c r="G1503" s="2" t="s">
        <v>3077</v>
      </c>
      <c r="H1503" s="2" t="s">
        <v>4364</v>
      </c>
    </row>
    <row r="1504" spans="4:8" x14ac:dyDescent="0.35">
      <c r="D1504" s="95" t="str">
        <f t="shared" si="23"/>
        <v/>
      </c>
      <c r="F1504" s="2" t="s">
        <v>3078</v>
      </c>
      <c r="G1504" s="2" t="s">
        <v>3079</v>
      </c>
      <c r="H1504" s="2" t="s">
        <v>4364</v>
      </c>
    </row>
    <row r="1505" spans="4:8" x14ac:dyDescent="0.35">
      <c r="D1505" s="95" t="str">
        <f t="shared" si="23"/>
        <v/>
      </c>
      <c r="F1505" s="2" t="s">
        <v>3080</v>
      </c>
      <c r="G1505" s="2" t="s">
        <v>3081</v>
      </c>
      <c r="H1505" s="2" t="s">
        <v>4364</v>
      </c>
    </row>
    <row r="1506" spans="4:8" x14ac:dyDescent="0.35">
      <c r="D1506" s="95" t="str">
        <f t="shared" si="23"/>
        <v/>
      </c>
      <c r="F1506" s="2" t="s">
        <v>3082</v>
      </c>
      <c r="G1506" s="2" t="s">
        <v>3083</v>
      </c>
      <c r="H1506" s="2" t="s">
        <v>4364</v>
      </c>
    </row>
    <row r="1507" spans="4:8" x14ac:dyDescent="0.35">
      <c r="D1507" s="95" t="str">
        <f t="shared" si="23"/>
        <v/>
      </c>
      <c r="F1507" s="2" t="s">
        <v>3084</v>
      </c>
      <c r="G1507" s="2" t="s">
        <v>3085</v>
      </c>
      <c r="H1507" s="2" t="s">
        <v>4364</v>
      </c>
    </row>
    <row r="1508" spans="4:8" x14ac:dyDescent="0.35">
      <c r="D1508" s="95" t="str">
        <f t="shared" si="23"/>
        <v/>
      </c>
      <c r="F1508" s="2" t="s">
        <v>3086</v>
      </c>
      <c r="G1508" s="2" t="s">
        <v>3087</v>
      </c>
      <c r="H1508" s="2" t="s">
        <v>4364</v>
      </c>
    </row>
    <row r="1509" spans="4:8" x14ac:dyDescent="0.35">
      <c r="D1509" s="95" t="str">
        <f t="shared" si="23"/>
        <v/>
      </c>
      <c r="F1509" s="2" t="s">
        <v>3088</v>
      </c>
      <c r="G1509" s="2" t="s">
        <v>3089</v>
      </c>
      <c r="H1509" s="2" t="s">
        <v>4364</v>
      </c>
    </row>
    <row r="1510" spans="4:8" x14ac:dyDescent="0.35">
      <c r="D1510" s="95" t="str">
        <f t="shared" si="23"/>
        <v/>
      </c>
      <c r="F1510" s="2" t="s">
        <v>3090</v>
      </c>
      <c r="G1510" s="2" t="s">
        <v>3091</v>
      </c>
      <c r="H1510" s="2" t="s">
        <v>4364</v>
      </c>
    </row>
    <row r="1511" spans="4:8" x14ac:dyDescent="0.35">
      <c r="D1511" s="95" t="str">
        <f t="shared" si="23"/>
        <v/>
      </c>
      <c r="F1511" s="2" t="s">
        <v>3092</v>
      </c>
      <c r="G1511" s="2" t="s">
        <v>3093</v>
      </c>
      <c r="H1511" s="2" t="s">
        <v>4364</v>
      </c>
    </row>
    <row r="1512" spans="4:8" x14ac:dyDescent="0.35">
      <c r="D1512" s="95" t="str">
        <f t="shared" si="23"/>
        <v/>
      </c>
      <c r="F1512" s="2" t="s">
        <v>3094</v>
      </c>
      <c r="G1512" s="2" t="s">
        <v>3095</v>
      </c>
      <c r="H1512" s="2" t="s">
        <v>4364</v>
      </c>
    </row>
    <row r="1513" spans="4:8" x14ac:dyDescent="0.35">
      <c r="D1513" s="95" t="str">
        <f t="shared" si="23"/>
        <v/>
      </c>
      <c r="F1513" s="2" t="s">
        <v>3096</v>
      </c>
      <c r="G1513" s="2" t="s">
        <v>3097</v>
      </c>
      <c r="H1513" s="2" t="s">
        <v>4364</v>
      </c>
    </row>
    <row r="1514" spans="4:8" x14ac:dyDescent="0.35">
      <c r="D1514" s="95" t="str">
        <f t="shared" si="23"/>
        <v/>
      </c>
      <c r="F1514" s="2" t="s">
        <v>3098</v>
      </c>
      <c r="G1514" s="2" t="s">
        <v>3099</v>
      </c>
      <c r="H1514" s="2" t="s">
        <v>4364</v>
      </c>
    </row>
    <row r="1515" spans="4:8" x14ac:dyDescent="0.35">
      <c r="D1515" s="95" t="str">
        <f t="shared" si="23"/>
        <v/>
      </c>
      <c r="F1515" s="2" t="s">
        <v>3100</v>
      </c>
      <c r="G1515" s="2" t="s">
        <v>3101</v>
      </c>
      <c r="H1515" s="2" t="s">
        <v>4364</v>
      </c>
    </row>
    <row r="1516" spans="4:8" x14ac:dyDescent="0.35">
      <c r="D1516" s="95" t="str">
        <f t="shared" si="23"/>
        <v/>
      </c>
      <c r="F1516" s="2" t="s">
        <v>3102</v>
      </c>
      <c r="G1516" s="2" t="s">
        <v>3103</v>
      </c>
      <c r="H1516" s="2" t="s">
        <v>4364</v>
      </c>
    </row>
    <row r="1517" spans="4:8" x14ac:dyDescent="0.35">
      <c r="D1517" s="95" t="str">
        <f t="shared" si="23"/>
        <v/>
      </c>
      <c r="F1517" s="2" t="s">
        <v>3104</v>
      </c>
      <c r="G1517" s="2" t="s">
        <v>3105</v>
      </c>
      <c r="H1517" s="2" t="s">
        <v>4364</v>
      </c>
    </row>
    <row r="1518" spans="4:8" x14ac:dyDescent="0.35">
      <c r="D1518" s="95" t="str">
        <f t="shared" si="23"/>
        <v/>
      </c>
      <c r="F1518" s="2" t="s">
        <v>3106</v>
      </c>
      <c r="G1518" s="2" t="s">
        <v>3107</v>
      </c>
      <c r="H1518" s="2" t="s">
        <v>4364</v>
      </c>
    </row>
    <row r="1519" spans="4:8" x14ac:dyDescent="0.35">
      <c r="D1519" s="95" t="str">
        <f t="shared" si="23"/>
        <v/>
      </c>
      <c r="F1519" s="2" t="s">
        <v>3108</v>
      </c>
      <c r="G1519" s="2" t="s">
        <v>3109</v>
      </c>
      <c r="H1519" s="2" t="s">
        <v>4364</v>
      </c>
    </row>
    <row r="1520" spans="4:8" x14ac:dyDescent="0.35">
      <c r="D1520" s="95" t="str">
        <f t="shared" si="23"/>
        <v/>
      </c>
      <c r="F1520" s="2" t="s">
        <v>3110</v>
      </c>
      <c r="G1520" s="2" t="s">
        <v>3111</v>
      </c>
      <c r="H1520" s="2" t="s">
        <v>4364</v>
      </c>
    </row>
    <row r="1521" spans="4:8" x14ac:dyDescent="0.35">
      <c r="D1521" s="95" t="str">
        <f t="shared" si="23"/>
        <v/>
      </c>
      <c r="F1521" s="2" t="s">
        <v>3112</v>
      </c>
      <c r="G1521" s="2" t="s">
        <v>3113</v>
      </c>
      <c r="H1521" s="2" t="s">
        <v>4364</v>
      </c>
    </row>
    <row r="1522" spans="4:8" x14ac:dyDescent="0.35">
      <c r="D1522" s="95" t="str">
        <f t="shared" si="23"/>
        <v/>
      </c>
      <c r="F1522" s="2" t="s">
        <v>3114</v>
      </c>
      <c r="G1522" s="2" t="s">
        <v>3115</v>
      </c>
      <c r="H1522" s="2" t="s">
        <v>4364</v>
      </c>
    </row>
    <row r="1523" spans="4:8" x14ac:dyDescent="0.35">
      <c r="D1523" s="95" t="str">
        <f t="shared" si="23"/>
        <v/>
      </c>
      <c r="F1523" s="2" t="s">
        <v>3116</v>
      </c>
      <c r="G1523" s="2" t="s">
        <v>3117</v>
      </c>
      <c r="H1523" s="2" t="s">
        <v>4364</v>
      </c>
    </row>
    <row r="1524" spans="4:8" x14ac:dyDescent="0.35">
      <c r="D1524" s="95" t="str">
        <f t="shared" si="23"/>
        <v/>
      </c>
      <c r="F1524" s="2" t="s">
        <v>3118</v>
      </c>
      <c r="G1524" s="2" t="s">
        <v>3119</v>
      </c>
      <c r="H1524" s="2" t="s">
        <v>4364</v>
      </c>
    </row>
    <row r="1525" spans="4:8" x14ac:dyDescent="0.35">
      <c r="D1525" s="95" t="str">
        <f t="shared" si="23"/>
        <v/>
      </c>
      <c r="F1525" s="2" t="s">
        <v>3120</v>
      </c>
      <c r="G1525" s="2" t="s">
        <v>3121</v>
      </c>
      <c r="H1525" s="2" t="s">
        <v>4364</v>
      </c>
    </row>
    <row r="1526" spans="4:8" x14ac:dyDescent="0.35">
      <c r="D1526" s="95" t="str">
        <f t="shared" si="23"/>
        <v/>
      </c>
      <c r="F1526" s="2" t="s">
        <v>3122</v>
      </c>
      <c r="G1526" s="2" t="s">
        <v>3123</v>
      </c>
      <c r="H1526" s="2" t="s">
        <v>4364</v>
      </c>
    </row>
    <row r="1527" spans="4:8" x14ac:dyDescent="0.35">
      <c r="D1527" s="95" t="str">
        <f t="shared" si="23"/>
        <v/>
      </c>
      <c r="F1527" s="2" t="s">
        <v>3124</v>
      </c>
      <c r="G1527" s="2" t="s">
        <v>3125</v>
      </c>
      <c r="H1527" s="2" t="s">
        <v>4364</v>
      </c>
    </row>
    <row r="1528" spans="4:8" x14ac:dyDescent="0.35">
      <c r="D1528" s="95" t="str">
        <f t="shared" si="23"/>
        <v/>
      </c>
      <c r="F1528" s="2" t="s">
        <v>3126</v>
      </c>
      <c r="G1528" s="2" t="s">
        <v>3127</v>
      </c>
      <c r="H1528" s="2" t="s">
        <v>4364</v>
      </c>
    </row>
    <row r="1529" spans="4:8" x14ac:dyDescent="0.35">
      <c r="D1529" s="95" t="str">
        <f t="shared" si="23"/>
        <v/>
      </c>
      <c r="F1529" s="2" t="s">
        <v>3128</v>
      </c>
      <c r="G1529" s="2" t="s">
        <v>3129</v>
      </c>
      <c r="H1529" s="2" t="s">
        <v>4364</v>
      </c>
    </row>
    <row r="1530" spans="4:8" x14ac:dyDescent="0.35">
      <c r="D1530" s="95" t="str">
        <f t="shared" si="23"/>
        <v/>
      </c>
      <c r="F1530" s="2" t="s">
        <v>3130</v>
      </c>
      <c r="G1530" s="2" t="s">
        <v>3131</v>
      </c>
      <c r="H1530" s="2" t="s">
        <v>4364</v>
      </c>
    </row>
    <row r="1531" spans="4:8" x14ac:dyDescent="0.35">
      <c r="D1531" s="95" t="str">
        <f t="shared" si="23"/>
        <v/>
      </c>
      <c r="F1531" s="2" t="s">
        <v>3132</v>
      </c>
      <c r="G1531" s="2" t="s">
        <v>3133</v>
      </c>
      <c r="H1531" s="2" t="s">
        <v>4364</v>
      </c>
    </row>
    <row r="1532" spans="4:8" x14ac:dyDescent="0.35">
      <c r="D1532" s="95" t="str">
        <f t="shared" si="23"/>
        <v/>
      </c>
      <c r="F1532" s="2" t="s">
        <v>3134</v>
      </c>
      <c r="G1532" s="2" t="s">
        <v>3135</v>
      </c>
      <c r="H1532" s="2" t="s">
        <v>4364</v>
      </c>
    </row>
    <row r="1533" spans="4:8" x14ac:dyDescent="0.35">
      <c r="D1533" s="95" t="str">
        <f t="shared" si="23"/>
        <v/>
      </c>
      <c r="F1533" s="2" t="s">
        <v>3136</v>
      </c>
      <c r="G1533" s="2" t="s">
        <v>3137</v>
      </c>
      <c r="H1533" s="2" t="s">
        <v>4364</v>
      </c>
    </row>
    <row r="1534" spans="4:8" x14ac:dyDescent="0.35">
      <c r="D1534" s="95" t="str">
        <f t="shared" si="23"/>
        <v/>
      </c>
      <c r="F1534" s="2" t="s">
        <v>3138</v>
      </c>
      <c r="G1534" s="2" t="s">
        <v>3139</v>
      </c>
      <c r="H1534" s="2" t="s">
        <v>4364</v>
      </c>
    </row>
    <row r="1535" spans="4:8" x14ac:dyDescent="0.35">
      <c r="D1535" s="95" t="str">
        <f t="shared" si="23"/>
        <v/>
      </c>
      <c r="F1535" s="2" t="s">
        <v>3140</v>
      </c>
      <c r="G1535" s="2" t="s">
        <v>3141</v>
      </c>
      <c r="H1535" s="2" t="s">
        <v>4364</v>
      </c>
    </row>
    <row r="1536" spans="4:8" x14ac:dyDescent="0.35">
      <c r="D1536" s="95" t="str">
        <f t="shared" si="23"/>
        <v/>
      </c>
      <c r="F1536" s="2" t="s">
        <v>3142</v>
      </c>
      <c r="G1536" s="2" t="s">
        <v>3143</v>
      </c>
      <c r="H1536" s="2" t="s">
        <v>4364</v>
      </c>
    </row>
    <row r="1537" spans="4:8" x14ac:dyDescent="0.35">
      <c r="D1537" s="95" t="str">
        <f t="shared" si="23"/>
        <v/>
      </c>
      <c r="F1537" s="2" t="s">
        <v>3144</v>
      </c>
      <c r="G1537" s="2" t="s">
        <v>3145</v>
      </c>
      <c r="H1537" s="2" t="s">
        <v>4364</v>
      </c>
    </row>
    <row r="1538" spans="4:8" x14ac:dyDescent="0.35">
      <c r="D1538" s="95" t="str">
        <f t="shared" si="23"/>
        <v/>
      </c>
      <c r="F1538" s="2" t="s">
        <v>3146</v>
      </c>
      <c r="G1538" s="2" t="s">
        <v>3147</v>
      </c>
      <c r="H1538" s="2" t="s">
        <v>4364</v>
      </c>
    </row>
    <row r="1539" spans="4:8" x14ac:dyDescent="0.35">
      <c r="D1539" s="95" t="str">
        <f t="shared" si="23"/>
        <v/>
      </c>
      <c r="F1539" s="2" t="s">
        <v>3148</v>
      </c>
      <c r="G1539" s="2" t="s">
        <v>3149</v>
      </c>
      <c r="H1539" s="2" t="s">
        <v>4364</v>
      </c>
    </row>
    <row r="1540" spans="4:8" x14ac:dyDescent="0.35">
      <c r="D1540" s="95" t="str">
        <f t="shared" si="23"/>
        <v/>
      </c>
      <c r="F1540" s="2" t="s">
        <v>3150</v>
      </c>
      <c r="G1540" s="2" t="s">
        <v>3151</v>
      </c>
      <c r="H1540" s="2" t="s">
        <v>4364</v>
      </c>
    </row>
    <row r="1541" spans="4:8" x14ac:dyDescent="0.35">
      <c r="D1541" s="95" t="str">
        <f t="shared" si="23"/>
        <v/>
      </c>
      <c r="F1541" s="2" t="s">
        <v>3152</v>
      </c>
      <c r="G1541" s="2" t="s">
        <v>3153</v>
      </c>
      <c r="H1541" s="2" t="s">
        <v>4364</v>
      </c>
    </row>
    <row r="1542" spans="4:8" x14ac:dyDescent="0.35">
      <c r="D1542" s="95" t="str">
        <f t="shared" si="23"/>
        <v/>
      </c>
      <c r="F1542" s="2" t="s">
        <v>3154</v>
      </c>
      <c r="G1542" s="2" t="s">
        <v>3155</v>
      </c>
      <c r="H1542" s="2" t="s">
        <v>4364</v>
      </c>
    </row>
    <row r="1543" spans="4:8" x14ac:dyDescent="0.35">
      <c r="D1543" s="95" t="str">
        <f t="shared" si="23"/>
        <v/>
      </c>
      <c r="F1543" s="2" t="s">
        <v>3156</v>
      </c>
      <c r="G1543" s="2" t="s">
        <v>3157</v>
      </c>
      <c r="H1543" s="2" t="s">
        <v>4364</v>
      </c>
    </row>
    <row r="1544" spans="4:8" x14ac:dyDescent="0.35">
      <c r="D1544" s="95" t="str">
        <f t="shared" ref="D1544:D1607" si="24">IFERROR(INDEX($F$6:$G$1048576,MATCH($C1544,$G$6:$G$1048576,0),MATCH($D$6,$F$6:$G$6,0)),"")</f>
        <v/>
      </c>
      <c r="F1544" s="2" t="s">
        <v>3158</v>
      </c>
      <c r="G1544" s="2" t="s">
        <v>3159</v>
      </c>
      <c r="H1544" s="2" t="s">
        <v>4364</v>
      </c>
    </row>
    <row r="1545" spans="4:8" x14ac:dyDescent="0.35">
      <c r="D1545" s="95" t="str">
        <f t="shared" si="24"/>
        <v/>
      </c>
      <c r="F1545" s="2" t="s">
        <v>3160</v>
      </c>
      <c r="G1545" s="2" t="s">
        <v>3161</v>
      </c>
      <c r="H1545" s="2" t="s">
        <v>4364</v>
      </c>
    </row>
    <row r="1546" spans="4:8" x14ac:dyDescent="0.35">
      <c r="D1546" s="95" t="str">
        <f t="shared" si="24"/>
        <v/>
      </c>
      <c r="F1546" s="2" t="s">
        <v>3162</v>
      </c>
      <c r="G1546" s="2" t="s">
        <v>3163</v>
      </c>
      <c r="H1546" s="2" t="s">
        <v>4364</v>
      </c>
    </row>
    <row r="1547" spans="4:8" x14ac:dyDescent="0.35">
      <c r="D1547" s="95" t="str">
        <f t="shared" si="24"/>
        <v/>
      </c>
      <c r="F1547" s="2" t="s">
        <v>3164</v>
      </c>
      <c r="G1547" s="2" t="s">
        <v>3165</v>
      </c>
      <c r="H1547" s="2" t="s">
        <v>4364</v>
      </c>
    </row>
    <row r="1548" spans="4:8" x14ac:dyDescent="0.35">
      <c r="D1548" s="95" t="str">
        <f t="shared" si="24"/>
        <v/>
      </c>
      <c r="F1548" s="2" t="s">
        <v>3166</v>
      </c>
      <c r="G1548" s="2" t="s">
        <v>3167</v>
      </c>
      <c r="H1548" s="2" t="s">
        <v>4364</v>
      </c>
    </row>
    <row r="1549" spans="4:8" x14ac:dyDescent="0.35">
      <c r="D1549" s="95" t="str">
        <f t="shared" si="24"/>
        <v/>
      </c>
      <c r="F1549" s="2" t="s">
        <v>3168</v>
      </c>
      <c r="G1549" s="2" t="s">
        <v>3169</v>
      </c>
      <c r="H1549" s="2" t="s">
        <v>4364</v>
      </c>
    </row>
    <row r="1550" spans="4:8" x14ac:dyDescent="0.35">
      <c r="D1550" s="95" t="str">
        <f t="shared" si="24"/>
        <v/>
      </c>
      <c r="F1550" s="2" t="s">
        <v>3170</v>
      </c>
      <c r="G1550" s="2" t="s">
        <v>3171</v>
      </c>
      <c r="H1550" s="2" t="s">
        <v>4364</v>
      </c>
    </row>
    <row r="1551" spans="4:8" x14ac:dyDescent="0.35">
      <c r="D1551" s="95" t="str">
        <f t="shared" si="24"/>
        <v/>
      </c>
      <c r="F1551" s="2" t="s">
        <v>3172</v>
      </c>
      <c r="G1551" s="2" t="s">
        <v>3173</v>
      </c>
      <c r="H1551" s="2" t="s">
        <v>4364</v>
      </c>
    </row>
    <row r="1552" spans="4:8" x14ac:dyDescent="0.35">
      <c r="D1552" s="95" t="str">
        <f t="shared" si="24"/>
        <v/>
      </c>
      <c r="F1552" s="2" t="s">
        <v>3174</v>
      </c>
      <c r="G1552" s="2" t="s">
        <v>3175</v>
      </c>
      <c r="H1552" s="2" t="s">
        <v>4364</v>
      </c>
    </row>
    <row r="1553" spans="4:8" x14ac:dyDescent="0.35">
      <c r="D1553" s="95" t="str">
        <f t="shared" si="24"/>
        <v/>
      </c>
      <c r="F1553" s="2" t="s">
        <v>3176</v>
      </c>
      <c r="G1553" s="2" t="s">
        <v>3177</v>
      </c>
      <c r="H1553" s="2" t="s">
        <v>4364</v>
      </c>
    </row>
    <row r="1554" spans="4:8" x14ac:dyDescent="0.35">
      <c r="D1554" s="95" t="str">
        <f t="shared" si="24"/>
        <v/>
      </c>
      <c r="F1554" s="2" t="s">
        <v>3178</v>
      </c>
      <c r="G1554" s="2" t="s">
        <v>3179</v>
      </c>
      <c r="H1554" s="2" t="s">
        <v>4364</v>
      </c>
    </row>
    <row r="1555" spans="4:8" x14ac:dyDescent="0.35">
      <c r="D1555" s="95" t="str">
        <f t="shared" si="24"/>
        <v/>
      </c>
      <c r="F1555" s="2" t="s">
        <v>3180</v>
      </c>
      <c r="G1555" s="2" t="s">
        <v>3181</v>
      </c>
      <c r="H1555" s="2" t="s">
        <v>4364</v>
      </c>
    </row>
    <row r="1556" spans="4:8" x14ac:dyDescent="0.35">
      <c r="D1556" s="95" t="str">
        <f t="shared" si="24"/>
        <v/>
      </c>
      <c r="F1556" s="2" t="s">
        <v>3182</v>
      </c>
      <c r="G1556" s="2" t="s">
        <v>3183</v>
      </c>
      <c r="H1556" s="2" t="s">
        <v>4364</v>
      </c>
    </row>
    <row r="1557" spans="4:8" x14ac:dyDescent="0.35">
      <c r="D1557" s="95" t="str">
        <f t="shared" si="24"/>
        <v/>
      </c>
      <c r="F1557" s="2" t="s">
        <v>3184</v>
      </c>
      <c r="G1557" s="2" t="s">
        <v>3185</v>
      </c>
      <c r="H1557" s="2" t="s">
        <v>4364</v>
      </c>
    </row>
    <row r="1558" spans="4:8" x14ac:dyDescent="0.35">
      <c r="D1558" s="95" t="str">
        <f t="shared" si="24"/>
        <v/>
      </c>
      <c r="F1558" s="2" t="s">
        <v>3186</v>
      </c>
      <c r="G1558" s="2" t="s">
        <v>3187</v>
      </c>
      <c r="H1558" s="2" t="s">
        <v>4364</v>
      </c>
    </row>
    <row r="1559" spans="4:8" x14ac:dyDescent="0.35">
      <c r="D1559" s="95" t="str">
        <f t="shared" si="24"/>
        <v/>
      </c>
      <c r="F1559" s="2" t="s">
        <v>3188</v>
      </c>
      <c r="G1559" s="2" t="s">
        <v>3189</v>
      </c>
      <c r="H1559" s="2" t="s">
        <v>4364</v>
      </c>
    </row>
    <row r="1560" spans="4:8" x14ac:dyDescent="0.35">
      <c r="D1560" s="95" t="str">
        <f t="shared" si="24"/>
        <v/>
      </c>
      <c r="F1560" s="2" t="s">
        <v>3190</v>
      </c>
      <c r="G1560" s="2" t="s">
        <v>3191</v>
      </c>
      <c r="H1560" s="2" t="s">
        <v>4364</v>
      </c>
    </row>
    <row r="1561" spans="4:8" x14ac:dyDescent="0.35">
      <c r="D1561" s="95" t="str">
        <f t="shared" si="24"/>
        <v/>
      </c>
      <c r="F1561" s="2" t="s">
        <v>3192</v>
      </c>
      <c r="G1561" s="2" t="s">
        <v>3193</v>
      </c>
      <c r="H1561" s="2" t="s">
        <v>4364</v>
      </c>
    </row>
    <row r="1562" spans="4:8" x14ac:dyDescent="0.35">
      <c r="D1562" s="95" t="str">
        <f t="shared" si="24"/>
        <v/>
      </c>
      <c r="F1562" s="2" t="s">
        <v>3194</v>
      </c>
      <c r="G1562" s="2" t="s">
        <v>3195</v>
      </c>
      <c r="H1562" s="2" t="s">
        <v>4364</v>
      </c>
    </row>
    <row r="1563" spans="4:8" x14ac:dyDescent="0.35">
      <c r="D1563" s="95" t="str">
        <f t="shared" si="24"/>
        <v/>
      </c>
      <c r="F1563" s="2" t="s">
        <v>3196</v>
      </c>
      <c r="G1563" s="2" t="s">
        <v>3197</v>
      </c>
      <c r="H1563" s="2" t="s">
        <v>4364</v>
      </c>
    </row>
    <row r="1564" spans="4:8" x14ac:dyDescent="0.35">
      <c r="D1564" s="95" t="str">
        <f t="shared" si="24"/>
        <v/>
      </c>
      <c r="F1564" s="2" t="s">
        <v>3198</v>
      </c>
      <c r="G1564" s="2" t="s">
        <v>3199</v>
      </c>
      <c r="H1564" s="2" t="s">
        <v>4364</v>
      </c>
    </row>
    <row r="1565" spans="4:8" x14ac:dyDescent="0.35">
      <c r="D1565" s="95" t="str">
        <f t="shared" si="24"/>
        <v/>
      </c>
      <c r="F1565" s="2" t="s">
        <v>3200</v>
      </c>
      <c r="G1565" s="2" t="s">
        <v>3201</v>
      </c>
      <c r="H1565" s="2" t="s">
        <v>4364</v>
      </c>
    </row>
    <row r="1566" spans="4:8" x14ac:dyDescent="0.35">
      <c r="D1566" s="95" t="str">
        <f t="shared" si="24"/>
        <v/>
      </c>
      <c r="F1566" s="2" t="s">
        <v>3202</v>
      </c>
      <c r="G1566" s="2" t="s">
        <v>3203</v>
      </c>
      <c r="H1566" s="2" t="s">
        <v>4364</v>
      </c>
    </row>
    <row r="1567" spans="4:8" x14ac:dyDescent="0.35">
      <c r="D1567" s="95" t="str">
        <f t="shared" si="24"/>
        <v/>
      </c>
      <c r="F1567" s="2" t="s">
        <v>3204</v>
      </c>
      <c r="G1567" s="2" t="s">
        <v>3205</v>
      </c>
      <c r="H1567" s="2" t="s">
        <v>4364</v>
      </c>
    </row>
    <row r="1568" spans="4:8" x14ac:dyDescent="0.35">
      <c r="D1568" s="95" t="str">
        <f t="shared" si="24"/>
        <v/>
      </c>
      <c r="F1568" s="2" t="s">
        <v>3206</v>
      </c>
      <c r="G1568" s="2" t="s">
        <v>3207</v>
      </c>
      <c r="H1568" s="2" t="s">
        <v>4364</v>
      </c>
    </row>
    <row r="1569" spans="4:8" x14ac:dyDescent="0.35">
      <c r="D1569" s="95" t="str">
        <f t="shared" si="24"/>
        <v/>
      </c>
      <c r="F1569" s="2" t="s">
        <v>3208</v>
      </c>
      <c r="G1569" s="2" t="s">
        <v>3209</v>
      </c>
      <c r="H1569" s="2" t="s">
        <v>4364</v>
      </c>
    </row>
    <row r="1570" spans="4:8" x14ac:dyDescent="0.35">
      <c r="D1570" s="95" t="str">
        <f t="shared" si="24"/>
        <v/>
      </c>
      <c r="F1570" s="2" t="s">
        <v>3210</v>
      </c>
      <c r="G1570" s="2" t="s">
        <v>3211</v>
      </c>
      <c r="H1570" s="2" t="s">
        <v>4364</v>
      </c>
    </row>
    <row r="1571" spans="4:8" x14ac:dyDescent="0.35">
      <c r="D1571" s="95" t="str">
        <f t="shared" si="24"/>
        <v/>
      </c>
      <c r="F1571" s="2" t="s">
        <v>3212</v>
      </c>
      <c r="G1571" s="2" t="s">
        <v>3213</v>
      </c>
      <c r="H1571" s="2" t="s">
        <v>4364</v>
      </c>
    </row>
    <row r="1572" spans="4:8" x14ac:dyDescent="0.35">
      <c r="D1572" s="95" t="str">
        <f t="shared" si="24"/>
        <v/>
      </c>
      <c r="F1572" s="2" t="s">
        <v>3214</v>
      </c>
      <c r="G1572" s="2" t="s">
        <v>3215</v>
      </c>
      <c r="H1572" s="2" t="s">
        <v>4364</v>
      </c>
    </row>
    <row r="1573" spans="4:8" x14ac:dyDescent="0.35">
      <c r="D1573" s="95" t="str">
        <f t="shared" si="24"/>
        <v/>
      </c>
      <c r="F1573" s="2" t="s">
        <v>3216</v>
      </c>
      <c r="G1573" s="2" t="s">
        <v>3217</v>
      </c>
      <c r="H1573" s="2" t="s">
        <v>4364</v>
      </c>
    </row>
    <row r="1574" spans="4:8" x14ac:dyDescent="0.35">
      <c r="D1574" s="95" t="str">
        <f t="shared" si="24"/>
        <v/>
      </c>
      <c r="F1574" s="2" t="s">
        <v>3218</v>
      </c>
      <c r="G1574" s="2" t="s">
        <v>3219</v>
      </c>
      <c r="H1574" s="2" t="s">
        <v>4364</v>
      </c>
    </row>
    <row r="1575" spans="4:8" x14ac:dyDescent="0.35">
      <c r="D1575" s="95" t="str">
        <f t="shared" si="24"/>
        <v/>
      </c>
      <c r="F1575" s="2" t="s">
        <v>3220</v>
      </c>
      <c r="G1575" s="2" t="s">
        <v>3221</v>
      </c>
      <c r="H1575" s="2" t="s">
        <v>4364</v>
      </c>
    </row>
    <row r="1576" spans="4:8" x14ac:dyDescent="0.35">
      <c r="D1576" s="95" t="str">
        <f t="shared" si="24"/>
        <v/>
      </c>
      <c r="F1576" s="2" t="s">
        <v>3222</v>
      </c>
      <c r="G1576" s="2" t="s">
        <v>3223</v>
      </c>
      <c r="H1576" s="2" t="s">
        <v>4364</v>
      </c>
    </row>
    <row r="1577" spans="4:8" x14ac:dyDescent="0.35">
      <c r="D1577" s="95" t="str">
        <f t="shared" si="24"/>
        <v/>
      </c>
      <c r="F1577" s="2" t="s">
        <v>3224</v>
      </c>
      <c r="G1577" s="2" t="s">
        <v>3225</v>
      </c>
      <c r="H1577" s="2" t="s">
        <v>4364</v>
      </c>
    </row>
    <row r="1578" spans="4:8" x14ac:dyDescent="0.35">
      <c r="D1578" s="95" t="str">
        <f t="shared" si="24"/>
        <v/>
      </c>
      <c r="F1578" s="2" t="s">
        <v>3226</v>
      </c>
      <c r="G1578" s="2" t="s">
        <v>3227</v>
      </c>
      <c r="H1578" s="2" t="s">
        <v>4364</v>
      </c>
    </row>
    <row r="1579" spans="4:8" x14ac:dyDescent="0.35">
      <c r="D1579" s="95" t="str">
        <f t="shared" si="24"/>
        <v/>
      </c>
      <c r="F1579" s="2" t="s">
        <v>3228</v>
      </c>
      <c r="G1579" s="2" t="s">
        <v>3229</v>
      </c>
      <c r="H1579" s="2" t="s">
        <v>4364</v>
      </c>
    </row>
    <row r="1580" spans="4:8" x14ac:dyDescent="0.35">
      <c r="D1580" s="95" t="str">
        <f t="shared" si="24"/>
        <v/>
      </c>
      <c r="F1580" s="2" t="s">
        <v>3230</v>
      </c>
      <c r="G1580" s="2" t="s">
        <v>3231</v>
      </c>
      <c r="H1580" s="2" t="s">
        <v>4364</v>
      </c>
    </row>
    <row r="1581" spans="4:8" x14ac:dyDescent="0.35">
      <c r="D1581" s="95" t="str">
        <f t="shared" si="24"/>
        <v/>
      </c>
      <c r="F1581" s="2" t="s">
        <v>3232</v>
      </c>
      <c r="G1581" s="2" t="s">
        <v>3233</v>
      </c>
      <c r="H1581" s="2" t="s">
        <v>4364</v>
      </c>
    </row>
    <row r="1582" spans="4:8" x14ac:dyDescent="0.35">
      <c r="D1582" s="95" t="str">
        <f t="shared" si="24"/>
        <v/>
      </c>
      <c r="F1582" s="2" t="s">
        <v>3234</v>
      </c>
      <c r="G1582" s="2" t="s">
        <v>3235</v>
      </c>
      <c r="H1582" s="2" t="s">
        <v>4364</v>
      </c>
    </row>
    <row r="1583" spans="4:8" x14ac:dyDescent="0.35">
      <c r="D1583" s="95" t="str">
        <f t="shared" si="24"/>
        <v/>
      </c>
      <c r="F1583" s="2" t="s">
        <v>3236</v>
      </c>
      <c r="G1583" s="2" t="s">
        <v>3237</v>
      </c>
      <c r="H1583" s="2" t="s">
        <v>4364</v>
      </c>
    </row>
    <row r="1584" spans="4:8" x14ac:dyDescent="0.35">
      <c r="D1584" s="95" t="str">
        <f t="shared" si="24"/>
        <v/>
      </c>
      <c r="F1584" s="2" t="s">
        <v>3238</v>
      </c>
      <c r="G1584" s="2" t="s">
        <v>3239</v>
      </c>
      <c r="H1584" s="2" t="s">
        <v>4364</v>
      </c>
    </row>
    <row r="1585" spans="4:8" x14ac:dyDescent="0.35">
      <c r="D1585" s="95" t="str">
        <f t="shared" si="24"/>
        <v/>
      </c>
      <c r="F1585" s="2" t="s">
        <v>3240</v>
      </c>
      <c r="G1585" s="2" t="s">
        <v>3241</v>
      </c>
      <c r="H1585" s="2" t="s">
        <v>4364</v>
      </c>
    </row>
    <row r="1586" spans="4:8" x14ac:dyDescent="0.35">
      <c r="D1586" s="95" t="str">
        <f t="shared" si="24"/>
        <v/>
      </c>
      <c r="F1586" s="2" t="s">
        <v>3242</v>
      </c>
      <c r="G1586" s="2" t="s">
        <v>3243</v>
      </c>
      <c r="H1586" s="2" t="s">
        <v>4364</v>
      </c>
    </row>
    <row r="1587" spans="4:8" x14ac:dyDescent="0.35">
      <c r="D1587" s="95" t="str">
        <f t="shared" si="24"/>
        <v/>
      </c>
      <c r="F1587" s="2" t="s">
        <v>3244</v>
      </c>
      <c r="G1587" s="2" t="s">
        <v>3245</v>
      </c>
      <c r="H1587" s="2" t="s">
        <v>4364</v>
      </c>
    </row>
    <row r="1588" spans="4:8" x14ac:dyDescent="0.35">
      <c r="D1588" s="95" t="str">
        <f t="shared" si="24"/>
        <v/>
      </c>
      <c r="F1588" s="2" t="s">
        <v>3246</v>
      </c>
      <c r="G1588" s="2" t="s">
        <v>3247</v>
      </c>
      <c r="H1588" s="2" t="s">
        <v>4364</v>
      </c>
    </row>
    <row r="1589" spans="4:8" x14ac:dyDescent="0.35">
      <c r="D1589" s="95" t="str">
        <f t="shared" si="24"/>
        <v/>
      </c>
      <c r="F1589" s="2" t="s">
        <v>3248</v>
      </c>
      <c r="G1589" s="2" t="s">
        <v>3249</v>
      </c>
      <c r="H1589" s="2" t="s">
        <v>4364</v>
      </c>
    </row>
    <row r="1590" spans="4:8" x14ac:dyDescent="0.35">
      <c r="D1590" s="95" t="str">
        <f t="shared" si="24"/>
        <v/>
      </c>
      <c r="F1590" s="2" t="s">
        <v>3250</v>
      </c>
      <c r="G1590" s="2" t="s">
        <v>3251</v>
      </c>
      <c r="H1590" s="2" t="s">
        <v>4364</v>
      </c>
    </row>
    <row r="1591" spans="4:8" x14ac:dyDescent="0.35">
      <c r="D1591" s="95" t="str">
        <f t="shared" si="24"/>
        <v/>
      </c>
      <c r="F1591" s="2" t="s">
        <v>3252</v>
      </c>
      <c r="G1591" s="2" t="s">
        <v>3253</v>
      </c>
      <c r="H1591" s="2" t="s">
        <v>4364</v>
      </c>
    </row>
    <row r="1592" spans="4:8" x14ac:dyDescent="0.35">
      <c r="D1592" s="95" t="str">
        <f t="shared" si="24"/>
        <v/>
      </c>
      <c r="F1592" s="2" t="s">
        <v>3254</v>
      </c>
      <c r="G1592" s="2" t="s">
        <v>3255</v>
      </c>
      <c r="H1592" s="2" t="s">
        <v>4364</v>
      </c>
    </row>
    <row r="1593" spans="4:8" x14ac:dyDescent="0.35">
      <c r="D1593" s="95" t="str">
        <f t="shared" si="24"/>
        <v/>
      </c>
      <c r="F1593" s="2" t="s">
        <v>3256</v>
      </c>
      <c r="G1593" s="2" t="s">
        <v>3257</v>
      </c>
      <c r="H1593" s="2" t="s">
        <v>4364</v>
      </c>
    </row>
    <row r="1594" spans="4:8" x14ac:dyDescent="0.35">
      <c r="D1594" s="95" t="str">
        <f t="shared" si="24"/>
        <v/>
      </c>
      <c r="F1594" s="2" t="s">
        <v>3258</v>
      </c>
      <c r="G1594" s="2" t="s">
        <v>3259</v>
      </c>
      <c r="H1594" s="2" t="s">
        <v>4364</v>
      </c>
    </row>
    <row r="1595" spans="4:8" x14ac:dyDescent="0.35">
      <c r="D1595" s="95" t="str">
        <f t="shared" si="24"/>
        <v/>
      </c>
      <c r="F1595" s="2" t="s">
        <v>3260</v>
      </c>
      <c r="G1595" s="2" t="s">
        <v>3261</v>
      </c>
      <c r="H1595" s="2" t="s">
        <v>4364</v>
      </c>
    </row>
    <row r="1596" spans="4:8" x14ac:dyDescent="0.35">
      <c r="D1596" s="95" t="str">
        <f t="shared" si="24"/>
        <v/>
      </c>
      <c r="F1596" s="2" t="s">
        <v>3262</v>
      </c>
      <c r="G1596" s="2" t="s">
        <v>3263</v>
      </c>
      <c r="H1596" s="2" t="s">
        <v>4364</v>
      </c>
    </row>
    <row r="1597" spans="4:8" x14ac:dyDescent="0.35">
      <c r="D1597" s="95" t="str">
        <f t="shared" si="24"/>
        <v/>
      </c>
      <c r="F1597" s="2" t="s">
        <v>3264</v>
      </c>
      <c r="G1597" s="2" t="s">
        <v>3265</v>
      </c>
      <c r="H1597" s="2" t="s">
        <v>4364</v>
      </c>
    </row>
    <row r="1598" spans="4:8" x14ac:dyDescent="0.35">
      <c r="D1598" s="95" t="str">
        <f t="shared" si="24"/>
        <v/>
      </c>
      <c r="F1598" s="2" t="s">
        <v>3266</v>
      </c>
      <c r="G1598" s="2" t="s">
        <v>3267</v>
      </c>
      <c r="H1598" s="2" t="s">
        <v>4364</v>
      </c>
    </row>
    <row r="1599" spans="4:8" x14ac:dyDescent="0.35">
      <c r="D1599" s="95" t="str">
        <f t="shared" si="24"/>
        <v/>
      </c>
      <c r="F1599" s="2" t="s">
        <v>3268</v>
      </c>
      <c r="G1599" s="2" t="s">
        <v>3269</v>
      </c>
      <c r="H1599" s="2" t="s">
        <v>4364</v>
      </c>
    </row>
    <row r="1600" spans="4:8" x14ac:dyDescent="0.35">
      <c r="D1600" s="95" t="str">
        <f t="shared" si="24"/>
        <v/>
      </c>
      <c r="F1600" s="2" t="s">
        <v>3270</v>
      </c>
      <c r="G1600" s="2" t="s">
        <v>3271</v>
      </c>
      <c r="H1600" s="2" t="s">
        <v>4364</v>
      </c>
    </row>
    <row r="1601" spans="4:8" x14ac:dyDescent="0.35">
      <c r="D1601" s="95" t="str">
        <f t="shared" si="24"/>
        <v/>
      </c>
      <c r="F1601" s="2" t="s">
        <v>3272</v>
      </c>
      <c r="G1601" s="2" t="s">
        <v>3273</v>
      </c>
      <c r="H1601" s="2" t="s">
        <v>4364</v>
      </c>
    </row>
    <row r="1602" spans="4:8" x14ac:dyDescent="0.35">
      <c r="D1602" s="95" t="str">
        <f t="shared" si="24"/>
        <v/>
      </c>
      <c r="F1602" s="2" t="s">
        <v>3274</v>
      </c>
      <c r="G1602" s="2" t="s">
        <v>3275</v>
      </c>
      <c r="H1602" s="2" t="s">
        <v>4364</v>
      </c>
    </row>
    <row r="1603" spans="4:8" x14ac:dyDescent="0.35">
      <c r="D1603" s="95" t="str">
        <f t="shared" si="24"/>
        <v/>
      </c>
      <c r="F1603" s="2" t="s">
        <v>3276</v>
      </c>
      <c r="G1603" s="2" t="s">
        <v>3277</v>
      </c>
      <c r="H1603" s="2" t="s">
        <v>4364</v>
      </c>
    </row>
    <row r="1604" spans="4:8" x14ac:dyDescent="0.35">
      <c r="D1604" s="95" t="str">
        <f t="shared" si="24"/>
        <v/>
      </c>
      <c r="F1604" s="2" t="s">
        <v>3278</v>
      </c>
      <c r="G1604" s="2" t="s">
        <v>3279</v>
      </c>
      <c r="H1604" s="2" t="s">
        <v>4364</v>
      </c>
    </row>
    <row r="1605" spans="4:8" x14ac:dyDescent="0.35">
      <c r="D1605" s="95" t="str">
        <f t="shared" si="24"/>
        <v/>
      </c>
      <c r="F1605" s="2" t="s">
        <v>3280</v>
      </c>
      <c r="G1605" s="2" t="s">
        <v>3281</v>
      </c>
      <c r="H1605" s="2" t="s">
        <v>4364</v>
      </c>
    </row>
    <row r="1606" spans="4:8" x14ac:dyDescent="0.35">
      <c r="D1606" s="95" t="str">
        <f t="shared" si="24"/>
        <v/>
      </c>
      <c r="F1606" s="2" t="s">
        <v>3282</v>
      </c>
      <c r="G1606" s="2" t="s">
        <v>3283</v>
      </c>
      <c r="H1606" s="2" t="s">
        <v>4364</v>
      </c>
    </row>
    <row r="1607" spans="4:8" x14ac:dyDescent="0.35">
      <c r="D1607" s="95" t="str">
        <f t="shared" si="24"/>
        <v/>
      </c>
      <c r="F1607" s="2" t="s">
        <v>3284</v>
      </c>
      <c r="G1607" s="2" t="s">
        <v>3285</v>
      </c>
      <c r="H1607" s="2" t="s">
        <v>4364</v>
      </c>
    </row>
    <row r="1608" spans="4:8" x14ac:dyDescent="0.35">
      <c r="D1608" s="95" t="str">
        <f t="shared" ref="D1608:D1671" si="25">IFERROR(INDEX($F$6:$G$1048576,MATCH($C1608,$G$6:$G$1048576,0),MATCH($D$6,$F$6:$G$6,0)),"")</f>
        <v/>
      </c>
      <c r="F1608" s="2" t="s">
        <v>3286</v>
      </c>
      <c r="G1608" s="2" t="s">
        <v>3287</v>
      </c>
      <c r="H1608" s="2" t="s">
        <v>4364</v>
      </c>
    </row>
    <row r="1609" spans="4:8" x14ac:dyDescent="0.35">
      <c r="D1609" s="95" t="str">
        <f t="shared" si="25"/>
        <v/>
      </c>
      <c r="F1609" s="2" t="s">
        <v>3288</v>
      </c>
      <c r="G1609" s="2" t="s">
        <v>3289</v>
      </c>
      <c r="H1609" s="2" t="s">
        <v>4364</v>
      </c>
    </row>
    <row r="1610" spans="4:8" x14ac:dyDescent="0.35">
      <c r="D1610" s="95" t="str">
        <f t="shared" si="25"/>
        <v/>
      </c>
      <c r="F1610" s="2" t="s">
        <v>3290</v>
      </c>
      <c r="G1610" s="2" t="s">
        <v>3291</v>
      </c>
      <c r="H1610" s="2" t="s">
        <v>4364</v>
      </c>
    </row>
    <row r="1611" spans="4:8" x14ac:dyDescent="0.35">
      <c r="D1611" s="95" t="str">
        <f t="shared" si="25"/>
        <v/>
      </c>
      <c r="F1611" s="2" t="s">
        <v>3292</v>
      </c>
      <c r="G1611" s="2" t="s">
        <v>3293</v>
      </c>
      <c r="H1611" s="2" t="s">
        <v>4364</v>
      </c>
    </row>
    <row r="1612" spans="4:8" x14ac:dyDescent="0.35">
      <c r="D1612" s="95" t="str">
        <f t="shared" si="25"/>
        <v/>
      </c>
      <c r="F1612" s="2" t="s">
        <v>3294</v>
      </c>
      <c r="G1612" s="2" t="s">
        <v>3295</v>
      </c>
      <c r="H1612" s="2" t="s">
        <v>4364</v>
      </c>
    </row>
    <row r="1613" spans="4:8" x14ac:dyDescent="0.35">
      <c r="D1613" s="95" t="str">
        <f t="shared" si="25"/>
        <v/>
      </c>
      <c r="F1613" s="2" t="s">
        <v>3296</v>
      </c>
      <c r="G1613" s="2" t="s">
        <v>3297</v>
      </c>
      <c r="H1613" s="2" t="s">
        <v>4364</v>
      </c>
    </row>
    <row r="1614" spans="4:8" x14ac:dyDescent="0.35">
      <c r="D1614" s="95" t="str">
        <f t="shared" si="25"/>
        <v/>
      </c>
      <c r="F1614" s="2" t="s">
        <v>3298</v>
      </c>
      <c r="G1614" s="2" t="s">
        <v>3299</v>
      </c>
      <c r="H1614" s="2" t="s">
        <v>4364</v>
      </c>
    </row>
    <row r="1615" spans="4:8" x14ac:dyDescent="0.35">
      <c r="D1615" s="95" t="str">
        <f t="shared" si="25"/>
        <v/>
      </c>
      <c r="F1615" s="2" t="s">
        <v>3300</v>
      </c>
      <c r="G1615" s="2" t="s">
        <v>3301</v>
      </c>
      <c r="H1615" s="2" t="s">
        <v>4364</v>
      </c>
    </row>
    <row r="1616" spans="4:8" x14ac:dyDescent="0.35">
      <c r="D1616" s="95" t="str">
        <f t="shared" si="25"/>
        <v/>
      </c>
      <c r="F1616" s="2" t="s">
        <v>3302</v>
      </c>
      <c r="G1616" s="2" t="s">
        <v>3303</v>
      </c>
      <c r="H1616" s="2" t="s">
        <v>4364</v>
      </c>
    </row>
    <row r="1617" spans="4:8" x14ac:dyDescent="0.35">
      <c r="D1617" s="95" t="str">
        <f t="shared" si="25"/>
        <v/>
      </c>
      <c r="F1617" s="2" t="s">
        <v>3304</v>
      </c>
      <c r="G1617" s="2" t="s">
        <v>3305</v>
      </c>
      <c r="H1617" s="2" t="s">
        <v>4364</v>
      </c>
    </row>
    <row r="1618" spans="4:8" x14ac:dyDescent="0.35">
      <c r="D1618" s="95" t="str">
        <f t="shared" si="25"/>
        <v/>
      </c>
      <c r="F1618" s="2" t="s">
        <v>3306</v>
      </c>
      <c r="G1618" s="2" t="s">
        <v>3307</v>
      </c>
      <c r="H1618" s="2" t="s">
        <v>4364</v>
      </c>
    </row>
    <row r="1619" spans="4:8" x14ac:dyDescent="0.35">
      <c r="D1619" s="95" t="str">
        <f t="shared" si="25"/>
        <v/>
      </c>
      <c r="F1619" s="2" t="s">
        <v>3308</v>
      </c>
      <c r="G1619" s="2" t="s">
        <v>3309</v>
      </c>
      <c r="H1619" s="2" t="s">
        <v>4364</v>
      </c>
    </row>
    <row r="1620" spans="4:8" x14ac:dyDescent="0.35">
      <c r="D1620" s="95" t="str">
        <f t="shared" si="25"/>
        <v/>
      </c>
      <c r="F1620" s="2" t="s">
        <v>3310</v>
      </c>
      <c r="G1620" s="2" t="s">
        <v>3311</v>
      </c>
      <c r="H1620" s="2" t="s">
        <v>4364</v>
      </c>
    </row>
    <row r="1621" spans="4:8" x14ac:dyDescent="0.35">
      <c r="D1621" s="95" t="str">
        <f t="shared" si="25"/>
        <v/>
      </c>
      <c r="F1621" s="2" t="s">
        <v>3312</v>
      </c>
      <c r="G1621" s="2" t="s">
        <v>3313</v>
      </c>
      <c r="H1621" s="2" t="s">
        <v>4364</v>
      </c>
    </row>
    <row r="1622" spans="4:8" x14ac:dyDescent="0.35">
      <c r="D1622" s="95" t="str">
        <f t="shared" si="25"/>
        <v/>
      </c>
      <c r="F1622" s="2" t="s">
        <v>3314</v>
      </c>
      <c r="G1622" s="2" t="s">
        <v>3315</v>
      </c>
      <c r="H1622" s="2" t="s">
        <v>4364</v>
      </c>
    </row>
    <row r="1623" spans="4:8" x14ac:dyDescent="0.35">
      <c r="D1623" s="95" t="str">
        <f t="shared" si="25"/>
        <v/>
      </c>
      <c r="F1623" s="2" t="s">
        <v>3316</v>
      </c>
      <c r="G1623" s="2" t="s">
        <v>3317</v>
      </c>
      <c r="H1623" s="2" t="s">
        <v>4364</v>
      </c>
    </row>
    <row r="1624" spans="4:8" x14ac:dyDescent="0.35">
      <c r="D1624" s="95" t="str">
        <f t="shared" si="25"/>
        <v/>
      </c>
      <c r="F1624" s="2" t="s">
        <v>3318</v>
      </c>
      <c r="G1624" s="2" t="s">
        <v>3319</v>
      </c>
      <c r="H1624" s="2" t="s">
        <v>4364</v>
      </c>
    </row>
    <row r="1625" spans="4:8" x14ac:dyDescent="0.35">
      <c r="D1625" s="95" t="str">
        <f t="shared" si="25"/>
        <v/>
      </c>
      <c r="F1625" s="2" t="s">
        <v>3320</v>
      </c>
      <c r="G1625" s="2" t="s">
        <v>3321</v>
      </c>
      <c r="H1625" s="2" t="s">
        <v>4364</v>
      </c>
    </row>
    <row r="1626" spans="4:8" x14ac:dyDescent="0.35">
      <c r="D1626" s="95" t="str">
        <f t="shared" si="25"/>
        <v/>
      </c>
      <c r="F1626" s="2" t="s">
        <v>3322</v>
      </c>
      <c r="G1626" s="2" t="s">
        <v>3323</v>
      </c>
      <c r="H1626" s="2" t="s">
        <v>4364</v>
      </c>
    </row>
    <row r="1627" spans="4:8" x14ac:dyDescent="0.35">
      <c r="D1627" s="95" t="str">
        <f t="shared" si="25"/>
        <v/>
      </c>
      <c r="F1627" s="2" t="s">
        <v>3324</v>
      </c>
      <c r="G1627" s="2" t="s">
        <v>3325</v>
      </c>
      <c r="H1627" s="2" t="s">
        <v>4364</v>
      </c>
    </row>
    <row r="1628" spans="4:8" x14ac:dyDescent="0.35">
      <c r="D1628" s="95" t="str">
        <f t="shared" si="25"/>
        <v/>
      </c>
      <c r="F1628" s="2" t="s">
        <v>3326</v>
      </c>
      <c r="G1628" s="2" t="s">
        <v>3327</v>
      </c>
      <c r="H1628" s="2" t="s">
        <v>4364</v>
      </c>
    </row>
    <row r="1629" spans="4:8" x14ac:dyDescent="0.35">
      <c r="D1629" s="95" t="str">
        <f t="shared" si="25"/>
        <v/>
      </c>
      <c r="F1629" s="2" t="s">
        <v>3328</v>
      </c>
      <c r="G1629" s="2" t="s">
        <v>3329</v>
      </c>
      <c r="H1629" s="2" t="s">
        <v>4364</v>
      </c>
    </row>
    <row r="1630" spans="4:8" x14ac:dyDescent="0.35">
      <c r="D1630" s="95" t="str">
        <f t="shared" si="25"/>
        <v/>
      </c>
      <c r="F1630" s="2" t="s">
        <v>3330</v>
      </c>
      <c r="G1630" s="2" t="s">
        <v>3331</v>
      </c>
      <c r="H1630" s="2" t="s">
        <v>4364</v>
      </c>
    </row>
    <row r="1631" spans="4:8" x14ac:dyDescent="0.35">
      <c r="D1631" s="95" t="str">
        <f t="shared" si="25"/>
        <v/>
      </c>
      <c r="F1631" s="2" t="s">
        <v>3332</v>
      </c>
      <c r="G1631" s="2" t="s">
        <v>3333</v>
      </c>
      <c r="H1631" s="2" t="s">
        <v>4364</v>
      </c>
    </row>
    <row r="1632" spans="4:8" x14ac:dyDescent="0.35">
      <c r="D1632" s="95" t="str">
        <f t="shared" si="25"/>
        <v/>
      </c>
      <c r="F1632" s="2" t="s">
        <v>3334</v>
      </c>
      <c r="G1632" s="2" t="s">
        <v>3335</v>
      </c>
      <c r="H1632" s="2" t="s">
        <v>4364</v>
      </c>
    </row>
    <row r="1633" spans="4:8" x14ac:dyDescent="0.35">
      <c r="D1633" s="95" t="str">
        <f t="shared" si="25"/>
        <v/>
      </c>
      <c r="F1633" s="2" t="s">
        <v>3336</v>
      </c>
      <c r="G1633" s="2" t="s">
        <v>3337</v>
      </c>
      <c r="H1633" s="2" t="s">
        <v>4364</v>
      </c>
    </row>
    <row r="1634" spans="4:8" x14ac:dyDescent="0.35">
      <c r="D1634" s="95" t="str">
        <f t="shared" si="25"/>
        <v/>
      </c>
      <c r="F1634" s="2" t="s">
        <v>3338</v>
      </c>
      <c r="G1634" s="2" t="s">
        <v>3339</v>
      </c>
      <c r="H1634" s="2" t="s">
        <v>4364</v>
      </c>
    </row>
    <row r="1635" spans="4:8" x14ac:dyDescent="0.35">
      <c r="D1635" s="95" t="str">
        <f t="shared" si="25"/>
        <v/>
      </c>
      <c r="F1635" s="2" t="s">
        <v>3340</v>
      </c>
      <c r="G1635" s="2" t="s">
        <v>3341</v>
      </c>
      <c r="H1635" s="2" t="s">
        <v>4364</v>
      </c>
    </row>
    <row r="1636" spans="4:8" x14ac:dyDescent="0.35">
      <c r="D1636" s="95" t="str">
        <f t="shared" si="25"/>
        <v/>
      </c>
      <c r="F1636" s="2" t="s">
        <v>3342</v>
      </c>
      <c r="G1636" s="2" t="s">
        <v>3343</v>
      </c>
      <c r="H1636" s="2" t="s">
        <v>4364</v>
      </c>
    </row>
    <row r="1637" spans="4:8" x14ac:dyDescent="0.35">
      <c r="D1637" s="95" t="str">
        <f t="shared" si="25"/>
        <v/>
      </c>
      <c r="F1637" s="2" t="s">
        <v>3344</v>
      </c>
      <c r="G1637" s="2" t="s">
        <v>3345</v>
      </c>
      <c r="H1637" s="2" t="s">
        <v>4364</v>
      </c>
    </row>
    <row r="1638" spans="4:8" x14ac:dyDescent="0.35">
      <c r="D1638" s="95" t="str">
        <f t="shared" si="25"/>
        <v/>
      </c>
      <c r="F1638" s="2" t="s">
        <v>3346</v>
      </c>
      <c r="G1638" s="2" t="s">
        <v>3347</v>
      </c>
      <c r="H1638" s="2" t="s">
        <v>4364</v>
      </c>
    </row>
    <row r="1639" spans="4:8" x14ac:dyDescent="0.35">
      <c r="D1639" s="95" t="str">
        <f t="shared" si="25"/>
        <v/>
      </c>
      <c r="F1639" s="2" t="s">
        <v>3348</v>
      </c>
      <c r="G1639" s="2" t="s">
        <v>3349</v>
      </c>
      <c r="H1639" s="2" t="s">
        <v>4364</v>
      </c>
    </row>
    <row r="1640" spans="4:8" x14ac:dyDescent="0.35">
      <c r="D1640" s="95" t="str">
        <f t="shared" si="25"/>
        <v/>
      </c>
      <c r="F1640" s="2" t="s">
        <v>3350</v>
      </c>
      <c r="G1640" s="2" t="s">
        <v>3351</v>
      </c>
      <c r="H1640" s="2" t="s">
        <v>4364</v>
      </c>
    </row>
    <row r="1641" spans="4:8" x14ac:dyDescent="0.35">
      <c r="D1641" s="95" t="str">
        <f t="shared" si="25"/>
        <v/>
      </c>
      <c r="F1641" s="2" t="s">
        <v>3352</v>
      </c>
      <c r="G1641" s="2" t="s">
        <v>3353</v>
      </c>
      <c r="H1641" s="2" t="s">
        <v>4364</v>
      </c>
    </row>
    <row r="1642" spans="4:8" x14ac:dyDescent="0.35">
      <c r="D1642" s="95" t="str">
        <f t="shared" si="25"/>
        <v/>
      </c>
      <c r="F1642" s="2" t="s">
        <v>3354</v>
      </c>
      <c r="G1642" s="2" t="s">
        <v>3355</v>
      </c>
      <c r="H1642" s="2" t="s">
        <v>4364</v>
      </c>
    </row>
    <row r="1643" spans="4:8" x14ac:dyDescent="0.35">
      <c r="D1643" s="95" t="str">
        <f t="shared" si="25"/>
        <v/>
      </c>
      <c r="F1643" s="2" t="s">
        <v>3356</v>
      </c>
      <c r="G1643" s="2" t="s">
        <v>3357</v>
      </c>
      <c r="H1643" s="2" t="s">
        <v>4364</v>
      </c>
    </row>
    <row r="1644" spans="4:8" x14ac:dyDescent="0.35">
      <c r="D1644" s="95" t="str">
        <f t="shared" si="25"/>
        <v/>
      </c>
      <c r="F1644" s="2" t="s">
        <v>3358</v>
      </c>
      <c r="G1644" s="2" t="s">
        <v>3359</v>
      </c>
      <c r="H1644" s="2" t="s">
        <v>4365</v>
      </c>
    </row>
    <row r="1645" spans="4:8" x14ac:dyDescent="0.35">
      <c r="D1645" s="95" t="str">
        <f t="shared" si="25"/>
        <v/>
      </c>
      <c r="F1645" s="2" t="s">
        <v>3360</v>
      </c>
      <c r="G1645" s="2" t="s">
        <v>3361</v>
      </c>
      <c r="H1645" s="2" t="s">
        <v>4365</v>
      </c>
    </row>
    <row r="1646" spans="4:8" x14ac:dyDescent="0.35">
      <c r="D1646" s="95" t="str">
        <f t="shared" si="25"/>
        <v/>
      </c>
      <c r="F1646" s="2" t="s">
        <v>3362</v>
      </c>
      <c r="G1646" s="2" t="s">
        <v>3363</v>
      </c>
      <c r="H1646" s="2" t="s">
        <v>4365</v>
      </c>
    </row>
    <row r="1647" spans="4:8" x14ac:dyDescent="0.35">
      <c r="D1647" s="95" t="str">
        <f t="shared" si="25"/>
        <v/>
      </c>
      <c r="F1647" s="2" t="s">
        <v>3364</v>
      </c>
      <c r="G1647" s="2" t="s">
        <v>3365</v>
      </c>
      <c r="H1647" s="2" t="s">
        <v>4365</v>
      </c>
    </row>
    <row r="1648" spans="4:8" x14ac:dyDescent="0.35">
      <c r="D1648" s="95" t="str">
        <f t="shared" si="25"/>
        <v/>
      </c>
      <c r="F1648" s="2" t="s">
        <v>3366</v>
      </c>
      <c r="G1648" s="2" t="s">
        <v>3367</v>
      </c>
      <c r="H1648" s="2" t="s">
        <v>4365</v>
      </c>
    </row>
    <row r="1649" spans="4:8" x14ac:dyDescent="0.35">
      <c r="D1649" s="95" t="str">
        <f t="shared" si="25"/>
        <v/>
      </c>
      <c r="F1649" s="2" t="s">
        <v>3368</v>
      </c>
      <c r="G1649" s="2" t="s">
        <v>3369</v>
      </c>
      <c r="H1649" s="2" t="s">
        <v>4365</v>
      </c>
    </row>
    <row r="1650" spans="4:8" x14ac:dyDescent="0.35">
      <c r="D1650" s="95" t="str">
        <f t="shared" si="25"/>
        <v/>
      </c>
      <c r="F1650" s="2" t="s">
        <v>3370</v>
      </c>
      <c r="G1650" s="2" t="s">
        <v>3371</v>
      </c>
      <c r="H1650" s="2" t="s">
        <v>4365</v>
      </c>
    </row>
    <row r="1651" spans="4:8" x14ac:dyDescent="0.35">
      <c r="D1651" s="95" t="str">
        <f t="shared" si="25"/>
        <v/>
      </c>
      <c r="F1651" s="2" t="s">
        <v>3372</v>
      </c>
      <c r="G1651" s="2" t="s">
        <v>3373</v>
      </c>
      <c r="H1651" s="2" t="s">
        <v>4365</v>
      </c>
    </row>
    <row r="1652" spans="4:8" x14ac:dyDescent="0.35">
      <c r="D1652" s="95" t="str">
        <f t="shared" si="25"/>
        <v/>
      </c>
      <c r="F1652" s="2" t="s">
        <v>3374</v>
      </c>
      <c r="G1652" s="2" t="s">
        <v>3375</v>
      </c>
      <c r="H1652" s="2" t="s">
        <v>4365</v>
      </c>
    </row>
    <row r="1653" spans="4:8" x14ac:dyDescent="0.35">
      <c r="D1653" s="95" t="str">
        <f t="shared" si="25"/>
        <v/>
      </c>
      <c r="F1653" s="2" t="s">
        <v>3376</v>
      </c>
      <c r="G1653" s="2" t="s">
        <v>3377</v>
      </c>
      <c r="H1653" s="2" t="s">
        <v>4365</v>
      </c>
    </row>
    <row r="1654" spans="4:8" x14ac:dyDescent="0.35">
      <c r="D1654" s="95" t="str">
        <f t="shared" si="25"/>
        <v/>
      </c>
      <c r="F1654" s="2" t="s">
        <v>3378</v>
      </c>
      <c r="G1654" s="2" t="s">
        <v>3379</v>
      </c>
      <c r="H1654" s="2" t="s">
        <v>4365</v>
      </c>
    </row>
    <row r="1655" spans="4:8" x14ac:dyDescent="0.35">
      <c r="D1655" s="95" t="str">
        <f t="shared" si="25"/>
        <v/>
      </c>
      <c r="F1655" s="2" t="s">
        <v>3380</v>
      </c>
      <c r="G1655" s="2" t="s">
        <v>3381</v>
      </c>
      <c r="H1655" s="2" t="s">
        <v>4365</v>
      </c>
    </row>
    <row r="1656" spans="4:8" x14ac:dyDescent="0.35">
      <c r="D1656" s="95" t="str">
        <f t="shared" si="25"/>
        <v/>
      </c>
      <c r="F1656" s="2" t="s">
        <v>3382</v>
      </c>
      <c r="G1656" s="2" t="s">
        <v>3383</v>
      </c>
      <c r="H1656" s="2" t="s">
        <v>4365</v>
      </c>
    </row>
    <row r="1657" spans="4:8" x14ac:dyDescent="0.35">
      <c r="D1657" s="95" t="str">
        <f t="shared" si="25"/>
        <v/>
      </c>
      <c r="F1657" s="2" t="s">
        <v>3384</v>
      </c>
      <c r="G1657" s="2" t="s">
        <v>3385</v>
      </c>
      <c r="H1657" s="2" t="s">
        <v>4365</v>
      </c>
    </row>
    <row r="1658" spans="4:8" x14ac:dyDescent="0.35">
      <c r="D1658" s="95" t="str">
        <f t="shared" si="25"/>
        <v/>
      </c>
      <c r="F1658" s="2" t="s">
        <v>3386</v>
      </c>
      <c r="G1658" s="2" t="s">
        <v>3387</v>
      </c>
      <c r="H1658" s="2" t="s">
        <v>4365</v>
      </c>
    </row>
    <row r="1659" spans="4:8" x14ac:dyDescent="0.35">
      <c r="D1659" s="95" t="str">
        <f t="shared" si="25"/>
        <v/>
      </c>
      <c r="F1659" s="2" t="s">
        <v>3388</v>
      </c>
      <c r="G1659" s="2" t="s">
        <v>3389</v>
      </c>
      <c r="H1659" s="2" t="s">
        <v>4365</v>
      </c>
    </row>
    <row r="1660" spans="4:8" x14ac:dyDescent="0.35">
      <c r="D1660" s="95" t="str">
        <f t="shared" si="25"/>
        <v/>
      </c>
      <c r="F1660" s="2" t="s">
        <v>3390</v>
      </c>
      <c r="G1660" s="2" t="s">
        <v>3391</v>
      </c>
      <c r="H1660" s="2" t="s">
        <v>4365</v>
      </c>
    </row>
    <row r="1661" spans="4:8" x14ac:dyDescent="0.35">
      <c r="D1661" s="95" t="str">
        <f t="shared" si="25"/>
        <v/>
      </c>
      <c r="F1661" s="2" t="s">
        <v>3392</v>
      </c>
      <c r="G1661" s="2" t="s">
        <v>3393</v>
      </c>
      <c r="H1661" s="2" t="s">
        <v>4365</v>
      </c>
    </row>
    <row r="1662" spans="4:8" x14ac:dyDescent="0.35">
      <c r="D1662" s="95" t="str">
        <f t="shared" si="25"/>
        <v/>
      </c>
      <c r="F1662" s="2" t="s">
        <v>3394</v>
      </c>
      <c r="G1662" s="2" t="s">
        <v>3395</v>
      </c>
      <c r="H1662" s="2" t="s">
        <v>4365</v>
      </c>
    </row>
    <row r="1663" spans="4:8" x14ac:dyDescent="0.35">
      <c r="D1663" s="95" t="str">
        <f t="shared" si="25"/>
        <v/>
      </c>
      <c r="F1663" s="2" t="s">
        <v>3396</v>
      </c>
      <c r="G1663" s="2" t="s">
        <v>3397</v>
      </c>
      <c r="H1663" s="2" t="s">
        <v>4365</v>
      </c>
    </row>
    <row r="1664" spans="4:8" x14ac:dyDescent="0.35">
      <c r="D1664" s="95" t="str">
        <f t="shared" si="25"/>
        <v/>
      </c>
      <c r="F1664" s="2" t="s">
        <v>3398</v>
      </c>
      <c r="G1664" s="2" t="s">
        <v>3399</v>
      </c>
      <c r="H1664" s="2" t="s">
        <v>4365</v>
      </c>
    </row>
    <row r="1665" spans="4:8" x14ac:dyDescent="0.35">
      <c r="D1665" s="95" t="str">
        <f t="shared" si="25"/>
        <v/>
      </c>
      <c r="F1665" s="2" t="s">
        <v>3400</v>
      </c>
      <c r="G1665" s="2" t="s">
        <v>3401</v>
      </c>
      <c r="H1665" s="2" t="s">
        <v>4365</v>
      </c>
    </row>
    <row r="1666" spans="4:8" x14ac:dyDescent="0.35">
      <c r="D1666" s="95" t="str">
        <f t="shared" si="25"/>
        <v/>
      </c>
      <c r="F1666" s="2" t="s">
        <v>3402</v>
      </c>
      <c r="G1666" s="2" t="s">
        <v>3403</v>
      </c>
      <c r="H1666" s="2" t="s">
        <v>4365</v>
      </c>
    </row>
    <row r="1667" spans="4:8" x14ac:dyDescent="0.35">
      <c r="D1667" s="95" t="str">
        <f t="shared" si="25"/>
        <v/>
      </c>
      <c r="F1667" s="2" t="s">
        <v>3404</v>
      </c>
      <c r="G1667" s="2" t="s">
        <v>3405</v>
      </c>
      <c r="H1667" s="2" t="s">
        <v>4365</v>
      </c>
    </row>
    <row r="1668" spans="4:8" x14ac:dyDescent="0.35">
      <c r="D1668" s="95" t="str">
        <f t="shared" si="25"/>
        <v/>
      </c>
      <c r="F1668" s="2" t="s">
        <v>3406</v>
      </c>
      <c r="G1668" s="2" t="s">
        <v>3407</v>
      </c>
      <c r="H1668" s="2" t="s">
        <v>4365</v>
      </c>
    </row>
    <row r="1669" spans="4:8" x14ac:dyDescent="0.35">
      <c r="D1669" s="95" t="str">
        <f t="shared" si="25"/>
        <v/>
      </c>
      <c r="F1669" s="2" t="s">
        <v>3408</v>
      </c>
      <c r="G1669" s="2" t="s">
        <v>3409</v>
      </c>
      <c r="H1669" s="2" t="s">
        <v>4365</v>
      </c>
    </row>
    <row r="1670" spans="4:8" x14ac:dyDescent="0.35">
      <c r="D1670" s="95" t="str">
        <f t="shared" si="25"/>
        <v/>
      </c>
      <c r="F1670" s="2" t="s">
        <v>3410</v>
      </c>
      <c r="G1670" s="2" t="s">
        <v>3411</v>
      </c>
      <c r="H1670" s="2" t="s">
        <v>4365</v>
      </c>
    </row>
    <row r="1671" spans="4:8" x14ac:dyDescent="0.35">
      <c r="D1671" s="95" t="str">
        <f t="shared" si="25"/>
        <v/>
      </c>
      <c r="F1671" s="2" t="s">
        <v>3412</v>
      </c>
      <c r="G1671" s="2" t="s">
        <v>3413</v>
      </c>
      <c r="H1671" s="2" t="s">
        <v>4365</v>
      </c>
    </row>
    <row r="1672" spans="4:8" x14ac:dyDescent="0.35">
      <c r="D1672" s="95" t="str">
        <f t="shared" ref="D1672:D1735" si="26">IFERROR(INDEX($F$6:$G$1048576,MATCH($C1672,$G$6:$G$1048576,0),MATCH($D$6,$F$6:$G$6,0)),"")</f>
        <v/>
      </c>
      <c r="F1672" s="2" t="s">
        <v>3414</v>
      </c>
      <c r="G1672" s="2" t="s">
        <v>3415</v>
      </c>
      <c r="H1672" s="2" t="s">
        <v>4365</v>
      </c>
    </row>
    <row r="1673" spans="4:8" x14ac:dyDescent="0.35">
      <c r="D1673" s="95" t="str">
        <f t="shared" si="26"/>
        <v/>
      </c>
      <c r="F1673" s="2" t="s">
        <v>3416</v>
      </c>
      <c r="G1673" s="2" t="s">
        <v>3417</v>
      </c>
      <c r="H1673" s="2" t="s">
        <v>4365</v>
      </c>
    </row>
    <row r="1674" spans="4:8" x14ac:dyDescent="0.35">
      <c r="D1674" s="95" t="str">
        <f t="shared" si="26"/>
        <v/>
      </c>
      <c r="F1674" s="2" t="s">
        <v>3418</v>
      </c>
      <c r="G1674" s="2" t="s">
        <v>3419</v>
      </c>
      <c r="H1674" s="2" t="s">
        <v>4365</v>
      </c>
    </row>
    <row r="1675" spans="4:8" x14ac:dyDescent="0.35">
      <c r="D1675" s="95" t="str">
        <f t="shared" si="26"/>
        <v/>
      </c>
      <c r="F1675" s="2" t="s">
        <v>3420</v>
      </c>
      <c r="G1675" s="2" t="s">
        <v>3421</v>
      </c>
      <c r="H1675" s="2" t="s">
        <v>4365</v>
      </c>
    </row>
    <row r="1676" spans="4:8" x14ac:dyDescent="0.35">
      <c r="D1676" s="95" t="str">
        <f t="shared" si="26"/>
        <v/>
      </c>
      <c r="F1676" s="2" t="s">
        <v>3422</v>
      </c>
      <c r="G1676" s="2" t="s">
        <v>3423</v>
      </c>
      <c r="H1676" s="2" t="s">
        <v>4365</v>
      </c>
    </row>
    <row r="1677" spans="4:8" x14ac:dyDescent="0.35">
      <c r="D1677" s="95" t="str">
        <f t="shared" si="26"/>
        <v/>
      </c>
      <c r="F1677" s="2" t="s">
        <v>3424</v>
      </c>
      <c r="G1677" s="2" t="s">
        <v>3425</v>
      </c>
      <c r="H1677" s="2" t="s">
        <v>4365</v>
      </c>
    </row>
    <row r="1678" spans="4:8" x14ac:dyDescent="0.35">
      <c r="D1678" s="95" t="str">
        <f t="shared" si="26"/>
        <v/>
      </c>
      <c r="F1678" s="2" t="s">
        <v>3426</v>
      </c>
      <c r="G1678" s="2" t="s">
        <v>3427</v>
      </c>
      <c r="H1678" s="2" t="s">
        <v>4365</v>
      </c>
    </row>
    <row r="1679" spans="4:8" x14ac:dyDescent="0.35">
      <c r="D1679" s="95" t="str">
        <f t="shared" si="26"/>
        <v/>
      </c>
      <c r="F1679" s="2" t="s">
        <v>3428</v>
      </c>
      <c r="G1679" s="2" t="s">
        <v>3429</v>
      </c>
      <c r="H1679" s="2" t="s">
        <v>4365</v>
      </c>
    </row>
    <row r="1680" spans="4:8" x14ac:dyDescent="0.35">
      <c r="D1680" s="95" t="str">
        <f t="shared" si="26"/>
        <v/>
      </c>
      <c r="F1680" s="2" t="s">
        <v>3430</v>
      </c>
      <c r="G1680" s="2" t="s">
        <v>3431</v>
      </c>
      <c r="H1680" s="2" t="s">
        <v>4365</v>
      </c>
    </row>
    <row r="1681" spans="4:8" x14ac:dyDescent="0.35">
      <c r="D1681" s="95" t="str">
        <f t="shared" si="26"/>
        <v/>
      </c>
      <c r="F1681" s="2" t="s">
        <v>3432</v>
      </c>
      <c r="G1681" s="2" t="s">
        <v>3433</v>
      </c>
      <c r="H1681" s="2" t="s">
        <v>4365</v>
      </c>
    </row>
    <row r="1682" spans="4:8" x14ac:dyDescent="0.35">
      <c r="D1682" s="95" t="str">
        <f t="shared" si="26"/>
        <v/>
      </c>
      <c r="F1682" s="2" t="s">
        <v>3434</v>
      </c>
      <c r="G1682" s="2" t="s">
        <v>3435</v>
      </c>
      <c r="H1682" s="2" t="s">
        <v>4365</v>
      </c>
    </row>
    <row r="1683" spans="4:8" x14ac:dyDescent="0.35">
      <c r="D1683" s="95" t="str">
        <f t="shared" si="26"/>
        <v/>
      </c>
      <c r="F1683" s="2" t="s">
        <v>3436</v>
      </c>
      <c r="G1683" s="2" t="s">
        <v>3437</v>
      </c>
      <c r="H1683" s="2" t="s">
        <v>4365</v>
      </c>
    </row>
    <row r="1684" spans="4:8" x14ac:dyDescent="0.35">
      <c r="D1684" s="95" t="str">
        <f t="shared" si="26"/>
        <v/>
      </c>
      <c r="F1684" s="2" t="s">
        <v>3438</v>
      </c>
      <c r="G1684" s="2" t="s">
        <v>3439</v>
      </c>
      <c r="H1684" s="2" t="s">
        <v>4365</v>
      </c>
    </row>
    <row r="1685" spans="4:8" x14ac:dyDescent="0.35">
      <c r="D1685" s="95" t="str">
        <f t="shared" si="26"/>
        <v/>
      </c>
      <c r="F1685" s="2" t="s">
        <v>3440</v>
      </c>
      <c r="G1685" s="2" t="s">
        <v>3441</v>
      </c>
      <c r="H1685" s="2" t="s">
        <v>4365</v>
      </c>
    </row>
    <row r="1686" spans="4:8" x14ac:dyDescent="0.35">
      <c r="D1686" s="95" t="str">
        <f t="shared" si="26"/>
        <v/>
      </c>
      <c r="F1686" s="2" t="s">
        <v>3442</v>
      </c>
      <c r="G1686" s="2" t="s">
        <v>3443</v>
      </c>
      <c r="H1686" s="2" t="s">
        <v>4365</v>
      </c>
    </row>
    <row r="1687" spans="4:8" x14ac:dyDescent="0.35">
      <c r="D1687" s="95" t="str">
        <f t="shared" si="26"/>
        <v/>
      </c>
      <c r="F1687" s="2" t="s">
        <v>3444</v>
      </c>
      <c r="G1687" s="2" t="s">
        <v>3445</v>
      </c>
      <c r="H1687" s="2" t="s">
        <v>4365</v>
      </c>
    </row>
    <row r="1688" spans="4:8" x14ac:dyDescent="0.35">
      <c r="D1688" s="95" t="str">
        <f t="shared" si="26"/>
        <v/>
      </c>
      <c r="F1688" s="2" t="s">
        <v>3446</v>
      </c>
      <c r="G1688" s="2" t="s">
        <v>3447</v>
      </c>
      <c r="H1688" s="2" t="s">
        <v>4365</v>
      </c>
    </row>
    <row r="1689" spans="4:8" x14ac:dyDescent="0.35">
      <c r="D1689" s="95" t="str">
        <f t="shared" si="26"/>
        <v/>
      </c>
      <c r="F1689" s="2" t="s">
        <v>3448</v>
      </c>
      <c r="G1689" s="2" t="s">
        <v>3449</v>
      </c>
      <c r="H1689" s="2" t="s">
        <v>4365</v>
      </c>
    </row>
    <row r="1690" spans="4:8" x14ac:dyDescent="0.35">
      <c r="D1690" s="95" t="str">
        <f t="shared" si="26"/>
        <v/>
      </c>
      <c r="F1690" s="2" t="s">
        <v>3450</v>
      </c>
      <c r="G1690" s="2" t="s">
        <v>3451</v>
      </c>
      <c r="H1690" s="2" t="s">
        <v>4365</v>
      </c>
    </row>
    <row r="1691" spans="4:8" x14ac:dyDescent="0.35">
      <c r="D1691" s="95" t="str">
        <f t="shared" si="26"/>
        <v/>
      </c>
      <c r="F1691" s="2" t="s">
        <v>3452</v>
      </c>
      <c r="G1691" s="2" t="s">
        <v>3453</v>
      </c>
      <c r="H1691" s="2" t="s">
        <v>4365</v>
      </c>
    </row>
    <row r="1692" spans="4:8" x14ac:dyDescent="0.35">
      <c r="D1692" s="95" t="str">
        <f t="shared" si="26"/>
        <v/>
      </c>
      <c r="F1692" s="2" t="s">
        <v>3454</v>
      </c>
      <c r="G1692" s="2" t="s">
        <v>3455</v>
      </c>
      <c r="H1692" s="2" t="s">
        <v>4365</v>
      </c>
    </row>
    <row r="1693" spans="4:8" x14ac:dyDescent="0.35">
      <c r="D1693" s="95" t="str">
        <f t="shared" si="26"/>
        <v/>
      </c>
      <c r="F1693" s="2" t="s">
        <v>3456</v>
      </c>
      <c r="G1693" s="2" t="s">
        <v>3457</v>
      </c>
      <c r="H1693" s="2" t="s">
        <v>4365</v>
      </c>
    </row>
    <row r="1694" spans="4:8" x14ac:dyDescent="0.35">
      <c r="D1694" s="95" t="str">
        <f t="shared" si="26"/>
        <v/>
      </c>
      <c r="F1694" s="2" t="s">
        <v>3458</v>
      </c>
      <c r="G1694" s="2" t="s">
        <v>3459</v>
      </c>
      <c r="H1694" s="2" t="s">
        <v>4365</v>
      </c>
    </row>
    <row r="1695" spans="4:8" x14ac:dyDescent="0.35">
      <c r="D1695" s="95" t="str">
        <f t="shared" si="26"/>
        <v/>
      </c>
      <c r="F1695" s="2" t="s">
        <v>3460</v>
      </c>
      <c r="G1695" s="2" t="s">
        <v>3461</v>
      </c>
      <c r="H1695" s="2" t="s">
        <v>4365</v>
      </c>
    </row>
    <row r="1696" spans="4:8" x14ac:dyDescent="0.35">
      <c r="D1696" s="95" t="str">
        <f t="shared" si="26"/>
        <v/>
      </c>
      <c r="F1696" s="2" t="s">
        <v>3462</v>
      </c>
      <c r="G1696" s="2" t="s">
        <v>3463</v>
      </c>
      <c r="H1696" s="2" t="s">
        <v>4365</v>
      </c>
    </row>
    <row r="1697" spans="4:8" x14ac:dyDescent="0.35">
      <c r="D1697" s="95" t="str">
        <f t="shared" si="26"/>
        <v/>
      </c>
      <c r="F1697" s="2" t="s">
        <v>3464</v>
      </c>
      <c r="G1697" s="2" t="s">
        <v>3465</v>
      </c>
      <c r="H1697" s="2" t="s">
        <v>4365</v>
      </c>
    </row>
    <row r="1698" spans="4:8" x14ac:dyDescent="0.35">
      <c r="D1698" s="95" t="str">
        <f t="shared" si="26"/>
        <v/>
      </c>
      <c r="F1698" s="2" t="s">
        <v>3466</v>
      </c>
      <c r="G1698" s="2" t="s">
        <v>3467</v>
      </c>
      <c r="H1698" s="2" t="s">
        <v>4365</v>
      </c>
    </row>
    <row r="1699" spans="4:8" x14ac:dyDescent="0.35">
      <c r="D1699" s="95" t="str">
        <f t="shared" si="26"/>
        <v/>
      </c>
      <c r="F1699" s="2" t="s">
        <v>3468</v>
      </c>
      <c r="G1699" s="2" t="s">
        <v>3469</v>
      </c>
      <c r="H1699" s="2" t="s">
        <v>4365</v>
      </c>
    </row>
    <row r="1700" spans="4:8" x14ac:dyDescent="0.35">
      <c r="D1700" s="95" t="str">
        <f t="shared" si="26"/>
        <v/>
      </c>
      <c r="F1700" s="2" t="s">
        <v>3470</v>
      </c>
      <c r="G1700" s="2" t="s">
        <v>3471</v>
      </c>
      <c r="H1700" s="2" t="s">
        <v>4365</v>
      </c>
    </row>
    <row r="1701" spans="4:8" x14ac:dyDescent="0.35">
      <c r="D1701" s="95" t="str">
        <f t="shared" si="26"/>
        <v/>
      </c>
      <c r="F1701" s="2" t="s">
        <v>3472</v>
      </c>
      <c r="G1701" s="2" t="s">
        <v>3473</v>
      </c>
      <c r="H1701" s="2" t="s">
        <v>4365</v>
      </c>
    </row>
    <row r="1702" spans="4:8" x14ac:dyDescent="0.35">
      <c r="D1702" s="95" t="str">
        <f t="shared" si="26"/>
        <v/>
      </c>
      <c r="F1702" s="2" t="s">
        <v>3474</v>
      </c>
      <c r="G1702" s="2" t="s">
        <v>3475</v>
      </c>
      <c r="H1702" s="2" t="s">
        <v>4365</v>
      </c>
    </row>
    <row r="1703" spans="4:8" x14ac:dyDescent="0.35">
      <c r="D1703" s="95" t="str">
        <f t="shared" si="26"/>
        <v/>
      </c>
      <c r="F1703" s="2" t="s">
        <v>3476</v>
      </c>
      <c r="G1703" s="2" t="s">
        <v>3477</v>
      </c>
      <c r="H1703" s="2" t="s">
        <v>4365</v>
      </c>
    </row>
    <row r="1704" spans="4:8" x14ac:dyDescent="0.35">
      <c r="D1704" s="95" t="str">
        <f t="shared" si="26"/>
        <v/>
      </c>
      <c r="F1704" s="2" t="s">
        <v>3478</v>
      </c>
      <c r="G1704" s="2" t="s">
        <v>3479</v>
      </c>
      <c r="H1704" s="2" t="s">
        <v>4365</v>
      </c>
    </row>
    <row r="1705" spans="4:8" x14ac:dyDescent="0.35">
      <c r="D1705" s="95" t="str">
        <f t="shared" si="26"/>
        <v/>
      </c>
      <c r="F1705" s="2" t="s">
        <v>3480</v>
      </c>
      <c r="G1705" s="2" t="s">
        <v>3481</v>
      </c>
      <c r="H1705" s="2" t="s">
        <v>4365</v>
      </c>
    </row>
    <row r="1706" spans="4:8" x14ac:dyDescent="0.35">
      <c r="D1706" s="95" t="str">
        <f t="shared" si="26"/>
        <v/>
      </c>
      <c r="F1706" s="2" t="s">
        <v>3482</v>
      </c>
      <c r="G1706" s="2" t="s">
        <v>3483</v>
      </c>
      <c r="H1706" s="2" t="s">
        <v>4365</v>
      </c>
    </row>
    <row r="1707" spans="4:8" x14ac:dyDescent="0.35">
      <c r="D1707" s="95" t="str">
        <f t="shared" si="26"/>
        <v/>
      </c>
      <c r="F1707" s="2" t="s">
        <v>3484</v>
      </c>
      <c r="G1707" s="2" t="s">
        <v>3485</v>
      </c>
      <c r="H1707" s="2" t="s">
        <v>4365</v>
      </c>
    </row>
    <row r="1708" spans="4:8" x14ac:dyDescent="0.35">
      <c r="D1708" s="95" t="str">
        <f t="shared" si="26"/>
        <v/>
      </c>
      <c r="F1708" s="2" t="s">
        <v>3486</v>
      </c>
      <c r="G1708" s="2" t="s">
        <v>3487</v>
      </c>
      <c r="H1708" s="2" t="s">
        <v>4365</v>
      </c>
    </row>
    <row r="1709" spans="4:8" x14ac:dyDescent="0.35">
      <c r="D1709" s="95" t="str">
        <f t="shared" si="26"/>
        <v/>
      </c>
      <c r="F1709" s="2" t="s">
        <v>3488</v>
      </c>
      <c r="G1709" s="2" t="s">
        <v>3489</v>
      </c>
      <c r="H1709" s="2" t="s">
        <v>4365</v>
      </c>
    </row>
    <row r="1710" spans="4:8" x14ac:dyDescent="0.35">
      <c r="D1710" s="95" t="str">
        <f t="shared" si="26"/>
        <v/>
      </c>
      <c r="F1710" s="2" t="s">
        <v>3490</v>
      </c>
      <c r="G1710" s="2" t="s">
        <v>3491</v>
      </c>
      <c r="H1710" s="2" t="s">
        <v>4365</v>
      </c>
    </row>
    <row r="1711" spans="4:8" x14ac:dyDescent="0.35">
      <c r="D1711" s="95" t="str">
        <f t="shared" si="26"/>
        <v/>
      </c>
      <c r="F1711" s="2" t="s">
        <v>3492</v>
      </c>
      <c r="G1711" s="2" t="s">
        <v>3493</v>
      </c>
      <c r="H1711" s="2" t="s">
        <v>4365</v>
      </c>
    </row>
    <row r="1712" spans="4:8" x14ac:dyDescent="0.35">
      <c r="D1712" s="95" t="str">
        <f t="shared" si="26"/>
        <v/>
      </c>
      <c r="F1712" s="2" t="s">
        <v>3494</v>
      </c>
      <c r="G1712" s="2" t="s">
        <v>3495</v>
      </c>
      <c r="H1712" s="2" t="s">
        <v>4365</v>
      </c>
    </row>
    <row r="1713" spans="4:8" x14ac:dyDescent="0.35">
      <c r="D1713" s="95" t="str">
        <f t="shared" si="26"/>
        <v/>
      </c>
      <c r="F1713" s="2" t="s">
        <v>3496</v>
      </c>
      <c r="G1713" s="2" t="s">
        <v>3497</v>
      </c>
      <c r="H1713" s="2" t="s">
        <v>4365</v>
      </c>
    </row>
    <row r="1714" spans="4:8" x14ac:dyDescent="0.35">
      <c r="D1714" s="95" t="str">
        <f t="shared" si="26"/>
        <v/>
      </c>
      <c r="F1714" s="2" t="s">
        <v>3498</v>
      </c>
      <c r="G1714" s="2" t="s">
        <v>3499</v>
      </c>
      <c r="H1714" s="2" t="s">
        <v>4365</v>
      </c>
    </row>
    <row r="1715" spans="4:8" x14ac:dyDescent="0.35">
      <c r="D1715" s="95" t="str">
        <f t="shared" si="26"/>
        <v/>
      </c>
      <c r="F1715" s="2" t="s">
        <v>3500</v>
      </c>
      <c r="G1715" s="2" t="s">
        <v>3501</v>
      </c>
      <c r="H1715" s="2" t="s">
        <v>4365</v>
      </c>
    </row>
    <row r="1716" spans="4:8" x14ac:dyDescent="0.35">
      <c r="D1716" s="95" t="str">
        <f t="shared" si="26"/>
        <v/>
      </c>
      <c r="F1716" s="2" t="s">
        <v>3502</v>
      </c>
      <c r="G1716" s="2" t="s">
        <v>3503</v>
      </c>
      <c r="H1716" s="2" t="s">
        <v>4365</v>
      </c>
    </row>
    <row r="1717" spans="4:8" x14ac:dyDescent="0.35">
      <c r="D1717" s="95" t="str">
        <f t="shared" si="26"/>
        <v/>
      </c>
      <c r="F1717" s="2" t="s">
        <v>3504</v>
      </c>
      <c r="G1717" s="2" t="s">
        <v>3505</v>
      </c>
      <c r="H1717" s="2" t="s">
        <v>4365</v>
      </c>
    </row>
    <row r="1718" spans="4:8" x14ac:dyDescent="0.35">
      <c r="D1718" s="95" t="str">
        <f t="shared" si="26"/>
        <v/>
      </c>
      <c r="F1718" s="2" t="s">
        <v>3506</v>
      </c>
      <c r="G1718" s="2" t="s">
        <v>3507</v>
      </c>
      <c r="H1718" s="2" t="s">
        <v>4365</v>
      </c>
    </row>
    <row r="1719" spans="4:8" x14ac:dyDescent="0.35">
      <c r="D1719" s="95" t="str">
        <f t="shared" si="26"/>
        <v/>
      </c>
      <c r="F1719" s="2" t="s">
        <v>3508</v>
      </c>
      <c r="G1719" s="2" t="s">
        <v>3509</v>
      </c>
      <c r="H1719" s="2" t="s">
        <v>4365</v>
      </c>
    </row>
    <row r="1720" spans="4:8" x14ac:dyDescent="0.35">
      <c r="D1720" s="95" t="str">
        <f t="shared" si="26"/>
        <v/>
      </c>
      <c r="F1720" s="2" t="s">
        <v>3510</v>
      </c>
      <c r="G1720" s="2" t="s">
        <v>3511</v>
      </c>
      <c r="H1720" s="2" t="s">
        <v>4365</v>
      </c>
    </row>
    <row r="1721" spans="4:8" x14ac:dyDescent="0.35">
      <c r="D1721" s="95" t="str">
        <f t="shared" si="26"/>
        <v/>
      </c>
      <c r="F1721" s="2" t="s">
        <v>3512</v>
      </c>
      <c r="G1721" s="2" t="s">
        <v>3513</v>
      </c>
      <c r="H1721" s="2" t="s">
        <v>4365</v>
      </c>
    </row>
    <row r="1722" spans="4:8" x14ac:dyDescent="0.35">
      <c r="D1722" s="95" t="str">
        <f t="shared" si="26"/>
        <v/>
      </c>
      <c r="F1722" s="2" t="s">
        <v>3514</v>
      </c>
      <c r="G1722" s="2" t="s">
        <v>3515</v>
      </c>
      <c r="H1722" s="2" t="s">
        <v>4365</v>
      </c>
    </row>
    <row r="1723" spans="4:8" x14ac:dyDescent="0.35">
      <c r="D1723" s="95" t="str">
        <f t="shared" si="26"/>
        <v/>
      </c>
      <c r="F1723" s="2" t="s">
        <v>3516</v>
      </c>
      <c r="G1723" s="2" t="s">
        <v>3517</v>
      </c>
      <c r="H1723" s="2" t="s">
        <v>4365</v>
      </c>
    </row>
    <row r="1724" spans="4:8" x14ac:dyDescent="0.35">
      <c r="D1724" s="95" t="str">
        <f t="shared" si="26"/>
        <v/>
      </c>
      <c r="F1724" s="2" t="s">
        <v>3518</v>
      </c>
      <c r="G1724" s="2" t="s">
        <v>3519</v>
      </c>
      <c r="H1724" s="2" t="s">
        <v>4365</v>
      </c>
    </row>
    <row r="1725" spans="4:8" x14ac:dyDescent="0.35">
      <c r="D1725" s="95" t="str">
        <f t="shared" si="26"/>
        <v/>
      </c>
      <c r="F1725" s="2" t="s">
        <v>3520</v>
      </c>
      <c r="G1725" s="2" t="s">
        <v>3521</v>
      </c>
      <c r="H1725" s="2" t="s">
        <v>4365</v>
      </c>
    </row>
    <row r="1726" spans="4:8" x14ac:dyDescent="0.35">
      <c r="D1726" s="95" t="str">
        <f t="shared" si="26"/>
        <v/>
      </c>
      <c r="F1726" s="2" t="s">
        <v>3522</v>
      </c>
      <c r="G1726" s="2" t="s">
        <v>3523</v>
      </c>
      <c r="H1726" s="2" t="s">
        <v>4365</v>
      </c>
    </row>
    <row r="1727" spans="4:8" x14ac:dyDescent="0.35">
      <c r="D1727" s="95" t="str">
        <f t="shared" si="26"/>
        <v/>
      </c>
      <c r="F1727" s="2" t="s">
        <v>3524</v>
      </c>
      <c r="G1727" s="2" t="s">
        <v>3525</v>
      </c>
      <c r="H1727" s="2" t="s">
        <v>4365</v>
      </c>
    </row>
    <row r="1728" spans="4:8" x14ac:dyDescent="0.35">
      <c r="D1728" s="95" t="str">
        <f t="shared" si="26"/>
        <v/>
      </c>
      <c r="F1728" s="2" t="s">
        <v>3526</v>
      </c>
      <c r="G1728" s="2" t="s">
        <v>3527</v>
      </c>
      <c r="H1728" s="2" t="s">
        <v>4365</v>
      </c>
    </row>
    <row r="1729" spans="4:8" x14ac:dyDescent="0.35">
      <c r="D1729" s="95" t="str">
        <f t="shared" si="26"/>
        <v/>
      </c>
      <c r="F1729" s="2" t="s">
        <v>3528</v>
      </c>
      <c r="G1729" s="2" t="s">
        <v>3529</v>
      </c>
      <c r="H1729" s="2" t="s">
        <v>4365</v>
      </c>
    </row>
    <row r="1730" spans="4:8" x14ac:dyDescent="0.35">
      <c r="D1730" s="95" t="str">
        <f t="shared" si="26"/>
        <v/>
      </c>
      <c r="F1730" s="2" t="s">
        <v>3530</v>
      </c>
      <c r="G1730" s="2" t="s">
        <v>3531</v>
      </c>
      <c r="H1730" s="2" t="s">
        <v>4365</v>
      </c>
    </row>
    <row r="1731" spans="4:8" x14ac:dyDescent="0.35">
      <c r="D1731" s="95" t="str">
        <f t="shared" si="26"/>
        <v/>
      </c>
      <c r="F1731" s="2" t="s">
        <v>3532</v>
      </c>
      <c r="G1731" s="2" t="s">
        <v>3533</v>
      </c>
      <c r="H1731" s="2" t="s">
        <v>4365</v>
      </c>
    </row>
    <row r="1732" spans="4:8" x14ac:dyDescent="0.35">
      <c r="D1732" s="95" t="str">
        <f t="shared" si="26"/>
        <v/>
      </c>
      <c r="F1732" s="2" t="s">
        <v>3534</v>
      </c>
      <c r="G1732" s="2" t="s">
        <v>3535</v>
      </c>
      <c r="H1732" s="2" t="s">
        <v>4365</v>
      </c>
    </row>
    <row r="1733" spans="4:8" x14ac:dyDescent="0.35">
      <c r="D1733" s="95" t="str">
        <f t="shared" si="26"/>
        <v/>
      </c>
      <c r="F1733" s="2" t="s">
        <v>3536</v>
      </c>
      <c r="G1733" s="2" t="s">
        <v>3537</v>
      </c>
      <c r="H1733" s="2" t="s">
        <v>4365</v>
      </c>
    </row>
    <row r="1734" spans="4:8" x14ac:dyDescent="0.35">
      <c r="D1734" s="95" t="str">
        <f t="shared" si="26"/>
        <v/>
      </c>
      <c r="F1734" s="2" t="s">
        <v>3538</v>
      </c>
      <c r="G1734" s="2" t="s">
        <v>3539</v>
      </c>
      <c r="H1734" s="2" t="s">
        <v>4365</v>
      </c>
    </row>
    <row r="1735" spans="4:8" x14ac:dyDescent="0.35">
      <c r="D1735" s="95" t="str">
        <f t="shared" si="26"/>
        <v/>
      </c>
      <c r="F1735" s="2" t="s">
        <v>3540</v>
      </c>
      <c r="G1735" s="2" t="s">
        <v>3541</v>
      </c>
      <c r="H1735" s="2" t="s">
        <v>4365</v>
      </c>
    </row>
    <row r="1736" spans="4:8" x14ac:dyDescent="0.35">
      <c r="D1736" s="95" t="str">
        <f t="shared" ref="D1736:D1799" si="27">IFERROR(INDEX($F$6:$G$1048576,MATCH($C1736,$G$6:$G$1048576,0),MATCH($D$6,$F$6:$G$6,0)),"")</f>
        <v/>
      </c>
      <c r="F1736" s="2" t="s">
        <v>3542</v>
      </c>
      <c r="G1736" s="2" t="s">
        <v>3543</v>
      </c>
      <c r="H1736" s="2" t="s">
        <v>4365</v>
      </c>
    </row>
    <row r="1737" spans="4:8" x14ac:dyDescent="0.35">
      <c r="D1737" s="95" t="str">
        <f t="shared" si="27"/>
        <v/>
      </c>
      <c r="F1737" s="2" t="s">
        <v>3544</v>
      </c>
      <c r="G1737" s="2" t="s">
        <v>3545</v>
      </c>
      <c r="H1737" s="2" t="s">
        <v>4365</v>
      </c>
    </row>
    <row r="1738" spans="4:8" x14ac:dyDescent="0.35">
      <c r="D1738" s="95" t="str">
        <f t="shared" si="27"/>
        <v/>
      </c>
      <c r="F1738" s="2" t="s">
        <v>3546</v>
      </c>
      <c r="G1738" s="2" t="s">
        <v>3547</v>
      </c>
      <c r="H1738" s="2" t="s">
        <v>4365</v>
      </c>
    </row>
    <row r="1739" spans="4:8" x14ac:dyDescent="0.35">
      <c r="D1739" s="95" t="str">
        <f t="shared" si="27"/>
        <v/>
      </c>
      <c r="F1739" s="2" t="s">
        <v>3548</v>
      </c>
      <c r="G1739" s="2" t="s">
        <v>3549</v>
      </c>
      <c r="H1739" s="2" t="s">
        <v>4365</v>
      </c>
    </row>
    <row r="1740" spans="4:8" x14ac:dyDescent="0.35">
      <c r="D1740" s="95" t="str">
        <f t="shared" si="27"/>
        <v/>
      </c>
      <c r="F1740" s="2" t="s">
        <v>3550</v>
      </c>
      <c r="G1740" s="2" t="s">
        <v>3551</v>
      </c>
      <c r="H1740" s="2" t="s">
        <v>4365</v>
      </c>
    </row>
    <row r="1741" spans="4:8" x14ac:dyDescent="0.35">
      <c r="D1741" s="95" t="str">
        <f t="shared" si="27"/>
        <v/>
      </c>
      <c r="F1741" s="2" t="s">
        <v>3552</v>
      </c>
      <c r="G1741" s="2" t="s">
        <v>3553</v>
      </c>
      <c r="H1741" s="2" t="s">
        <v>4365</v>
      </c>
    </row>
    <row r="1742" spans="4:8" x14ac:dyDescent="0.35">
      <c r="D1742" s="95" t="str">
        <f t="shared" si="27"/>
        <v/>
      </c>
      <c r="F1742" s="2" t="s">
        <v>3554</v>
      </c>
      <c r="G1742" s="2" t="s">
        <v>3555</v>
      </c>
      <c r="H1742" s="2" t="s">
        <v>4365</v>
      </c>
    </row>
    <row r="1743" spans="4:8" x14ac:dyDescent="0.35">
      <c r="D1743" s="95" t="str">
        <f t="shared" si="27"/>
        <v/>
      </c>
      <c r="F1743" s="2" t="s">
        <v>3556</v>
      </c>
      <c r="G1743" s="2" t="s">
        <v>3557</v>
      </c>
      <c r="H1743" s="2" t="s">
        <v>4365</v>
      </c>
    </row>
    <row r="1744" spans="4:8" x14ac:dyDescent="0.35">
      <c r="D1744" s="95" t="str">
        <f t="shared" si="27"/>
        <v/>
      </c>
      <c r="F1744" s="2" t="s">
        <v>3558</v>
      </c>
      <c r="G1744" s="2" t="s">
        <v>3559</v>
      </c>
      <c r="H1744" s="2" t="s">
        <v>4365</v>
      </c>
    </row>
    <row r="1745" spans="4:8" x14ac:dyDescent="0.35">
      <c r="D1745" s="95" t="str">
        <f t="shared" si="27"/>
        <v/>
      </c>
      <c r="F1745" s="2" t="s">
        <v>3560</v>
      </c>
      <c r="G1745" s="2" t="s">
        <v>3561</v>
      </c>
      <c r="H1745" s="2" t="s">
        <v>4365</v>
      </c>
    </row>
    <row r="1746" spans="4:8" x14ac:dyDescent="0.35">
      <c r="D1746" s="95" t="str">
        <f t="shared" si="27"/>
        <v/>
      </c>
      <c r="F1746" s="2" t="s">
        <v>3562</v>
      </c>
      <c r="G1746" s="2" t="s">
        <v>3563</v>
      </c>
      <c r="H1746" s="2" t="s">
        <v>4365</v>
      </c>
    </row>
    <row r="1747" spans="4:8" x14ac:dyDescent="0.35">
      <c r="D1747" s="95" t="str">
        <f t="shared" si="27"/>
        <v/>
      </c>
      <c r="F1747" s="2" t="s">
        <v>3564</v>
      </c>
      <c r="G1747" s="2" t="s">
        <v>3565</v>
      </c>
      <c r="H1747" s="2" t="s">
        <v>4365</v>
      </c>
    </row>
    <row r="1748" spans="4:8" x14ac:dyDescent="0.35">
      <c r="D1748" s="95" t="str">
        <f t="shared" si="27"/>
        <v/>
      </c>
      <c r="F1748" s="2" t="s">
        <v>3566</v>
      </c>
      <c r="G1748" s="2" t="s">
        <v>3567</v>
      </c>
      <c r="H1748" s="2" t="s">
        <v>4365</v>
      </c>
    </row>
    <row r="1749" spans="4:8" x14ac:dyDescent="0.35">
      <c r="D1749" s="95" t="str">
        <f t="shared" si="27"/>
        <v/>
      </c>
      <c r="F1749" s="2" t="s">
        <v>3568</v>
      </c>
      <c r="G1749" s="2" t="s">
        <v>3569</v>
      </c>
      <c r="H1749" s="2" t="s">
        <v>4365</v>
      </c>
    </row>
    <row r="1750" spans="4:8" x14ac:dyDescent="0.35">
      <c r="D1750" s="95" t="str">
        <f t="shared" si="27"/>
        <v/>
      </c>
      <c r="F1750" s="2" t="s">
        <v>3570</v>
      </c>
      <c r="G1750" s="2" t="s">
        <v>3571</v>
      </c>
      <c r="H1750" s="2" t="s">
        <v>4365</v>
      </c>
    </row>
    <row r="1751" spans="4:8" x14ac:dyDescent="0.35">
      <c r="D1751" s="95" t="str">
        <f t="shared" si="27"/>
        <v/>
      </c>
      <c r="F1751" s="2" t="s">
        <v>3572</v>
      </c>
      <c r="G1751" s="2" t="s">
        <v>3573</v>
      </c>
      <c r="H1751" s="2" t="s">
        <v>4365</v>
      </c>
    </row>
    <row r="1752" spans="4:8" x14ac:dyDescent="0.35">
      <c r="D1752" s="95" t="str">
        <f t="shared" si="27"/>
        <v/>
      </c>
      <c r="F1752" s="2" t="s">
        <v>3574</v>
      </c>
      <c r="G1752" s="2" t="s">
        <v>3575</v>
      </c>
      <c r="H1752" s="2" t="s">
        <v>4365</v>
      </c>
    </row>
    <row r="1753" spans="4:8" x14ac:dyDescent="0.35">
      <c r="D1753" s="95" t="str">
        <f t="shared" si="27"/>
        <v/>
      </c>
      <c r="F1753" s="2" t="s">
        <v>3576</v>
      </c>
      <c r="G1753" s="2" t="s">
        <v>3577</v>
      </c>
      <c r="H1753" s="2" t="s">
        <v>4365</v>
      </c>
    </row>
    <row r="1754" spans="4:8" x14ac:dyDescent="0.35">
      <c r="D1754" s="95" t="str">
        <f t="shared" si="27"/>
        <v/>
      </c>
      <c r="F1754" s="2" t="s">
        <v>3578</v>
      </c>
      <c r="G1754" s="2" t="s">
        <v>3579</v>
      </c>
      <c r="H1754" s="2" t="s">
        <v>4365</v>
      </c>
    </row>
    <row r="1755" spans="4:8" x14ac:dyDescent="0.35">
      <c r="D1755" s="95" t="str">
        <f t="shared" si="27"/>
        <v/>
      </c>
      <c r="F1755" s="2" t="s">
        <v>3580</v>
      </c>
      <c r="G1755" s="2" t="s">
        <v>3581</v>
      </c>
      <c r="H1755" s="2" t="s">
        <v>4365</v>
      </c>
    </row>
    <row r="1756" spans="4:8" x14ac:dyDescent="0.35">
      <c r="D1756" s="95" t="str">
        <f t="shared" si="27"/>
        <v/>
      </c>
      <c r="F1756" s="2" t="s">
        <v>3582</v>
      </c>
      <c r="G1756" s="2" t="s">
        <v>3583</v>
      </c>
      <c r="H1756" s="2" t="s">
        <v>4365</v>
      </c>
    </row>
    <row r="1757" spans="4:8" x14ac:dyDescent="0.35">
      <c r="D1757" s="95" t="str">
        <f t="shared" si="27"/>
        <v/>
      </c>
      <c r="F1757" s="2" t="s">
        <v>3584</v>
      </c>
      <c r="G1757" s="2" t="s">
        <v>3585</v>
      </c>
      <c r="H1757" s="2" t="s">
        <v>4365</v>
      </c>
    </row>
    <row r="1758" spans="4:8" x14ac:dyDescent="0.35">
      <c r="D1758" s="95" t="str">
        <f t="shared" si="27"/>
        <v/>
      </c>
      <c r="F1758" s="2" t="s">
        <v>3586</v>
      </c>
      <c r="G1758" s="2" t="s">
        <v>3587</v>
      </c>
      <c r="H1758" s="2" t="s">
        <v>4365</v>
      </c>
    </row>
    <row r="1759" spans="4:8" x14ac:dyDescent="0.35">
      <c r="D1759" s="95" t="str">
        <f t="shared" si="27"/>
        <v/>
      </c>
      <c r="F1759" s="2" t="s">
        <v>3588</v>
      </c>
      <c r="G1759" s="2" t="s">
        <v>3589</v>
      </c>
      <c r="H1759" s="2" t="s">
        <v>4365</v>
      </c>
    </row>
    <row r="1760" spans="4:8" x14ac:dyDescent="0.35">
      <c r="D1760" s="95" t="str">
        <f t="shared" si="27"/>
        <v/>
      </c>
      <c r="F1760" s="2" t="s">
        <v>3590</v>
      </c>
      <c r="G1760" s="2" t="s">
        <v>3591</v>
      </c>
      <c r="H1760" s="2" t="s">
        <v>4365</v>
      </c>
    </row>
    <row r="1761" spans="4:8" x14ac:dyDescent="0.35">
      <c r="D1761" s="95" t="str">
        <f t="shared" si="27"/>
        <v/>
      </c>
      <c r="F1761" s="2" t="s">
        <v>3592</v>
      </c>
      <c r="G1761" s="2" t="s">
        <v>3593</v>
      </c>
      <c r="H1761" s="2" t="s">
        <v>4365</v>
      </c>
    </row>
    <row r="1762" spans="4:8" x14ac:dyDescent="0.35">
      <c r="D1762" s="95" t="str">
        <f t="shared" si="27"/>
        <v/>
      </c>
      <c r="F1762" s="2" t="s">
        <v>3594</v>
      </c>
      <c r="G1762" s="2" t="s">
        <v>3595</v>
      </c>
      <c r="H1762" s="2" t="s">
        <v>4365</v>
      </c>
    </row>
    <row r="1763" spans="4:8" x14ac:dyDescent="0.35">
      <c r="D1763" s="95" t="str">
        <f t="shared" si="27"/>
        <v/>
      </c>
      <c r="F1763" s="2" t="s">
        <v>3596</v>
      </c>
      <c r="G1763" s="2" t="s">
        <v>3597</v>
      </c>
      <c r="H1763" s="2" t="s">
        <v>4365</v>
      </c>
    </row>
    <row r="1764" spans="4:8" x14ac:dyDescent="0.35">
      <c r="D1764" s="95" t="str">
        <f t="shared" si="27"/>
        <v/>
      </c>
      <c r="F1764" s="2" t="s">
        <v>3598</v>
      </c>
      <c r="G1764" s="2" t="s">
        <v>3599</v>
      </c>
      <c r="H1764" s="2" t="s">
        <v>4365</v>
      </c>
    </row>
    <row r="1765" spans="4:8" x14ac:dyDescent="0.35">
      <c r="D1765" s="95" t="str">
        <f t="shared" si="27"/>
        <v/>
      </c>
      <c r="F1765" s="2" t="s">
        <v>3600</v>
      </c>
      <c r="G1765" s="2" t="s">
        <v>3601</v>
      </c>
      <c r="H1765" s="2" t="s">
        <v>4365</v>
      </c>
    </row>
    <row r="1766" spans="4:8" x14ac:dyDescent="0.35">
      <c r="D1766" s="95" t="str">
        <f t="shared" si="27"/>
        <v/>
      </c>
      <c r="F1766" s="2" t="s">
        <v>3602</v>
      </c>
      <c r="G1766" s="2" t="s">
        <v>3603</v>
      </c>
      <c r="H1766" s="2" t="s">
        <v>4365</v>
      </c>
    </row>
    <row r="1767" spans="4:8" x14ac:dyDescent="0.35">
      <c r="D1767" s="95" t="str">
        <f t="shared" si="27"/>
        <v/>
      </c>
      <c r="F1767" s="2" t="s">
        <v>3604</v>
      </c>
      <c r="G1767" s="2" t="s">
        <v>3605</v>
      </c>
      <c r="H1767" s="2" t="s">
        <v>4365</v>
      </c>
    </row>
    <row r="1768" spans="4:8" x14ac:dyDescent="0.35">
      <c r="D1768" s="95" t="str">
        <f t="shared" si="27"/>
        <v/>
      </c>
      <c r="F1768" s="2" t="s">
        <v>3606</v>
      </c>
      <c r="G1768" s="2" t="s">
        <v>3607</v>
      </c>
      <c r="H1768" s="2" t="s">
        <v>4365</v>
      </c>
    </row>
    <row r="1769" spans="4:8" x14ac:dyDescent="0.35">
      <c r="D1769" s="95" t="str">
        <f t="shared" si="27"/>
        <v/>
      </c>
      <c r="F1769" s="2" t="s">
        <v>3608</v>
      </c>
      <c r="G1769" s="2" t="s">
        <v>3609</v>
      </c>
      <c r="H1769" s="2" t="s">
        <v>4365</v>
      </c>
    </row>
    <row r="1770" spans="4:8" x14ac:dyDescent="0.35">
      <c r="D1770" s="95" t="str">
        <f t="shared" si="27"/>
        <v/>
      </c>
      <c r="F1770" s="2" t="s">
        <v>3610</v>
      </c>
      <c r="G1770" s="2" t="s">
        <v>3611</v>
      </c>
      <c r="H1770" s="2" t="s">
        <v>4365</v>
      </c>
    </row>
    <row r="1771" spans="4:8" x14ac:dyDescent="0.35">
      <c r="D1771" s="95" t="str">
        <f t="shared" si="27"/>
        <v/>
      </c>
      <c r="F1771" s="2" t="s">
        <v>3612</v>
      </c>
      <c r="G1771" s="2" t="s">
        <v>3613</v>
      </c>
      <c r="H1771" s="2" t="s">
        <v>4365</v>
      </c>
    </row>
    <row r="1772" spans="4:8" x14ac:dyDescent="0.35">
      <c r="D1772" s="95" t="str">
        <f t="shared" si="27"/>
        <v/>
      </c>
      <c r="F1772" s="2" t="s">
        <v>3614</v>
      </c>
      <c r="G1772" s="2" t="s">
        <v>3615</v>
      </c>
      <c r="H1772" s="2" t="s">
        <v>4365</v>
      </c>
    </row>
    <row r="1773" spans="4:8" x14ac:dyDescent="0.35">
      <c r="D1773" s="95" t="str">
        <f t="shared" si="27"/>
        <v/>
      </c>
      <c r="F1773" s="2" t="s">
        <v>3616</v>
      </c>
      <c r="G1773" s="2" t="s">
        <v>3617</v>
      </c>
      <c r="H1773" s="2" t="s">
        <v>4365</v>
      </c>
    </row>
    <row r="1774" spans="4:8" x14ac:dyDescent="0.35">
      <c r="D1774" s="95" t="str">
        <f t="shared" si="27"/>
        <v/>
      </c>
      <c r="F1774" s="2" t="s">
        <v>3618</v>
      </c>
      <c r="G1774" s="2" t="s">
        <v>3619</v>
      </c>
      <c r="H1774" s="2" t="s">
        <v>4365</v>
      </c>
    </row>
    <row r="1775" spans="4:8" x14ac:dyDescent="0.35">
      <c r="D1775" s="95" t="str">
        <f t="shared" si="27"/>
        <v/>
      </c>
      <c r="F1775" s="2" t="s">
        <v>3620</v>
      </c>
      <c r="G1775" s="2" t="s">
        <v>3621</v>
      </c>
      <c r="H1775" s="2" t="s">
        <v>4365</v>
      </c>
    </row>
    <row r="1776" spans="4:8" x14ac:dyDescent="0.35">
      <c r="D1776" s="95" t="str">
        <f t="shared" si="27"/>
        <v/>
      </c>
      <c r="F1776" s="2" t="s">
        <v>3622</v>
      </c>
      <c r="G1776" s="2" t="s">
        <v>3623</v>
      </c>
      <c r="H1776" s="2" t="s">
        <v>4365</v>
      </c>
    </row>
    <row r="1777" spans="4:8" x14ac:dyDescent="0.35">
      <c r="D1777" s="95" t="str">
        <f t="shared" si="27"/>
        <v/>
      </c>
      <c r="F1777" s="2" t="s">
        <v>3624</v>
      </c>
      <c r="G1777" s="2" t="s">
        <v>3625</v>
      </c>
      <c r="H1777" s="2" t="s">
        <v>4365</v>
      </c>
    </row>
    <row r="1778" spans="4:8" x14ac:dyDescent="0.35">
      <c r="D1778" s="95" t="str">
        <f t="shared" si="27"/>
        <v/>
      </c>
      <c r="F1778" s="2" t="s">
        <v>3626</v>
      </c>
      <c r="G1778" s="2" t="s">
        <v>3627</v>
      </c>
      <c r="H1778" s="2" t="s">
        <v>4365</v>
      </c>
    </row>
    <row r="1779" spans="4:8" x14ac:dyDescent="0.35">
      <c r="D1779" s="95" t="str">
        <f t="shared" si="27"/>
        <v/>
      </c>
      <c r="F1779" s="2" t="s">
        <v>3628</v>
      </c>
      <c r="G1779" s="2" t="s">
        <v>3629</v>
      </c>
      <c r="H1779" s="2" t="s">
        <v>4365</v>
      </c>
    </row>
    <row r="1780" spans="4:8" x14ac:dyDescent="0.35">
      <c r="D1780" s="95" t="str">
        <f t="shared" si="27"/>
        <v/>
      </c>
      <c r="F1780" s="2" t="s">
        <v>3630</v>
      </c>
      <c r="G1780" s="2" t="s">
        <v>3631</v>
      </c>
      <c r="H1780" s="2" t="s">
        <v>4365</v>
      </c>
    </row>
    <row r="1781" spans="4:8" x14ac:dyDescent="0.35">
      <c r="D1781" s="95" t="str">
        <f t="shared" si="27"/>
        <v/>
      </c>
      <c r="F1781" s="2" t="s">
        <v>3632</v>
      </c>
      <c r="G1781" s="2" t="s">
        <v>3633</v>
      </c>
      <c r="H1781" s="2" t="s">
        <v>4365</v>
      </c>
    </row>
    <row r="1782" spans="4:8" x14ac:dyDescent="0.35">
      <c r="D1782" s="95" t="str">
        <f t="shared" si="27"/>
        <v/>
      </c>
      <c r="F1782" s="2" t="s">
        <v>3634</v>
      </c>
      <c r="G1782" s="2" t="s">
        <v>3635</v>
      </c>
      <c r="H1782" s="2" t="s">
        <v>4365</v>
      </c>
    </row>
    <row r="1783" spans="4:8" x14ac:dyDescent="0.35">
      <c r="D1783" s="95" t="str">
        <f t="shared" si="27"/>
        <v/>
      </c>
      <c r="F1783" s="2" t="s">
        <v>3636</v>
      </c>
      <c r="G1783" s="2" t="s">
        <v>3637</v>
      </c>
      <c r="H1783" s="2" t="s">
        <v>4365</v>
      </c>
    </row>
    <row r="1784" spans="4:8" x14ac:dyDescent="0.35">
      <c r="D1784" s="95" t="str">
        <f t="shared" si="27"/>
        <v/>
      </c>
      <c r="F1784" s="2" t="s">
        <v>3638</v>
      </c>
      <c r="G1784" s="2" t="s">
        <v>3639</v>
      </c>
      <c r="H1784" s="2" t="s">
        <v>4365</v>
      </c>
    </row>
    <row r="1785" spans="4:8" x14ac:dyDescent="0.35">
      <c r="D1785" s="95" t="str">
        <f t="shared" si="27"/>
        <v/>
      </c>
      <c r="F1785" s="2" t="s">
        <v>3640</v>
      </c>
      <c r="G1785" s="2" t="s">
        <v>3641</v>
      </c>
      <c r="H1785" s="2" t="s">
        <v>4365</v>
      </c>
    </row>
    <row r="1786" spans="4:8" x14ac:dyDescent="0.35">
      <c r="D1786" s="95" t="str">
        <f t="shared" si="27"/>
        <v/>
      </c>
      <c r="F1786" s="2" t="s">
        <v>3642</v>
      </c>
      <c r="G1786" s="2" t="s">
        <v>3643</v>
      </c>
      <c r="H1786" s="2" t="s">
        <v>4365</v>
      </c>
    </row>
    <row r="1787" spans="4:8" x14ac:dyDescent="0.35">
      <c r="D1787" s="95" t="str">
        <f t="shared" si="27"/>
        <v/>
      </c>
      <c r="F1787" s="2" t="s">
        <v>3644</v>
      </c>
      <c r="G1787" s="2" t="s">
        <v>3645</v>
      </c>
      <c r="H1787" s="2" t="s">
        <v>4365</v>
      </c>
    </row>
    <row r="1788" spans="4:8" x14ac:dyDescent="0.35">
      <c r="D1788" s="95" t="str">
        <f t="shared" si="27"/>
        <v/>
      </c>
      <c r="F1788" s="2" t="s">
        <v>3646</v>
      </c>
      <c r="G1788" s="2" t="s">
        <v>3647</v>
      </c>
      <c r="H1788" s="2" t="s">
        <v>4365</v>
      </c>
    </row>
    <row r="1789" spans="4:8" x14ac:dyDescent="0.35">
      <c r="D1789" s="95" t="str">
        <f t="shared" si="27"/>
        <v/>
      </c>
      <c r="F1789" s="2" t="s">
        <v>3648</v>
      </c>
      <c r="G1789" s="2" t="s">
        <v>3649</v>
      </c>
      <c r="H1789" s="2" t="s">
        <v>4365</v>
      </c>
    </row>
    <row r="1790" spans="4:8" x14ac:dyDescent="0.35">
      <c r="D1790" s="95" t="str">
        <f t="shared" si="27"/>
        <v/>
      </c>
      <c r="F1790" s="2" t="s">
        <v>3650</v>
      </c>
      <c r="G1790" s="2" t="s">
        <v>3651</v>
      </c>
      <c r="H1790" s="2" t="s">
        <v>4365</v>
      </c>
    </row>
    <row r="1791" spans="4:8" x14ac:dyDescent="0.35">
      <c r="D1791" s="95" t="str">
        <f t="shared" si="27"/>
        <v/>
      </c>
      <c r="F1791" s="2" t="s">
        <v>3652</v>
      </c>
      <c r="G1791" s="2" t="s">
        <v>3653</v>
      </c>
      <c r="H1791" s="2" t="s">
        <v>4365</v>
      </c>
    </row>
    <row r="1792" spans="4:8" x14ac:dyDescent="0.35">
      <c r="D1792" s="95" t="str">
        <f t="shared" si="27"/>
        <v/>
      </c>
      <c r="F1792" s="2" t="s">
        <v>3654</v>
      </c>
      <c r="G1792" s="2" t="s">
        <v>3655</v>
      </c>
      <c r="H1792" s="2" t="s">
        <v>4365</v>
      </c>
    </row>
    <row r="1793" spans="4:8" x14ac:dyDescent="0.35">
      <c r="D1793" s="95" t="str">
        <f t="shared" si="27"/>
        <v/>
      </c>
      <c r="F1793" s="2" t="s">
        <v>3656</v>
      </c>
      <c r="G1793" s="2" t="s">
        <v>3657</v>
      </c>
      <c r="H1793" s="2" t="s">
        <v>4365</v>
      </c>
    </row>
    <row r="1794" spans="4:8" x14ac:dyDescent="0.35">
      <c r="D1794" s="95" t="str">
        <f t="shared" si="27"/>
        <v/>
      </c>
      <c r="F1794" s="2" t="s">
        <v>3658</v>
      </c>
      <c r="G1794" s="2" t="s">
        <v>3659</v>
      </c>
      <c r="H1794" s="2" t="s">
        <v>4365</v>
      </c>
    </row>
    <row r="1795" spans="4:8" x14ac:dyDescent="0.35">
      <c r="D1795" s="95" t="str">
        <f t="shared" si="27"/>
        <v/>
      </c>
      <c r="F1795" s="2" t="s">
        <v>3660</v>
      </c>
      <c r="G1795" s="2" t="s">
        <v>3661</v>
      </c>
      <c r="H1795" s="2" t="s">
        <v>4365</v>
      </c>
    </row>
    <row r="1796" spans="4:8" x14ac:dyDescent="0.35">
      <c r="D1796" s="95" t="str">
        <f t="shared" si="27"/>
        <v/>
      </c>
      <c r="F1796" s="2" t="s">
        <v>3662</v>
      </c>
      <c r="G1796" s="2" t="s">
        <v>3663</v>
      </c>
      <c r="H1796" s="2" t="s">
        <v>4365</v>
      </c>
    </row>
    <row r="1797" spans="4:8" x14ac:dyDescent="0.35">
      <c r="D1797" s="95" t="str">
        <f t="shared" si="27"/>
        <v/>
      </c>
      <c r="F1797" s="2" t="s">
        <v>3664</v>
      </c>
      <c r="G1797" s="2" t="s">
        <v>3665</v>
      </c>
      <c r="H1797" s="2" t="s">
        <v>4365</v>
      </c>
    </row>
    <row r="1798" spans="4:8" x14ac:dyDescent="0.35">
      <c r="D1798" s="95" t="str">
        <f t="shared" si="27"/>
        <v/>
      </c>
      <c r="F1798" s="2" t="s">
        <v>3666</v>
      </c>
      <c r="G1798" s="2" t="s">
        <v>3667</v>
      </c>
      <c r="H1798" s="2" t="s">
        <v>4365</v>
      </c>
    </row>
    <row r="1799" spans="4:8" x14ac:dyDescent="0.35">
      <c r="D1799" s="95" t="str">
        <f t="shared" si="27"/>
        <v/>
      </c>
      <c r="F1799" s="2" t="s">
        <v>3668</v>
      </c>
      <c r="G1799" s="2" t="s">
        <v>3669</v>
      </c>
      <c r="H1799" s="2" t="s">
        <v>4365</v>
      </c>
    </row>
    <row r="1800" spans="4:8" x14ac:dyDescent="0.35">
      <c r="D1800" s="95" t="str">
        <f t="shared" ref="D1800:D1863" si="28">IFERROR(INDEX($F$6:$G$1048576,MATCH($C1800,$G$6:$G$1048576,0),MATCH($D$6,$F$6:$G$6,0)),"")</f>
        <v/>
      </c>
      <c r="F1800" s="2" t="s">
        <v>3670</v>
      </c>
      <c r="G1800" s="2" t="s">
        <v>3671</v>
      </c>
      <c r="H1800" s="2" t="s">
        <v>4365</v>
      </c>
    </row>
    <row r="1801" spans="4:8" x14ac:dyDescent="0.35">
      <c r="D1801" s="95" t="str">
        <f t="shared" si="28"/>
        <v/>
      </c>
      <c r="F1801" s="2" t="s">
        <v>3672</v>
      </c>
      <c r="G1801" s="2" t="s">
        <v>3673</v>
      </c>
      <c r="H1801" s="2" t="s">
        <v>4365</v>
      </c>
    </row>
    <row r="1802" spans="4:8" x14ac:dyDescent="0.35">
      <c r="D1802" s="95" t="str">
        <f t="shared" si="28"/>
        <v/>
      </c>
      <c r="F1802" s="2" t="s">
        <v>3674</v>
      </c>
      <c r="G1802" s="2" t="s">
        <v>3675</v>
      </c>
      <c r="H1802" s="2" t="s">
        <v>4365</v>
      </c>
    </row>
    <row r="1803" spans="4:8" x14ac:dyDescent="0.35">
      <c r="D1803" s="95" t="str">
        <f t="shared" si="28"/>
        <v/>
      </c>
      <c r="F1803" s="2" t="s">
        <v>3676</v>
      </c>
      <c r="G1803" s="2" t="s">
        <v>3677</v>
      </c>
      <c r="H1803" s="2" t="s">
        <v>4365</v>
      </c>
    </row>
    <row r="1804" spans="4:8" x14ac:dyDescent="0.35">
      <c r="D1804" s="95" t="str">
        <f t="shared" si="28"/>
        <v/>
      </c>
      <c r="F1804" s="2" t="s">
        <v>3678</v>
      </c>
      <c r="G1804" s="2" t="s">
        <v>3679</v>
      </c>
      <c r="H1804" s="2" t="s">
        <v>4365</v>
      </c>
    </row>
    <row r="1805" spans="4:8" x14ac:dyDescent="0.35">
      <c r="D1805" s="95" t="str">
        <f t="shared" si="28"/>
        <v/>
      </c>
      <c r="F1805" s="2" t="s">
        <v>3680</v>
      </c>
      <c r="G1805" s="2" t="s">
        <v>3681</v>
      </c>
      <c r="H1805" s="2" t="s">
        <v>4365</v>
      </c>
    </row>
    <row r="1806" spans="4:8" x14ac:dyDescent="0.35">
      <c r="D1806" s="95" t="str">
        <f t="shared" si="28"/>
        <v/>
      </c>
      <c r="F1806" s="2" t="s">
        <v>3682</v>
      </c>
      <c r="G1806" s="2" t="s">
        <v>3683</v>
      </c>
      <c r="H1806" s="2" t="s">
        <v>4365</v>
      </c>
    </row>
    <row r="1807" spans="4:8" x14ac:dyDescent="0.35">
      <c r="D1807" s="95" t="str">
        <f t="shared" si="28"/>
        <v/>
      </c>
      <c r="F1807" s="2" t="s">
        <v>3684</v>
      </c>
      <c r="G1807" s="2" t="s">
        <v>3685</v>
      </c>
      <c r="H1807" s="2" t="s">
        <v>4365</v>
      </c>
    </row>
    <row r="1808" spans="4:8" x14ac:dyDescent="0.35">
      <c r="D1808" s="95" t="str">
        <f t="shared" si="28"/>
        <v/>
      </c>
      <c r="F1808" s="2" t="s">
        <v>3686</v>
      </c>
      <c r="G1808" s="2" t="s">
        <v>3687</v>
      </c>
      <c r="H1808" s="2" t="s">
        <v>4365</v>
      </c>
    </row>
    <row r="1809" spans="4:8" x14ac:dyDescent="0.35">
      <c r="D1809" s="95" t="str">
        <f t="shared" si="28"/>
        <v/>
      </c>
      <c r="F1809" s="2" t="s">
        <v>3688</v>
      </c>
      <c r="G1809" s="2" t="s">
        <v>3689</v>
      </c>
      <c r="H1809" s="2" t="s">
        <v>4365</v>
      </c>
    </row>
    <row r="1810" spans="4:8" x14ac:dyDescent="0.35">
      <c r="D1810" s="95" t="str">
        <f t="shared" si="28"/>
        <v/>
      </c>
      <c r="F1810" s="2" t="s">
        <v>3690</v>
      </c>
      <c r="G1810" s="2" t="s">
        <v>3691</v>
      </c>
      <c r="H1810" s="2" t="s">
        <v>4365</v>
      </c>
    </row>
    <row r="1811" spans="4:8" x14ac:dyDescent="0.35">
      <c r="D1811" s="95" t="str">
        <f t="shared" si="28"/>
        <v/>
      </c>
      <c r="F1811" s="2" t="s">
        <v>3692</v>
      </c>
      <c r="G1811" s="2" t="s">
        <v>3693</v>
      </c>
      <c r="H1811" s="2" t="s">
        <v>4365</v>
      </c>
    </row>
    <row r="1812" spans="4:8" x14ac:dyDescent="0.35">
      <c r="D1812" s="95" t="str">
        <f t="shared" si="28"/>
        <v/>
      </c>
      <c r="F1812" s="2" t="s">
        <v>3694</v>
      </c>
      <c r="G1812" s="2" t="s">
        <v>3695</v>
      </c>
      <c r="H1812" s="2" t="s">
        <v>4365</v>
      </c>
    </row>
    <row r="1813" spans="4:8" x14ac:dyDescent="0.35">
      <c r="D1813" s="95" t="str">
        <f t="shared" si="28"/>
        <v/>
      </c>
      <c r="F1813" s="2" t="s">
        <v>3696</v>
      </c>
      <c r="G1813" s="2" t="s">
        <v>3697</v>
      </c>
      <c r="H1813" s="2" t="s">
        <v>4365</v>
      </c>
    </row>
    <row r="1814" spans="4:8" x14ac:dyDescent="0.35">
      <c r="D1814" s="95" t="str">
        <f t="shared" si="28"/>
        <v/>
      </c>
      <c r="F1814" s="2" t="s">
        <v>3698</v>
      </c>
      <c r="G1814" s="2" t="s">
        <v>3699</v>
      </c>
      <c r="H1814" s="2" t="s">
        <v>4365</v>
      </c>
    </row>
    <row r="1815" spans="4:8" x14ac:dyDescent="0.35">
      <c r="D1815" s="95" t="str">
        <f t="shared" si="28"/>
        <v/>
      </c>
      <c r="F1815" s="2" t="s">
        <v>3700</v>
      </c>
      <c r="G1815" s="2" t="s">
        <v>3701</v>
      </c>
      <c r="H1815" s="2" t="s">
        <v>4365</v>
      </c>
    </row>
    <row r="1816" spans="4:8" x14ac:dyDescent="0.35">
      <c r="D1816" s="95" t="str">
        <f t="shared" si="28"/>
        <v/>
      </c>
      <c r="F1816" s="2" t="s">
        <v>3702</v>
      </c>
      <c r="G1816" s="2" t="s">
        <v>3703</v>
      </c>
      <c r="H1816" s="2" t="s">
        <v>4365</v>
      </c>
    </row>
    <row r="1817" spans="4:8" x14ac:dyDescent="0.35">
      <c r="D1817" s="95" t="str">
        <f t="shared" si="28"/>
        <v/>
      </c>
      <c r="F1817" s="2" t="s">
        <v>3704</v>
      </c>
      <c r="G1817" s="2" t="s">
        <v>3705</v>
      </c>
      <c r="H1817" s="2" t="s">
        <v>4365</v>
      </c>
    </row>
    <row r="1818" spans="4:8" x14ac:dyDescent="0.35">
      <c r="D1818" s="95" t="str">
        <f t="shared" si="28"/>
        <v/>
      </c>
      <c r="F1818" s="2" t="s">
        <v>3706</v>
      </c>
      <c r="G1818" s="2" t="s">
        <v>3707</v>
      </c>
      <c r="H1818" s="2" t="s">
        <v>4365</v>
      </c>
    </row>
    <row r="1819" spans="4:8" x14ac:dyDescent="0.35">
      <c r="D1819" s="95" t="str">
        <f t="shared" si="28"/>
        <v/>
      </c>
      <c r="F1819" s="2" t="s">
        <v>3708</v>
      </c>
      <c r="G1819" s="2" t="s">
        <v>3709</v>
      </c>
      <c r="H1819" s="2" t="s">
        <v>4365</v>
      </c>
    </row>
    <row r="1820" spans="4:8" x14ac:dyDescent="0.35">
      <c r="D1820" s="95" t="str">
        <f t="shared" si="28"/>
        <v/>
      </c>
      <c r="F1820" s="2" t="s">
        <v>3710</v>
      </c>
      <c r="G1820" s="2" t="s">
        <v>3711</v>
      </c>
      <c r="H1820" s="2" t="s">
        <v>4365</v>
      </c>
    </row>
    <row r="1821" spans="4:8" x14ac:dyDescent="0.35">
      <c r="D1821" s="95" t="str">
        <f t="shared" si="28"/>
        <v/>
      </c>
      <c r="F1821" s="2" t="s">
        <v>3712</v>
      </c>
      <c r="G1821" s="2" t="s">
        <v>3713</v>
      </c>
      <c r="H1821" s="2" t="s">
        <v>4365</v>
      </c>
    </row>
    <row r="1822" spans="4:8" x14ac:dyDescent="0.35">
      <c r="D1822" s="95" t="str">
        <f t="shared" si="28"/>
        <v/>
      </c>
      <c r="F1822" s="2" t="s">
        <v>3714</v>
      </c>
      <c r="G1822" s="2" t="s">
        <v>3715</v>
      </c>
      <c r="H1822" s="2" t="s">
        <v>4365</v>
      </c>
    </row>
    <row r="1823" spans="4:8" x14ac:dyDescent="0.35">
      <c r="D1823" s="95" t="str">
        <f t="shared" si="28"/>
        <v/>
      </c>
      <c r="F1823" s="2" t="s">
        <v>3716</v>
      </c>
      <c r="G1823" s="2" t="s">
        <v>3717</v>
      </c>
      <c r="H1823" s="2" t="s">
        <v>4365</v>
      </c>
    </row>
    <row r="1824" spans="4:8" x14ac:dyDescent="0.35">
      <c r="D1824" s="95" t="str">
        <f t="shared" si="28"/>
        <v/>
      </c>
      <c r="F1824" s="2" t="s">
        <v>3718</v>
      </c>
      <c r="G1824" s="2" t="s">
        <v>3719</v>
      </c>
      <c r="H1824" s="2" t="s">
        <v>4365</v>
      </c>
    </row>
    <row r="1825" spans="4:8" x14ac:dyDescent="0.35">
      <c r="D1825" s="95" t="str">
        <f t="shared" si="28"/>
        <v/>
      </c>
      <c r="F1825" s="2" t="s">
        <v>3720</v>
      </c>
      <c r="G1825" s="2" t="s">
        <v>3721</v>
      </c>
      <c r="H1825" s="2" t="s">
        <v>4365</v>
      </c>
    </row>
    <row r="1826" spans="4:8" x14ac:dyDescent="0.35">
      <c r="D1826" s="95" t="str">
        <f t="shared" si="28"/>
        <v/>
      </c>
      <c r="F1826" s="2" t="s">
        <v>3722</v>
      </c>
      <c r="G1826" s="2" t="s">
        <v>3723</v>
      </c>
      <c r="H1826" s="2" t="s">
        <v>4365</v>
      </c>
    </row>
    <row r="1827" spans="4:8" x14ac:dyDescent="0.35">
      <c r="D1827" s="95" t="str">
        <f t="shared" si="28"/>
        <v/>
      </c>
      <c r="F1827" s="2" t="s">
        <v>3724</v>
      </c>
      <c r="G1827" s="2" t="s">
        <v>3725</v>
      </c>
      <c r="H1827" s="2" t="s">
        <v>4365</v>
      </c>
    </row>
    <row r="1828" spans="4:8" x14ac:dyDescent="0.35">
      <c r="D1828" s="95" t="str">
        <f t="shared" si="28"/>
        <v/>
      </c>
      <c r="F1828" s="2" t="s">
        <v>3726</v>
      </c>
      <c r="G1828" s="2" t="s">
        <v>3727</v>
      </c>
      <c r="H1828" s="2" t="s">
        <v>4365</v>
      </c>
    </row>
    <row r="1829" spans="4:8" x14ac:dyDescent="0.35">
      <c r="D1829" s="95" t="str">
        <f t="shared" si="28"/>
        <v/>
      </c>
      <c r="F1829" s="2" t="s">
        <v>3728</v>
      </c>
      <c r="G1829" s="2" t="s">
        <v>3729</v>
      </c>
      <c r="H1829" s="2" t="s">
        <v>4365</v>
      </c>
    </row>
    <row r="1830" spans="4:8" x14ac:dyDescent="0.35">
      <c r="D1830" s="95" t="str">
        <f t="shared" si="28"/>
        <v/>
      </c>
      <c r="F1830" s="2" t="s">
        <v>3730</v>
      </c>
      <c r="G1830" s="2" t="s">
        <v>3731</v>
      </c>
      <c r="H1830" s="2" t="s">
        <v>4365</v>
      </c>
    </row>
    <row r="1831" spans="4:8" x14ac:dyDescent="0.35">
      <c r="D1831" s="95" t="str">
        <f t="shared" si="28"/>
        <v/>
      </c>
      <c r="F1831" s="2" t="s">
        <v>3732</v>
      </c>
      <c r="G1831" s="2" t="s">
        <v>3733</v>
      </c>
      <c r="H1831" s="2" t="s">
        <v>4365</v>
      </c>
    </row>
    <row r="1832" spans="4:8" x14ac:dyDescent="0.35">
      <c r="D1832" s="95" t="str">
        <f t="shared" si="28"/>
        <v/>
      </c>
      <c r="F1832" s="2" t="s">
        <v>3734</v>
      </c>
      <c r="G1832" s="2" t="s">
        <v>3735</v>
      </c>
      <c r="H1832" s="2" t="s">
        <v>4365</v>
      </c>
    </row>
    <row r="1833" spans="4:8" x14ac:dyDescent="0.35">
      <c r="D1833" s="95" t="str">
        <f t="shared" si="28"/>
        <v/>
      </c>
      <c r="F1833" s="2" t="s">
        <v>3736</v>
      </c>
      <c r="G1833" s="2" t="s">
        <v>3737</v>
      </c>
      <c r="H1833" s="2" t="s">
        <v>4365</v>
      </c>
    </row>
    <row r="1834" spans="4:8" x14ac:dyDescent="0.35">
      <c r="D1834" s="95" t="str">
        <f t="shared" si="28"/>
        <v/>
      </c>
      <c r="F1834" s="2" t="s">
        <v>3738</v>
      </c>
      <c r="G1834" s="2" t="s">
        <v>3739</v>
      </c>
      <c r="H1834" s="2" t="s">
        <v>4365</v>
      </c>
    </row>
    <row r="1835" spans="4:8" x14ac:dyDescent="0.35">
      <c r="D1835" s="95" t="str">
        <f t="shared" si="28"/>
        <v/>
      </c>
      <c r="F1835" s="2" t="s">
        <v>3740</v>
      </c>
      <c r="G1835" s="2" t="s">
        <v>3741</v>
      </c>
      <c r="H1835" s="2" t="s">
        <v>4365</v>
      </c>
    </row>
    <row r="1836" spans="4:8" x14ac:dyDescent="0.35">
      <c r="D1836" s="95" t="str">
        <f t="shared" si="28"/>
        <v/>
      </c>
      <c r="F1836" s="2" t="s">
        <v>3742</v>
      </c>
      <c r="G1836" s="2" t="s">
        <v>3743</v>
      </c>
      <c r="H1836" s="2" t="s">
        <v>4365</v>
      </c>
    </row>
    <row r="1837" spans="4:8" x14ac:dyDescent="0.35">
      <c r="D1837" s="95" t="str">
        <f t="shared" si="28"/>
        <v/>
      </c>
      <c r="F1837" s="2" t="s">
        <v>3744</v>
      </c>
      <c r="G1837" s="2" t="s">
        <v>3745</v>
      </c>
      <c r="H1837" s="2" t="s">
        <v>4365</v>
      </c>
    </row>
    <row r="1838" spans="4:8" x14ac:dyDescent="0.35">
      <c r="D1838" s="95" t="str">
        <f t="shared" si="28"/>
        <v/>
      </c>
      <c r="F1838" s="2" t="s">
        <v>3746</v>
      </c>
      <c r="G1838" s="2" t="s">
        <v>3747</v>
      </c>
      <c r="H1838" s="2" t="s">
        <v>4365</v>
      </c>
    </row>
    <row r="1839" spans="4:8" x14ac:dyDescent="0.35">
      <c r="D1839" s="95" t="str">
        <f t="shared" si="28"/>
        <v/>
      </c>
      <c r="F1839" s="2" t="s">
        <v>3748</v>
      </c>
      <c r="G1839" s="2" t="s">
        <v>3749</v>
      </c>
      <c r="H1839" s="2" t="s">
        <v>4365</v>
      </c>
    </row>
    <row r="1840" spans="4:8" x14ac:dyDescent="0.35">
      <c r="D1840" s="95" t="str">
        <f t="shared" si="28"/>
        <v/>
      </c>
      <c r="F1840" s="2" t="s">
        <v>3750</v>
      </c>
      <c r="G1840" s="2" t="s">
        <v>3751</v>
      </c>
      <c r="H1840" s="2" t="s">
        <v>4365</v>
      </c>
    </row>
    <row r="1841" spans="4:8" x14ac:dyDescent="0.35">
      <c r="D1841" s="95" t="str">
        <f t="shared" si="28"/>
        <v/>
      </c>
      <c r="F1841" s="2" t="s">
        <v>3752</v>
      </c>
      <c r="G1841" s="2" t="s">
        <v>3753</v>
      </c>
      <c r="H1841" s="2" t="s">
        <v>4365</v>
      </c>
    </row>
    <row r="1842" spans="4:8" x14ac:dyDescent="0.35">
      <c r="D1842" s="95" t="str">
        <f t="shared" si="28"/>
        <v/>
      </c>
      <c r="F1842" s="2" t="s">
        <v>3754</v>
      </c>
      <c r="G1842" s="2" t="s">
        <v>3755</v>
      </c>
      <c r="H1842" s="2" t="s">
        <v>4365</v>
      </c>
    </row>
    <row r="1843" spans="4:8" x14ac:dyDescent="0.35">
      <c r="D1843" s="95" t="str">
        <f t="shared" si="28"/>
        <v/>
      </c>
      <c r="F1843" s="2" t="s">
        <v>3756</v>
      </c>
      <c r="G1843" s="2" t="s">
        <v>3757</v>
      </c>
      <c r="H1843" s="2" t="s">
        <v>4365</v>
      </c>
    </row>
    <row r="1844" spans="4:8" x14ac:dyDescent="0.35">
      <c r="D1844" s="95" t="str">
        <f t="shared" si="28"/>
        <v/>
      </c>
      <c r="F1844" s="2" t="s">
        <v>3758</v>
      </c>
      <c r="G1844" s="2" t="s">
        <v>3759</v>
      </c>
      <c r="H1844" s="2" t="s">
        <v>4365</v>
      </c>
    </row>
    <row r="1845" spans="4:8" x14ac:dyDescent="0.35">
      <c r="D1845" s="95" t="str">
        <f t="shared" si="28"/>
        <v/>
      </c>
      <c r="F1845" s="2" t="s">
        <v>3760</v>
      </c>
      <c r="G1845" s="2" t="s">
        <v>3761</v>
      </c>
      <c r="H1845" s="2" t="s">
        <v>4365</v>
      </c>
    </row>
    <row r="1846" spans="4:8" x14ac:dyDescent="0.35">
      <c r="D1846" s="95" t="str">
        <f t="shared" si="28"/>
        <v/>
      </c>
      <c r="F1846" s="2" t="s">
        <v>3762</v>
      </c>
      <c r="G1846" s="2" t="s">
        <v>3763</v>
      </c>
      <c r="H1846" s="2" t="s">
        <v>4365</v>
      </c>
    </row>
    <row r="1847" spans="4:8" x14ac:dyDescent="0.35">
      <c r="D1847" s="95" t="str">
        <f t="shared" si="28"/>
        <v/>
      </c>
      <c r="F1847" s="2" t="s">
        <v>3764</v>
      </c>
      <c r="G1847" s="2" t="s">
        <v>3765</v>
      </c>
      <c r="H1847" s="2" t="s">
        <v>4365</v>
      </c>
    </row>
    <row r="1848" spans="4:8" x14ac:dyDescent="0.35">
      <c r="D1848" s="95" t="str">
        <f t="shared" si="28"/>
        <v/>
      </c>
      <c r="F1848" s="2" t="s">
        <v>3766</v>
      </c>
      <c r="G1848" s="2" t="s">
        <v>3767</v>
      </c>
      <c r="H1848" s="2" t="s">
        <v>4365</v>
      </c>
    </row>
    <row r="1849" spans="4:8" x14ac:dyDescent="0.35">
      <c r="D1849" s="95" t="str">
        <f t="shared" si="28"/>
        <v/>
      </c>
      <c r="F1849" s="2" t="s">
        <v>3768</v>
      </c>
      <c r="G1849" s="2" t="s">
        <v>3769</v>
      </c>
      <c r="H1849" s="2" t="s">
        <v>4365</v>
      </c>
    </row>
    <row r="1850" spans="4:8" x14ac:dyDescent="0.35">
      <c r="D1850" s="95" t="str">
        <f t="shared" si="28"/>
        <v/>
      </c>
      <c r="F1850" s="2" t="s">
        <v>3770</v>
      </c>
      <c r="G1850" s="2" t="s">
        <v>3771</v>
      </c>
      <c r="H1850" s="2" t="s">
        <v>4365</v>
      </c>
    </row>
    <row r="1851" spans="4:8" x14ac:dyDescent="0.35">
      <c r="D1851" s="95" t="str">
        <f t="shared" si="28"/>
        <v/>
      </c>
      <c r="F1851" s="2" t="s">
        <v>3772</v>
      </c>
      <c r="G1851" s="2" t="s">
        <v>3773</v>
      </c>
      <c r="H1851" s="2" t="s">
        <v>4365</v>
      </c>
    </row>
    <row r="1852" spans="4:8" x14ac:dyDescent="0.35">
      <c r="D1852" s="95" t="str">
        <f t="shared" si="28"/>
        <v/>
      </c>
      <c r="F1852" s="2" t="s">
        <v>3774</v>
      </c>
      <c r="G1852" s="2" t="s">
        <v>3775</v>
      </c>
      <c r="H1852" s="2" t="s">
        <v>4365</v>
      </c>
    </row>
    <row r="1853" spans="4:8" x14ac:dyDescent="0.35">
      <c r="D1853" s="95" t="str">
        <f t="shared" si="28"/>
        <v/>
      </c>
      <c r="F1853" s="2" t="s">
        <v>3776</v>
      </c>
      <c r="G1853" s="2" t="s">
        <v>3777</v>
      </c>
      <c r="H1853" s="2" t="s">
        <v>4365</v>
      </c>
    </row>
    <row r="1854" spans="4:8" x14ac:dyDescent="0.35">
      <c r="D1854" s="95" t="str">
        <f t="shared" si="28"/>
        <v/>
      </c>
      <c r="F1854" s="2" t="s">
        <v>3778</v>
      </c>
      <c r="G1854" s="2" t="s">
        <v>3779</v>
      </c>
      <c r="H1854" s="2" t="s">
        <v>4365</v>
      </c>
    </row>
    <row r="1855" spans="4:8" x14ac:dyDescent="0.35">
      <c r="D1855" s="95" t="str">
        <f t="shared" si="28"/>
        <v/>
      </c>
      <c r="F1855" s="2" t="s">
        <v>3780</v>
      </c>
      <c r="G1855" s="2" t="s">
        <v>3781</v>
      </c>
      <c r="H1855" s="2" t="s">
        <v>4365</v>
      </c>
    </row>
    <row r="1856" spans="4:8" x14ac:dyDescent="0.35">
      <c r="D1856" s="95" t="str">
        <f t="shared" si="28"/>
        <v/>
      </c>
      <c r="F1856" s="2" t="s">
        <v>3782</v>
      </c>
      <c r="G1856" s="2" t="s">
        <v>3783</v>
      </c>
      <c r="H1856" s="2" t="s">
        <v>4365</v>
      </c>
    </row>
    <row r="1857" spans="4:8" x14ac:dyDescent="0.35">
      <c r="D1857" s="95" t="str">
        <f t="shared" si="28"/>
        <v/>
      </c>
      <c r="F1857" s="2" t="s">
        <v>3784</v>
      </c>
      <c r="G1857" s="2" t="s">
        <v>3785</v>
      </c>
      <c r="H1857" s="2" t="s">
        <v>4365</v>
      </c>
    </row>
    <row r="1858" spans="4:8" x14ac:dyDescent="0.35">
      <c r="D1858" s="95" t="str">
        <f t="shared" si="28"/>
        <v/>
      </c>
      <c r="F1858" s="2" t="s">
        <v>3786</v>
      </c>
      <c r="G1858" s="2" t="s">
        <v>3787</v>
      </c>
      <c r="H1858" s="2" t="s">
        <v>4365</v>
      </c>
    </row>
    <row r="1859" spans="4:8" x14ac:dyDescent="0.35">
      <c r="D1859" s="95" t="str">
        <f t="shared" si="28"/>
        <v/>
      </c>
      <c r="F1859" s="2" t="s">
        <v>3788</v>
      </c>
      <c r="G1859" s="2" t="s">
        <v>3789</v>
      </c>
      <c r="H1859" s="2" t="s">
        <v>4365</v>
      </c>
    </row>
    <row r="1860" spans="4:8" x14ac:dyDescent="0.35">
      <c r="D1860" s="95" t="str">
        <f t="shared" si="28"/>
        <v/>
      </c>
      <c r="F1860" s="2" t="s">
        <v>3790</v>
      </c>
      <c r="G1860" s="2" t="s">
        <v>3791</v>
      </c>
      <c r="H1860" s="2" t="s">
        <v>4365</v>
      </c>
    </row>
    <row r="1861" spans="4:8" x14ac:dyDescent="0.35">
      <c r="D1861" s="95" t="str">
        <f t="shared" si="28"/>
        <v/>
      </c>
      <c r="F1861" s="2" t="s">
        <v>3792</v>
      </c>
      <c r="G1861" s="2" t="s">
        <v>3793</v>
      </c>
      <c r="H1861" s="2" t="s">
        <v>4365</v>
      </c>
    </row>
    <row r="1862" spans="4:8" x14ac:dyDescent="0.35">
      <c r="D1862" s="95" t="str">
        <f t="shared" si="28"/>
        <v/>
      </c>
      <c r="F1862" s="2" t="s">
        <v>3794</v>
      </c>
      <c r="G1862" s="2" t="s">
        <v>3795</v>
      </c>
      <c r="H1862" s="2" t="s">
        <v>4365</v>
      </c>
    </row>
    <row r="1863" spans="4:8" x14ac:dyDescent="0.35">
      <c r="D1863" s="95" t="str">
        <f t="shared" si="28"/>
        <v/>
      </c>
      <c r="F1863" s="2" t="s">
        <v>3796</v>
      </c>
      <c r="G1863" s="2" t="s">
        <v>3797</v>
      </c>
      <c r="H1863" s="2" t="s">
        <v>4365</v>
      </c>
    </row>
    <row r="1864" spans="4:8" x14ac:dyDescent="0.35">
      <c r="D1864" s="95" t="str">
        <f t="shared" ref="D1864:D1927" si="29">IFERROR(INDEX($F$6:$G$1048576,MATCH($C1864,$G$6:$G$1048576,0),MATCH($D$6,$F$6:$G$6,0)),"")</f>
        <v/>
      </c>
      <c r="F1864" s="2" t="s">
        <v>3798</v>
      </c>
      <c r="G1864" s="2" t="s">
        <v>3799</v>
      </c>
      <c r="H1864" s="2" t="s">
        <v>4365</v>
      </c>
    </row>
    <row r="1865" spans="4:8" x14ac:dyDescent="0.35">
      <c r="D1865" s="95" t="str">
        <f t="shared" si="29"/>
        <v/>
      </c>
      <c r="F1865" s="2" t="s">
        <v>3800</v>
      </c>
      <c r="G1865" s="2" t="s">
        <v>3801</v>
      </c>
      <c r="H1865" s="2" t="s">
        <v>4365</v>
      </c>
    </row>
    <row r="1866" spans="4:8" x14ac:dyDescent="0.35">
      <c r="D1866" s="95" t="str">
        <f t="shared" si="29"/>
        <v/>
      </c>
      <c r="F1866" s="2" t="s">
        <v>3802</v>
      </c>
      <c r="G1866" s="2" t="s">
        <v>3803</v>
      </c>
      <c r="H1866" s="2" t="s">
        <v>4365</v>
      </c>
    </row>
    <row r="1867" spans="4:8" x14ac:dyDescent="0.35">
      <c r="D1867" s="95" t="str">
        <f t="shared" si="29"/>
        <v/>
      </c>
      <c r="F1867" s="2" t="s">
        <v>3804</v>
      </c>
      <c r="G1867" s="2" t="s">
        <v>3805</v>
      </c>
      <c r="H1867" s="2" t="s">
        <v>4365</v>
      </c>
    </row>
    <row r="1868" spans="4:8" x14ac:dyDescent="0.35">
      <c r="D1868" s="95" t="str">
        <f t="shared" si="29"/>
        <v/>
      </c>
      <c r="F1868" s="2" t="s">
        <v>3806</v>
      </c>
      <c r="G1868" s="2" t="s">
        <v>3807</v>
      </c>
      <c r="H1868" s="2" t="s">
        <v>4365</v>
      </c>
    </row>
    <row r="1869" spans="4:8" x14ac:dyDescent="0.35">
      <c r="D1869" s="95" t="str">
        <f t="shared" si="29"/>
        <v/>
      </c>
      <c r="F1869" s="2" t="s">
        <v>3808</v>
      </c>
      <c r="G1869" s="2" t="s">
        <v>3809</v>
      </c>
      <c r="H1869" s="2" t="s">
        <v>4365</v>
      </c>
    </row>
    <row r="1870" spans="4:8" x14ac:dyDescent="0.35">
      <c r="D1870" s="95" t="str">
        <f t="shared" si="29"/>
        <v/>
      </c>
      <c r="F1870" s="2" t="s">
        <v>3810</v>
      </c>
      <c r="G1870" s="2" t="s">
        <v>3811</v>
      </c>
      <c r="H1870" s="2" t="s">
        <v>4365</v>
      </c>
    </row>
    <row r="1871" spans="4:8" x14ac:dyDescent="0.35">
      <c r="D1871" s="95" t="str">
        <f t="shared" si="29"/>
        <v/>
      </c>
      <c r="F1871" s="2" t="s">
        <v>3812</v>
      </c>
      <c r="G1871" s="2" t="s">
        <v>3813</v>
      </c>
      <c r="H1871" s="2" t="s">
        <v>4365</v>
      </c>
    </row>
    <row r="1872" spans="4:8" x14ac:dyDescent="0.35">
      <c r="D1872" s="95" t="str">
        <f t="shared" si="29"/>
        <v/>
      </c>
      <c r="F1872" s="2" t="s">
        <v>3814</v>
      </c>
      <c r="G1872" s="2" t="s">
        <v>3815</v>
      </c>
      <c r="H1872" s="2" t="s">
        <v>4365</v>
      </c>
    </row>
    <row r="1873" spans="4:8" x14ac:dyDescent="0.35">
      <c r="D1873" s="95" t="str">
        <f t="shared" si="29"/>
        <v/>
      </c>
      <c r="F1873" s="2" t="s">
        <v>3816</v>
      </c>
      <c r="G1873" s="2" t="s">
        <v>3817</v>
      </c>
      <c r="H1873" s="2" t="s">
        <v>4365</v>
      </c>
    </row>
    <row r="1874" spans="4:8" x14ac:dyDescent="0.35">
      <c r="D1874" s="95" t="str">
        <f t="shared" si="29"/>
        <v/>
      </c>
      <c r="F1874" s="2" t="s">
        <v>3818</v>
      </c>
      <c r="G1874" s="2" t="s">
        <v>3819</v>
      </c>
      <c r="H1874" s="2" t="s">
        <v>4365</v>
      </c>
    </row>
    <row r="1875" spans="4:8" x14ac:dyDescent="0.35">
      <c r="D1875" s="95" t="str">
        <f t="shared" si="29"/>
        <v/>
      </c>
      <c r="F1875" s="2" t="s">
        <v>3820</v>
      </c>
      <c r="G1875" s="2" t="s">
        <v>3821</v>
      </c>
      <c r="H1875" s="2" t="s">
        <v>4365</v>
      </c>
    </row>
    <row r="1876" spans="4:8" x14ac:dyDescent="0.35">
      <c r="D1876" s="95" t="str">
        <f t="shared" si="29"/>
        <v/>
      </c>
      <c r="F1876" s="2" t="s">
        <v>3822</v>
      </c>
      <c r="G1876" s="2" t="s">
        <v>3823</v>
      </c>
      <c r="H1876" s="2" t="s">
        <v>4365</v>
      </c>
    </row>
    <row r="1877" spans="4:8" x14ac:dyDescent="0.35">
      <c r="D1877" s="95" t="str">
        <f t="shared" si="29"/>
        <v/>
      </c>
      <c r="F1877" s="2" t="s">
        <v>3824</v>
      </c>
      <c r="G1877" s="2" t="s">
        <v>3825</v>
      </c>
      <c r="H1877" s="2" t="s">
        <v>4365</v>
      </c>
    </row>
    <row r="1878" spans="4:8" x14ac:dyDescent="0.35">
      <c r="D1878" s="95" t="str">
        <f t="shared" si="29"/>
        <v/>
      </c>
      <c r="F1878" s="2" t="s">
        <v>3826</v>
      </c>
      <c r="G1878" s="2" t="s">
        <v>3827</v>
      </c>
      <c r="H1878" s="2" t="s">
        <v>4365</v>
      </c>
    </row>
    <row r="1879" spans="4:8" x14ac:dyDescent="0.35">
      <c r="D1879" s="95" t="str">
        <f t="shared" si="29"/>
        <v/>
      </c>
      <c r="F1879" s="2" t="s">
        <v>3828</v>
      </c>
      <c r="G1879" s="2" t="s">
        <v>3829</v>
      </c>
      <c r="H1879" s="2" t="s">
        <v>4365</v>
      </c>
    </row>
    <row r="1880" spans="4:8" x14ac:dyDescent="0.35">
      <c r="D1880" s="95" t="str">
        <f t="shared" si="29"/>
        <v/>
      </c>
      <c r="F1880" s="2" t="s">
        <v>3830</v>
      </c>
      <c r="G1880" s="2" t="s">
        <v>3831</v>
      </c>
      <c r="H1880" s="2" t="s">
        <v>4365</v>
      </c>
    </row>
    <row r="1881" spans="4:8" x14ac:dyDescent="0.35">
      <c r="D1881" s="95" t="str">
        <f t="shared" si="29"/>
        <v/>
      </c>
      <c r="F1881" s="2" t="s">
        <v>3832</v>
      </c>
      <c r="G1881" s="2" t="s">
        <v>3833</v>
      </c>
      <c r="H1881" s="2" t="s">
        <v>4365</v>
      </c>
    </row>
    <row r="1882" spans="4:8" x14ac:dyDescent="0.35">
      <c r="D1882" s="95" t="str">
        <f t="shared" si="29"/>
        <v/>
      </c>
      <c r="F1882" s="2" t="s">
        <v>3834</v>
      </c>
      <c r="G1882" s="2" t="s">
        <v>3835</v>
      </c>
      <c r="H1882" s="2" t="s">
        <v>4365</v>
      </c>
    </row>
    <row r="1883" spans="4:8" x14ac:dyDescent="0.35">
      <c r="D1883" s="95" t="str">
        <f t="shared" si="29"/>
        <v/>
      </c>
      <c r="F1883" s="2" t="s">
        <v>3836</v>
      </c>
      <c r="G1883" s="2" t="s">
        <v>3837</v>
      </c>
      <c r="H1883" s="2" t="s">
        <v>4365</v>
      </c>
    </row>
    <row r="1884" spans="4:8" x14ac:dyDescent="0.35">
      <c r="D1884" s="95" t="str">
        <f t="shared" si="29"/>
        <v/>
      </c>
      <c r="F1884" s="2" t="s">
        <v>3838</v>
      </c>
      <c r="G1884" s="2" t="s">
        <v>3839</v>
      </c>
      <c r="H1884" s="2" t="s">
        <v>4365</v>
      </c>
    </row>
    <row r="1885" spans="4:8" x14ac:dyDescent="0.35">
      <c r="D1885" s="95" t="str">
        <f t="shared" si="29"/>
        <v/>
      </c>
      <c r="F1885" s="2" t="s">
        <v>3840</v>
      </c>
      <c r="G1885" s="2" t="s">
        <v>3841</v>
      </c>
      <c r="H1885" s="2" t="s">
        <v>4365</v>
      </c>
    </row>
    <row r="1886" spans="4:8" x14ac:dyDescent="0.35">
      <c r="D1886" s="95" t="str">
        <f t="shared" si="29"/>
        <v/>
      </c>
      <c r="F1886" s="2" t="s">
        <v>3842</v>
      </c>
      <c r="G1886" s="2" t="s">
        <v>3843</v>
      </c>
      <c r="H1886" s="2" t="s">
        <v>4365</v>
      </c>
    </row>
    <row r="1887" spans="4:8" x14ac:dyDescent="0.35">
      <c r="D1887" s="95" t="str">
        <f t="shared" si="29"/>
        <v/>
      </c>
      <c r="F1887" s="2" t="s">
        <v>3844</v>
      </c>
      <c r="G1887" s="2" t="s">
        <v>3845</v>
      </c>
      <c r="H1887" s="2" t="s">
        <v>4365</v>
      </c>
    </row>
    <row r="1888" spans="4:8" x14ac:dyDescent="0.35">
      <c r="D1888" s="95" t="str">
        <f t="shared" si="29"/>
        <v/>
      </c>
      <c r="F1888" s="2" t="s">
        <v>3846</v>
      </c>
      <c r="G1888" s="2" t="s">
        <v>3847</v>
      </c>
      <c r="H1888" s="2" t="s">
        <v>4365</v>
      </c>
    </row>
    <row r="1889" spans="4:8" x14ac:dyDescent="0.35">
      <c r="D1889" s="95" t="str">
        <f t="shared" si="29"/>
        <v/>
      </c>
      <c r="F1889" s="2" t="s">
        <v>3848</v>
      </c>
      <c r="G1889" s="2" t="s">
        <v>3849</v>
      </c>
      <c r="H1889" s="2" t="s">
        <v>4365</v>
      </c>
    </row>
    <row r="1890" spans="4:8" x14ac:dyDescent="0.35">
      <c r="D1890" s="95" t="str">
        <f t="shared" si="29"/>
        <v/>
      </c>
      <c r="F1890" s="2" t="s">
        <v>3850</v>
      </c>
      <c r="G1890" s="2" t="s">
        <v>3851</v>
      </c>
      <c r="H1890" s="2" t="s">
        <v>4365</v>
      </c>
    </row>
    <row r="1891" spans="4:8" x14ac:dyDescent="0.35">
      <c r="D1891" s="95" t="str">
        <f t="shared" si="29"/>
        <v/>
      </c>
      <c r="F1891" s="2" t="s">
        <v>3852</v>
      </c>
      <c r="G1891" s="2" t="s">
        <v>3853</v>
      </c>
      <c r="H1891" s="2" t="s">
        <v>4365</v>
      </c>
    </row>
    <row r="1892" spans="4:8" x14ac:dyDescent="0.35">
      <c r="D1892" s="95" t="str">
        <f t="shared" si="29"/>
        <v/>
      </c>
      <c r="F1892" s="2" t="s">
        <v>3854</v>
      </c>
      <c r="G1892" s="2" t="s">
        <v>3855</v>
      </c>
      <c r="H1892" s="2" t="s">
        <v>4365</v>
      </c>
    </row>
    <row r="1893" spans="4:8" x14ac:dyDescent="0.35">
      <c r="D1893" s="95" t="str">
        <f t="shared" si="29"/>
        <v/>
      </c>
      <c r="F1893" s="2" t="s">
        <v>3856</v>
      </c>
      <c r="G1893" s="2" t="s">
        <v>3857</v>
      </c>
      <c r="H1893" s="2" t="s">
        <v>4365</v>
      </c>
    </row>
    <row r="1894" spans="4:8" x14ac:dyDescent="0.35">
      <c r="D1894" s="95" t="str">
        <f t="shared" si="29"/>
        <v/>
      </c>
      <c r="F1894" s="2" t="s">
        <v>3858</v>
      </c>
      <c r="G1894" s="2" t="s">
        <v>3859</v>
      </c>
      <c r="H1894" s="2" t="s">
        <v>4365</v>
      </c>
    </row>
    <row r="1895" spans="4:8" x14ac:dyDescent="0.35">
      <c r="D1895" s="95" t="str">
        <f t="shared" si="29"/>
        <v/>
      </c>
      <c r="F1895" s="2" t="s">
        <v>3860</v>
      </c>
      <c r="G1895" s="2" t="s">
        <v>3861</v>
      </c>
      <c r="H1895" s="2" t="s">
        <v>4365</v>
      </c>
    </row>
    <row r="1896" spans="4:8" x14ac:dyDescent="0.35">
      <c r="D1896" s="95" t="str">
        <f t="shared" si="29"/>
        <v/>
      </c>
      <c r="F1896" s="2" t="s">
        <v>3862</v>
      </c>
      <c r="G1896" s="2" t="s">
        <v>3863</v>
      </c>
      <c r="H1896" s="2" t="s">
        <v>4365</v>
      </c>
    </row>
    <row r="1897" spans="4:8" x14ac:dyDescent="0.35">
      <c r="D1897" s="95" t="str">
        <f t="shared" si="29"/>
        <v/>
      </c>
      <c r="F1897" s="2" t="s">
        <v>3864</v>
      </c>
      <c r="G1897" s="2" t="s">
        <v>3865</v>
      </c>
      <c r="H1897" s="2" t="s">
        <v>4365</v>
      </c>
    </row>
    <row r="1898" spans="4:8" x14ac:dyDescent="0.35">
      <c r="D1898" s="95" t="str">
        <f t="shared" si="29"/>
        <v/>
      </c>
      <c r="F1898" s="2" t="s">
        <v>3866</v>
      </c>
      <c r="G1898" s="2" t="s">
        <v>3867</v>
      </c>
      <c r="H1898" s="2" t="s">
        <v>4365</v>
      </c>
    </row>
    <row r="1899" spans="4:8" x14ac:dyDescent="0.35">
      <c r="D1899" s="95" t="str">
        <f t="shared" si="29"/>
        <v/>
      </c>
      <c r="F1899" s="2" t="s">
        <v>3868</v>
      </c>
      <c r="G1899" s="2" t="s">
        <v>3869</v>
      </c>
      <c r="H1899" s="2" t="s">
        <v>4365</v>
      </c>
    </row>
    <row r="1900" spans="4:8" x14ac:dyDescent="0.35">
      <c r="D1900" s="95" t="str">
        <f t="shared" si="29"/>
        <v/>
      </c>
      <c r="F1900" s="2" t="s">
        <v>3870</v>
      </c>
      <c r="G1900" s="2" t="s">
        <v>3871</v>
      </c>
      <c r="H1900" s="2" t="s">
        <v>4365</v>
      </c>
    </row>
    <row r="1901" spans="4:8" x14ac:dyDescent="0.35">
      <c r="D1901" s="95" t="str">
        <f t="shared" si="29"/>
        <v/>
      </c>
      <c r="F1901" s="2" t="s">
        <v>3872</v>
      </c>
      <c r="G1901" s="2" t="s">
        <v>3873</v>
      </c>
      <c r="H1901" s="2" t="s">
        <v>4365</v>
      </c>
    </row>
    <row r="1902" spans="4:8" x14ac:dyDescent="0.35">
      <c r="D1902" s="95" t="str">
        <f t="shared" si="29"/>
        <v/>
      </c>
      <c r="F1902" s="2" t="s">
        <v>3874</v>
      </c>
      <c r="G1902" s="2" t="s">
        <v>3875</v>
      </c>
      <c r="H1902" s="2" t="s">
        <v>4365</v>
      </c>
    </row>
    <row r="1903" spans="4:8" x14ac:dyDescent="0.35">
      <c r="D1903" s="95" t="str">
        <f t="shared" si="29"/>
        <v/>
      </c>
      <c r="F1903" s="2" t="s">
        <v>3876</v>
      </c>
      <c r="G1903" s="2" t="s">
        <v>3877</v>
      </c>
      <c r="H1903" s="2" t="s">
        <v>4365</v>
      </c>
    </row>
    <row r="1904" spans="4:8" x14ac:dyDescent="0.35">
      <c r="D1904" s="95" t="str">
        <f t="shared" si="29"/>
        <v/>
      </c>
      <c r="F1904" s="2" t="s">
        <v>3878</v>
      </c>
      <c r="G1904" s="2" t="s">
        <v>3879</v>
      </c>
      <c r="H1904" s="2" t="s">
        <v>4365</v>
      </c>
    </row>
    <row r="1905" spans="4:8" x14ac:dyDescent="0.35">
      <c r="D1905" s="95" t="str">
        <f t="shared" si="29"/>
        <v/>
      </c>
      <c r="F1905" s="2" t="s">
        <v>3880</v>
      </c>
      <c r="G1905" s="2" t="s">
        <v>3881</v>
      </c>
      <c r="H1905" s="2" t="s">
        <v>4365</v>
      </c>
    </row>
    <row r="1906" spans="4:8" x14ac:dyDescent="0.35">
      <c r="D1906" s="95" t="str">
        <f t="shared" si="29"/>
        <v/>
      </c>
      <c r="F1906" s="2" t="s">
        <v>3882</v>
      </c>
      <c r="G1906" s="2" t="s">
        <v>3883</v>
      </c>
      <c r="H1906" s="2" t="s">
        <v>4365</v>
      </c>
    </row>
    <row r="1907" spans="4:8" x14ac:dyDescent="0.35">
      <c r="D1907" s="95" t="str">
        <f t="shared" si="29"/>
        <v/>
      </c>
      <c r="F1907" s="2" t="s">
        <v>3884</v>
      </c>
      <c r="G1907" s="2" t="s">
        <v>3885</v>
      </c>
      <c r="H1907" s="2" t="s">
        <v>4365</v>
      </c>
    </row>
    <row r="1908" spans="4:8" x14ac:dyDescent="0.35">
      <c r="D1908" s="95" t="str">
        <f t="shared" si="29"/>
        <v/>
      </c>
      <c r="F1908" s="2" t="s">
        <v>3886</v>
      </c>
      <c r="G1908" s="2" t="s">
        <v>3887</v>
      </c>
      <c r="H1908" s="2" t="s">
        <v>4365</v>
      </c>
    </row>
    <row r="1909" spans="4:8" x14ac:dyDescent="0.35">
      <c r="D1909" s="95" t="str">
        <f t="shared" si="29"/>
        <v/>
      </c>
      <c r="F1909" s="2" t="s">
        <v>3888</v>
      </c>
      <c r="G1909" s="2" t="s">
        <v>3889</v>
      </c>
      <c r="H1909" s="2" t="s">
        <v>4365</v>
      </c>
    </row>
    <row r="1910" spans="4:8" x14ac:dyDescent="0.35">
      <c r="D1910" s="95" t="str">
        <f t="shared" si="29"/>
        <v/>
      </c>
      <c r="F1910" s="2" t="s">
        <v>3890</v>
      </c>
      <c r="G1910" s="2" t="s">
        <v>3891</v>
      </c>
      <c r="H1910" s="2" t="s">
        <v>4365</v>
      </c>
    </row>
    <row r="1911" spans="4:8" x14ac:dyDescent="0.35">
      <c r="D1911" s="95" t="str">
        <f t="shared" si="29"/>
        <v/>
      </c>
      <c r="F1911" s="2" t="s">
        <v>3892</v>
      </c>
      <c r="G1911" s="2" t="s">
        <v>3893</v>
      </c>
      <c r="H1911" s="2" t="s">
        <v>4365</v>
      </c>
    </row>
    <row r="1912" spans="4:8" x14ac:dyDescent="0.35">
      <c r="D1912" s="95" t="str">
        <f t="shared" si="29"/>
        <v/>
      </c>
      <c r="F1912" s="2" t="s">
        <v>3894</v>
      </c>
      <c r="G1912" s="2" t="s">
        <v>3895</v>
      </c>
      <c r="H1912" s="2" t="s">
        <v>4365</v>
      </c>
    </row>
    <row r="1913" spans="4:8" x14ac:dyDescent="0.35">
      <c r="D1913" s="95" t="str">
        <f t="shared" si="29"/>
        <v/>
      </c>
      <c r="F1913" s="2" t="s">
        <v>3896</v>
      </c>
      <c r="G1913" s="2" t="s">
        <v>3897</v>
      </c>
      <c r="H1913" s="2" t="s">
        <v>4365</v>
      </c>
    </row>
    <row r="1914" spans="4:8" x14ac:dyDescent="0.35">
      <c r="D1914" s="95" t="str">
        <f t="shared" si="29"/>
        <v/>
      </c>
      <c r="F1914" s="2" t="s">
        <v>3898</v>
      </c>
      <c r="G1914" s="2" t="s">
        <v>3899</v>
      </c>
      <c r="H1914" s="2" t="s">
        <v>4365</v>
      </c>
    </row>
    <row r="1915" spans="4:8" x14ac:dyDescent="0.35">
      <c r="D1915" s="95" t="str">
        <f t="shared" si="29"/>
        <v/>
      </c>
      <c r="F1915" s="2" t="s">
        <v>3900</v>
      </c>
      <c r="G1915" s="2" t="s">
        <v>3901</v>
      </c>
      <c r="H1915" s="2" t="s">
        <v>4365</v>
      </c>
    </row>
    <row r="1916" spans="4:8" x14ac:dyDescent="0.35">
      <c r="D1916" s="95" t="str">
        <f t="shared" si="29"/>
        <v/>
      </c>
      <c r="F1916" s="2" t="s">
        <v>3902</v>
      </c>
      <c r="G1916" s="2" t="s">
        <v>3903</v>
      </c>
      <c r="H1916" s="2" t="s">
        <v>4365</v>
      </c>
    </row>
    <row r="1917" spans="4:8" x14ac:dyDescent="0.35">
      <c r="D1917" s="95" t="str">
        <f t="shared" si="29"/>
        <v/>
      </c>
      <c r="F1917" s="2" t="s">
        <v>3904</v>
      </c>
      <c r="G1917" s="2" t="s">
        <v>3905</v>
      </c>
      <c r="H1917" s="2" t="s">
        <v>4365</v>
      </c>
    </row>
    <row r="1918" spans="4:8" x14ac:dyDescent="0.35">
      <c r="D1918" s="95" t="str">
        <f t="shared" si="29"/>
        <v/>
      </c>
      <c r="F1918" s="2" t="s">
        <v>3906</v>
      </c>
      <c r="G1918" s="2" t="s">
        <v>3907</v>
      </c>
      <c r="H1918" s="2" t="s">
        <v>4365</v>
      </c>
    </row>
    <row r="1919" spans="4:8" x14ac:dyDescent="0.35">
      <c r="D1919" s="95" t="str">
        <f t="shared" si="29"/>
        <v/>
      </c>
      <c r="F1919" s="2" t="s">
        <v>3908</v>
      </c>
      <c r="G1919" s="2" t="s">
        <v>3909</v>
      </c>
      <c r="H1919" s="2" t="s">
        <v>4365</v>
      </c>
    </row>
    <row r="1920" spans="4:8" x14ac:dyDescent="0.35">
      <c r="D1920" s="95" t="str">
        <f t="shared" si="29"/>
        <v/>
      </c>
      <c r="F1920" s="2" t="s">
        <v>3910</v>
      </c>
      <c r="G1920" s="2" t="s">
        <v>3911</v>
      </c>
      <c r="H1920" s="2" t="s">
        <v>4365</v>
      </c>
    </row>
    <row r="1921" spans="4:8" x14ac:dyDescent="0.35">
      <c r="D1921" s="95" t="str">
        <f t="shared" si="29"/>
        <v/>
      </c>
      <c r="F1921" s="2" t="s">
        <v>3912</v>
      </c>
      <c r="G1921" s="2" t="s">
        <v>3913</v>
      </c>
      <c r="H1921" s="2" t="s">
        <v>4365</v>
      </c>
    </row>
    <row r="1922" spans="4:8" x14ac:dyDescent="0.35">
      <c r="D1922" s="95" t="str">
        <f t="shared" si="29"/>
        <v/>
      </c>
      <c r="F1922" s="2" t="s">
        <v>3914</v>
      </c>
      <c r="G1922" s="2" t="s">
        <v>3915</v>
      </c>
      <c r="H1922" s="2" t="s">
        <v>4365</v>
      </c>
    </row>
    <row r="1923" spans="4:8" x14ac:dyDescent="0.35">
      <c r="D1923" s="95" t="str">
        <f t="shared" si="29"/>
        <v/>
      </c>
      <c r="F1923" s="2" t="s">
        <v>3916</v>
      </c>
      <c r="G1923" s="2" t="s">
        <v>3917</v>
      </c>
      <c r="H1923" s="2" t="s">
        <v>4365</v>
      </c>
    </row>
    <row r="1924" spans="4:8" x14ac:dyDescent="0.35">
      <c r="D1924" s="95" t="str">
        <f t="shared" si="29"/>
        <v/>
      </c>
      <c r="F1924" s="2" t="s">
        <v>3918</v>
      </c>
      <c r="G1924" s="2" t="s">
        <v>3919</v>
      </c>
      <c r="H1924" s="2" t="s">
        <v>4365</v>
      </c>
    </row>
    <row r="1925" spans="4:8" x14ac:dyDescent="0.35">
      <c r="D1925" s="95" t="str">
        <f t="shared" si="29"/>
        <v/>
      </c>
      <c r="F1925" s="2" t="s">
        <v>3920</v>
      </c>
      <c r="G1925" s="2" t="s">
        <v>3921</v>
      </c>
      <c r="H1925" s="2" t="s">
        <v>4365</v>
      </c>
    </row>
    <row r="1926" spans="4:8" x14ac:dyDescent="0.35">
      <c r="D1926" s="95" t="str">
        <f t="shared" si="29"/>
        <v/>
      </c>
      <c r="F1926" s="2" t="s">
        <v>3922</v>
      </c>
      <c r="G1926" s="2" t="s">
        <v>3923</v>
      </c>
      <c r="H1926" s="2" t="s">
        <v>4365</v>
      </c>
    </row>
    <row r="1927" spans="4:8" x14ac:dyDescent="0.35">
      <c r="D1927" s="95" t="str">
        <f t="shared" si="29"/>
        <v/>
      </c>
      <c r="F1927" s="2" t="s">
        <v>3924</v>
      </c>
      <c r="G1927" s="2" t="s">
        <v>3925</v>
      </c>
      <c r="H1927" s="2" t="s">
        <v>4365</v>
      </c>
    </row>
    <row r="1928" spans="4:8" x14ac:dyDescent="0.35">
      <c r="D1928" s="95" t="str">
        <f t="shared" ref="D1928:D1991" si="30">IFERROR(INDEX($F$6:$G$1048576,MATCH($C1928,$G$6:$G$1048576,0),MATCH($D$6,$F$6:$G$6,0)),"")</f>
        <v/>
      </c>
      <c r="F1928" s="2" t="s">
        <v>3926</v>
      </c>
      <c r="G1928" s="2" t="s">
        <v>3927</v>
      </c>
      <c r="H1928" s="2" t="s">
        <v>4365</v>
      </c>
    </row>
    <row r="1929" spans="4:8" x14ac:dyDescent="0.35">
      <c r="D1929" s="95" t="str">
        <f t="shared" si="30"/>
        <v/>
      </c>
      <c r="F1929" s="2" t="s">
        <v>3928</v>
      </c>
      <c r="G1929" s="2" t="s">
        <v>3929</v>
      </c>
      <c r="H1929" s="2" t="s">
        <v>4365</v>
      </c>
    </row>
    <row r="1930" spans="4:8" x14ac:dyDescent="0.35">
      <c r="D1930" s="95" t="str">
        <f t="shared" si="30"/>
        <v/>
      </c>
      <c r="F1930" s="2" t="s">
        <v>3930</v>
      </c>
      <c r="G1930" s="2" t="s">
        <v>3931</v>
      </c>
      <c r="H1930" s="2" t="s">
        <v>4365</v>
      </c>
    </row>
    <row r="1931" spans="4:8" x14ac:dyDescent="0.35">
      <c r="D1931" s="95" t="str">
        <f t="shared" si="30"/>
        <v/>
      </c>
      <c r="F1931" s="2" t="s">
        <v>3932</v>
      </c>
      <c r="G1931" s="2" t="s">
        <v>3933</v>
      </c>
      <c r="H1931" s="2" t="s">
        <v>4365</v>
      </c>
    </row>
    <row r="1932" spans="4:8" x14ac:dyDescent="0.35">
      <c r="D1932" s="95" t="str">
        <f t="shared" si="30"/>
        <v/>
      </c>
      <c r="F1932" s="2" t="s">
        <v>3934</v>
      </c>
      <c r="G1932" s="2" t="s">
        <v>3935</v>
      </c>
      <c r="H1932" s="2" t="s">
        <v>4365</v>
      </c>
    </row>
    <row r="1933" spans="4:8" x14ac:dyDescent="0.35">
      <c r="D1933" s="95" t="str">
        <f t="shared" si="30"/>
        <v/>
      </c>
      <c r="F1933" s="2" t="s">
        <v>3936</v>
      </c>
      <c r="G1933" s="2" t="s">
        <v>3937</v>
      </c>
      <c r="H1933" s="2" t="s">
        <v>4365</v>
      </c>
    </row>
    <row r="1934" spans="4:8" x14ac:dyDescent="0.35">
      <c r="D1934" s="95" t="str">
        <f t="shared" si="30"/>
        <v/>
      </c>
      <c r="F1934" s="2" t="s">
        <v>3938</v>
      </c>
      <c r="G1934" s="2" t="s">
        <v>3939</v>
      </c>
      <c r="H1934" s="2" t="s">
        <v>4365</v>
      </c>
    </row>
    <row r="1935" spans="4:8" x14ac:dyDescent="0.35">
      <c r="D1935" s="95" t="str">
        <f t="shared" si="30"/>
        <v/>
      </c>
      <c r="F1935" s="2" t="s">
        <v>3940</v>
      </c>
      <c r="G1935" s="2" t="s">
        <v>3941</v>
      </c>
      <c r="H1935" s="2" t="s">
        <v>4365</v>
      </c>
    </row>
    <row r="1936" spans="4:8" x14ac:dyDescent="0.35">
      <c r="D1936" s="95" t="str">
        <f t="shared" si="30"/>
        <v/>
      </c>
      <c r="F1936" s="2" t="s">
        <v>3942</v>
      </c>
      <c r="G1936" s="2" t="s">
        <v>3943</v>
      </c>
      <c r="H1936" s="2" t="s">
        <v>4365</v>
      </c>
    </row>
    <row r="1937" spans="4:8" x14ac:dyDescent="0.35">
      <c r="D1937" s="95" t="str">
        <f t="shared" si="30"/>
        <v/>
      </c>
      <c r="F1937" s="2" t="s">
        <v>3944</v>
      </c>
      <c r="G1937" s="2" t="s">
        <v>3945</v>
      </c>
      <c r="H1937" s="2" t="s">
        <v>4365</v>
      </c>
    </row>
    <row r="1938" spans="4:8" x14ac:dyDescent="0.35">
      <c r="D1938" s="95" t="str">
        <f t="shared" si="30"/>
        <v/>
      </c>
      <c r="F1938" s="2" t="s">
        <v>3946</v>
      </c>
      <c r="G1938" s="2" t="s">
        <v>3947</v>
      </c>
      <c r="H1938" s="2" t="s">
        <v>4365</v>
      </c>
    </row>
    <row r="1939" spans="4:8" x14ac:dyDescent="0.35">
      <c r="D1939" s="95" t="str">
        <f t="shared" si="30"/>
        <v/>
      </c>
      <c r="F1939" s="2" t="s">
        <v>3948</v>
      </c>
      <c r="G1939" s="2" t="s">
        <v>3949</v>
      </c>
      <c r="H1939" s="2" t="s">
        <v>4365</v>
      </c>
    </row>
    <row r="1940" spans="4:8" x14ac:dyDescent="0.35">
      <c r="D1940" s="95" t="str">
        <f t="shared" si="30"/>
        <v/>
      </c>
      <c r="F1940" s="2" t="s">
        <v>3950</v>
      </c>
      <c r="G1940" s="2" t="s">
        <v>3951</v>
      </c>
      <c r="H1940" s="2" t="s">
        <v>4365</v>
      </c>
    </row>
    <row r="1941" spans="4:8" x14ac:dyDescent="0.35">
      <c r="D1941" s="95" t="str">
        <f t="shared" si="30"/>
        <v/>
      </c>
      <c r="F1941" s="2" t="s">
        <v>3952</v>
      </c>
      <c r="G1941" s="2" t="s">
        <v>3953</v>
      </c>
      <c r="H1941" s="2" t="s">
        <v>4365</v>
      </c>
    </row>
    <row r="1942" spans="4:8" x14ac:dyDescent="0.35">
      <c r="D1942" s="95" t="str">
        <f t="shared" si="30"/>
        <v/>
      </c>
      <c r="F1942" s="2" t="s">
        <v>3954</v>
      </c>
      <c r="G1942" s="2" t="s">
        <v>3955</v>
      </c>
      <c r="H1942" s="2" t="s">
        <v>4365</v>
      </c>
    </row>
    <row r="1943" spans="4:8" x14ac:dyDescent="0.35">
      <c r="D1943" s="95" t="str">
        <f t="shared" si="30"/>
        <v/>
      </c>
      <c r="F1943" s="2" t="s">
        <v>3956</v>
      </c>
      <c r="G1943" s="2" t="s">
        <v>3957</v>
      </c>
      <c r="H1943" s="2" t="s">
        <v>4365</v>
      </c>
    </row>
    <row r="1944" spans="4:8" x14ac:dyDescent="0.35">
      <c r="D1944" s="95" t="str">
        <f t="shared" si="30"/>
        <v/>
      </c>
      <c r="F1944" s="2" t="s">
        <v>3958</v>
      </c>
      <c r="G1944" s="2" t="s">
        <v>3959</v>
      </c>
      <c r="H1944" s="2" t="s">
        <v>4365</v>
      </c>
    </row>
    <row r="1945" spans="4:8" x14ac:dyDescent="0.35">
      <c r="D1945" s="95" t="str">
        <f t="shared" si="30"/>
        <v/>
      </c>
      <c r="F1945" s="2" t="s">
        <v>3960</v>
      </c>
      <c r="G1945" s="2" t="s">
        <v>3961</v>
      </c>
      <c r="H1945" s="2" t="s">
        <v>4365</v>
      </c>
    </row>
    <row r="1946" spans="4:8" x14ac:dyDescent="0.35">
      <c r="D1946" s="95" t="str">
        <f t="shared" si="30"/>
        <v/>
      </c>
      <c r="F1946" s="2" t="s">
        <v>3962</v>
      </c>
      <c r="G1946" s="2" t="s">
        <v>3963</v>
      </c>
      <c r="H1946" s="2" t="s">
        <v>4365</v>
      </c>
    </row>
    <row r="1947" spans="4:8" x14ac:dyDescent="0.35">
      <c r="D1947" s="95" t="str">
        <f t="shared" si="30"/>
        <v/>
      </c>
      <c r="F1947" s="2" t="s">
        <v>3964</v>
      </c>
      <c r="G1947" s="2" t="s">
        <v>3965</v>
      </c>
      <c r="H1947" s="2" t="s">
        <v>4365</v>
      </c>
    </row>
    <row r="1948" spans="4:8" x14ac:dyDescent="0.35">
      <c r="D1948" s="95" t="str">
        <f t="shared" si="30"/>
        <v/>
      </c>
      <c r="F1948" s="2" t="s">
        <v>3966</v>
      </c>
      <c r="G1948" s="2" t="s">
        <v>3967</v>
      </c>
      <c r="H1948" s="2" t="s">
        <v>4365</v>
      </c>
    </row>
    <row r="1949" spans="4:8" x14ac:dyDescent="0.35">
      <c r="D1949" s="95" t="str">
        <f t="shared" si="30"/>
        <v/>
      </c>
      <c r="F1949" s="2" t="s">
        <v>3968</v>
      </c>
      <c r="G1949" s="2" t="s">
        <v>3969</v>
      </c>
      <c r="H1949" s="2" t="s">
        <v>4365</v>
      </c>
    </row>
    <row r="1950" spans="4:8" x14ac:dyDescent="0.35">
      <c r="D1950" s="95" t="str">
        <f t="shared" si="30"/>
        <v/>
      </c>
      <c r="F1950" s="2" t="s">
        <v>3970</v>
      </c>
      <c r="G1950" s="2" t="s">
        <v>3971</v>
      </c>
      <c r="H1950" s="2" t="s">
        <v>4365</v>
      </c>
    </row>
    <row r="1951" spans="4:8" x14ac:dyDescent="0.35">
      <c r="D1951" s="95" t="str">
        <f t="shared" si="30"/>
        <v/>
      </c>
      <c r="F1951" s="2" t="s">
        <v>3972</v>
      </c>
      <c r="G1951" s="2" t="s">
        <v>3973</v>
      </c>
      <c r="H1951" s="2" t="s">
        <v>4365</v>
      </c>
    </row>
    <row r="1952" spans="4:8" x14ac:dyDescent="0.35">
      <c r="D1952" s="95" t="str">
        <f t="shared" si="30"/>
        <v/>
      </c>
      <c r="F1952" s="2" t="s">
        <v>3974</v>
      </c>
      <c r="G1952" s="2" t="s">
        <v>3975</v>
      </c>
      <c r="H1952" s="2" t="s">
        <v>4365</v>
      </c>
    </row>
    <row r="1953" spans="4:8" x14ac:dyDescent="0.35">
      <c r="D1953" s="95" t="str">
        <f t="shared" si="30"/>
        <v/>
      </c>
      <c r="F1953" s="2" t="s">
        <v>3976</v>
      </c>
      <c r="G1953" s="2" t="s">
        <v>3977</v>
      </c>
      <c r="H1953" s="2" t="s">
        <v>4365</v>
      </c>
    </row>
    <row r="1954" spans="4:8" x14ac:dyDescent="0.35">
      <c r="D1954" s="95" t="str">
        <f t="shared" si="30"/>
        <v/>
      </c>
      <c r="F1954" s="2" t="s">
        <v>3978</v>
      </c>
      <c r="G1954" s="2" t="s">
        <v>3979</v>
      </c>
      <c r="H1954" s="2" t="s">
        <v>4365</v>
      </c>
    </row>
    <row r="1955" spans="4:8" x14ac:dyDescent="0.35">
      <c r="D1955" s="95" t="str">
        <f t="shared" si="30"/>
        <v/>
      </c>
      <c r="F1955" s="2" t="s">
        <v>3980</v>
      </c>
      <c r="G1955" s="2" t="s">
        <v>3981</v>
      </c>
      <c r="H1955" s="2" t="s">
        <v>4365</v>
      </c>
    </row>
    <row r="1956" spans="4:8" x14ac:dyDescent="0.35">
      <c r="D1956" s="95" t="str">
        <f t="shared" si="30"/>
        <v/>
      </c>
      <c r="F1956" s="2" t="s">
        <v>3982</v>
      </c>
      <c r="G1956" s="2" t="s">
        <v>3983</v>
      </c>
      <c r="H1956" s="2" t="s">
        <v>4365</v>
      </c>
    </row>
    <row r="1957" spans="4:8" x14ac:dyDescent="0.35">
      <c r="D1957" s="95" t="str">
        <f t="shared" si="30"/>
        <v/>
      </c>
      <c r="F1957" s="2" t="s">
        <v>3984</v>
      </c>
      <c r="G1957" s="2" t="s">
        <v>3985</v>
      </c>
      <c r="H1957" s="2" t="s">
        <v>4365</v>
      </c>
    </row>
    <row r="1958" spans="4:8" x14ac:dyDescent="0.35">
      <c r="D1958" s="95" t="str">
        <f t="shared" si="30"/>
        <v/>
      </c>
      <c r="F1958" s="2" t="s">
        <v>3986</v>
      </c>
      <c r="G1958" s="2" t="s">
        <v>3987</v>
      </c>
      <c r="H1958" s="2" t="s">
        <v>4365</v>
      </c>
    </row>
    <row r="1959" spans="4:8" x14ac:dyDescent="0.35">
      <c r="D1959" s="95" t="str">
        <f t="shared" si="30"/>
        <v/>
      </c>
      <c r="F1959" s="2" t="s">
        <v>3988</v>
      </c>
      <c r="G1959" s="2" t="s">
        <v>3989</v>
      </c>
      <c r="H1959" s="2" t="s">
        <v>4365</v>
      </c>
    </row>
    <row r="1960" spans="4:8" x14ac:dyDescent="0.35">
      <c r="D1960" s="95" t="str">
        <f t="shared" si="30"/>
        <v/>
      </c>
      <c r="F1960" s="2" t="s">
        <v>3990</v>
      </c>
      <c r="G1960" s="2" t="s">
        <v>3991</v>
      </c>
      <c r="H1960" s="2" t="s">
        <v>4365</v>
      </c>
    </row>
    <row r="1961" spans="4:8" x14ac:dyDescent="0.35">
      <c r="D1961" s="95" t="str">
        <f t="shared" si="30"/>
        <v/>
      </c>
      <c r="F1961" s="2" t="s">
        <v>3992</v>
      </c>
      <c r="G1961" s="2" t="s">
        <v>3993</v>
      </c>
      <c r="H1961" s="2" t="s">
        <v>4365</v>
      </c>
    </row>
    <row r="1962" spans="4:8" x14ac:dyDescent="0.35">
      <c r="D1962" s="95" t="str">
        <f t="shared" si="30"/>
        <v/>
      </c>
      <c r="F1962" s="2" t="s">
        <v>3994</v>
      </c>
      <c r="G1962" s="2" t="s">
        <v>3995</v>
      </c>
      <c r="H1962" s="2" t="s">
        <v>4365</v>
      </c>
    </row>
    <row r="1963" spans="4:8" x14ac:dyDescent="0.35">
      <c r="D1963" s="95" t="str">
        <f t="shared" si="30"/>
        <v/>
      </c>
      <c r="F1963" s="2" t="s">
        <v>3996</v>
      </c>
      <c r="G1963" s="2" t="s">
        <v>3997</v>
      </c>
      <c r="H1963" s="2" t="s">
        <v>4365</v>
      </c>
    </row>
    <row r="1964" spans="4:8" x14ac:dyDescent="0.35">
      <c r="D1964" s="95" t="str">
        <f t="shared" si="30"/>
        <v/>
      </c>
      <c r="F1964" s="2" t="s">
        <v>3998</v>
      </c>
      <c r="G1964" s="2" t="s">
        <v>3999</v>
      </c>
      <c r="H1964" s="2" t="s">
        <v>4365</v>
      </c>
    </row>
    <row r="1965" spans="4:8" x14ac:dyDescent="0.35">
      <c r="D1965" s="95" t="str">
        <f t="shared" si="30"/>
        <v/>
      </c>
      <c r="F1965" s="2" t="s">
        <v>4000</v>
      </c>
      <c r="G1965" s="2" t="s">
        <v>4001</v>
      </c>
      <c r="H1965" s="2" t="s">
        <v>4365</v>
      </c>
    </row>
    <row r="1966" spans="4:8" x14ac:dyDescent="0.35">
      <c r="D1966" s="95" t="str">
        <f t="shared" si="30"/>
        <v/>
      </c>
      <c r="F1966" s="2" t="s">
        <v>4002</v>
      </c>
      <c r="G1966" s="2" t="s">
        <v>4003</v>
      </c>
      <c r="H1966" s="2" t="s">
        <v>4365</v>
      </c>
    </row>
    <row r="1967" spans="4:8" x14ac:dyDescent="0.35">
      <c r="D1967" s="95" t="str">
        <f t="shared" si="30"/>
        <v/>
      </c>
      <c r="F1967" s="2" t="s">
        <v>4004</v>
      </c>
      <c r="G1967" s="2" t="s">
        <v>4005</v>
      </c>
      <c r="H1967" s="2" t="s">
        <v>4365</v>
      </c>
    </row>
    <row r="1968" spans="4:8" x14ac:dyDescent="0.35">
      <c r="D1968" s="95" t="str">
        <f t="shared" si="30"/>
        <v/>
      </c>
      <c r="F1968" s="2" t="s">
        <v>4006</v>
      </c>
      <c r="G1968" s="2" t="s">
        <v>4007</v>
      </c>
      <c r="H1968" s="2" t="s">
        <v>4365</v>
      </c>
    </row>
    <row r="1969" spans="4:8" x14ac:dyDescent="0.35">
      <c r="D1969" s="95" t="str">
        <f t="shared" si="30"/>
        <v/>
      </c>
      <c r="F1969" s="2" t="s">
        <v>4008</v>
      </c>
      <c r="G1969" s="2" t="s">
        <v>4009</v>
      </c>
      <c r="H1969" s="2" t="s">
        <v>4365</v>
      </c>
    </row>
    <row r="1970" spans="4:8" x14ac:dyDescent="0.35">
      <c r="D1970" s="95" t="str">
        <f t="shared" si="30"/>
        <v/>
      </c>
      <c r="F1970" s="2" t="s">
        <v>4010</v>
      </c>
      <c r="G1970" s="2" t="s">
        <v>4011</v>
      </c>
      <c r="H1970" s="2" t="s">
        <v>4365</v>
      </c>
    </row>
    <row r="1971" spans="4:8" x14ac:dyDescent="0.35">
      <c r="D1971" s="95" t="str">
        <f t="shared" si="30"/>
        <v/>
      </c>
      <c r="F1971" s="2" t="s">
        <v>4012</v>
      </c>
      <c r="G1971" s="2" t="s">
        <v>4013</v>
      </c>
      <c r="H1971" s="2" t="s">
        <v>4365</v>
      </c>
    </row>
    <row r="1972" spans="4:8" x14ac:dyDescent="0.35">
      <c r="D1972" s="95" t="str">
        <f t="shared" si="30"/>
        <v/>
      </c>
      <c r="F1972" s="2" t="s">
        <v>4014</v>
      </c>
      <c r="G1972" s="2" t="s">
        <v>4015</v>
      </c>
      <c r="H1972" s="2" t="s">
        <v>4365</v>
      </c>
    </row>
    <row r="1973" spans="4:8" x14ac:dyDescent="0.35">
      <c r="D1973" s="95" t="str">
        <f t="shared" si="30"/>
        <v/>
      </c>
      <c r="F1973" s="2" t="s">
        <v>4016</v>
      </c>
      <c r="G1973" s="2" t="s">
        <v>4017</v>
      </c>
      <c r="H1973" s="2" t="s">
        <v>4365</v>
      </c>
    </row>
    <row r="1974" spans="4:8" x14ac:dyDescent="0.35">
      <c r="D1974" s="95" t="str">
        <f t="shared" si="30"/>
        <v/>
      </c>
      <c r="F1974" s="2" t="s">
        <v>4018</v>
      </c>
      <c r="G1974" s="2" t="s">
        <v>4019</v>
      </c>
      <c r="H1974" s="2" t="s">
        <v>4365</v>
      </c>
    </row>
    <row r="1975" spans="4:8" x14ac:dyDescent="0.35">
      <c r="D1975" s="95" t="str">
        <f t="shared" si="30"/>
        <v/>
      </c>
      <c r="F1975" s="2" t="s">
        <v>4020</v>
      </c>
      <c r="G1975" s="2" t="s">
        <v>4021</v>
      </c>
      <c r="H1975" s="2" t="s">
        <v>4365</v>
      </c>
    </row>
    <row r="1976" spans="4:8" x14ac:dyDescent="0.35">
      <c r="D1976" s="95" t="str">
        <f t="shared" si="30"/>
        <v/>
      </c>
      <c r="F1976" s="2" t="s">
        <v>4022</v>
      </c>
      <c r="G1976" s="2" t="s">
        <v>4023</v>
      </c>
      <c r="H1976" s="2" t="s">
        <v>4365</v>
      </c>
    </row>
    <row r="1977" spans="4:8" x14ac:dyDescent="0.35">
      <c r="D1977" s="95" t="str">
        <f t="shared" si="30"/>
        <v/>
      </c>
      <c r="F1977" s="2" t="s">
        <v>4024</v>
      </c>
      <c r="G1977" s="2" t="s">
        <v>4025</v>
      </c>
      <c r="H1977" s="2" t="s">
        <v>4365</v>
      </c>
    </row>
    <row r="1978" spans="4:8" x14ac:dyDescent="0.35">
      <c r="D1978" s="95" t="str">
        <f t="shared" si="30"/>
        <v/>
      </c>
      <c r="F1978" s="2" t="s">
        <v>4026</v>
      </c>
      <c r="G1978" s="2" t="s">
        <v>4027</v>
      </c>
      <c r="H1978" s="2" t="s">
        <v>4365</v>
      </c>
    </row>
    <row r="1979" spans="4:8" x14ac:dyDescent="0.35">
      <c r="D1979" s="95" t="str">
        <f t="shared" si="30"/>
        <v/>
      </c>
      <c r="F1979" s="2" t="s">
        <v>4028</v>
      </c>
      <c r="G1979" s="2" t="s">
        <v>4029</v>
      </c>
      <c r="H1979" s="2" t="s">
        <v>4365</v>
      </c>
    </row>
    <row r="1980" spans="4:8" x14ac:dyDescent="0.35">
      <c r="D1980" s="95" t="str">
        <f t="shared" si="30"/>
        <v/>
      </c>
      <c r="F1980" s="2" t="s">
        <v>4030</v>
      </c>
      <c r="G1980" s="2" t="s">
        <v>4031</v>
      </c>
      <c r="H1980" s="2" t="s">
        <v>4365</v>
      </c>
    </row>
    <row r="1981" spans="4:8" x14ac:dyDescent="0.35">
      <c r="D1981" s="95" t="str">
        <f t="shared" si="30"/>
        <v/>
      </c>
      <c r="F1981" s="2" t="s">
        <v>4032</v>
      </c>
      <c r="G1981" s="2" t="s">
        <v>4033</v>
      </c>
      <c r="H1981" s="2" t="s">
        <v>4365</v>
      </c>
    </row>
    <row r="1982" spans="4:8" x14ac:dyDescent="0.35">
      <c r="D1982" s="95" t="str">
        <f t="shared" si="30"/>
        <v/>
      </c>
      <c r="F1982" s="2" t="s">
        <v>4034</v>
      </c>
      <c r="G1982" s="2" t="s">
        <v>4035</v>
      </c>
      <c r="H1982" s="2" t="s">
        <v>4365</v>
      </c>
    </row>
    <row r="1983" spans="4:8" x14ac:dyDescent="0.35">
      <c r="D1983" s="95" t="str">
        <f t="shared" si="30"/>
        <v/>
      </c>
      <c r="F1983" s="2" t="s">
        <v>4036</v>
      </c>
      <c r="G1983" s="2" t="s">
        <v>4037</v>
      </c>
      <c r="H1983" s="2" t="s">
        <v>4365</v>
      </c>
    </row>
    <row r="1984" spans="4:8" x14ac:dyDescent="0.35">
      <c r="D1984" s="95" t="str">
        <f t="shared" si="30"/>
        <v/>
      </c>
      <c r="F1984" s="2" t="s">
        <v>4038</v>
      </c>
      <c r="G1984" s="2" t="s">
        <v>4039</v>
      </c>
      <c r="H1984" s="2" t="s">
        <v>4365</v>
      </c>
    </row>
    <row r="1985" spans="4:8" x14ac:dyDescent="0.35">
      <c r="D1985" s="95" t="str">
        <f t="shared" si="30"/>
        <v/>
      </c>
      <c r="F1985" s="2" t="s">
        <v>4040</v>
      </c>
      <c r="G1985" s="2" t="s">
        <v>4041</v>
      </c>
      <c r="H1985" s="2" t="s">
        <v>4365</v>
      </c>
    </row>
    <row r="1986" spans="4:8" x14ac:dyDescent="0.35">
      <c r="D1986" s="95" t="str">
        <f t="shared" si="30"/>
        <v/>
      </c>
      <c r="F1986" s="2" t="s">
        <v>4042</v>
      </c>
      <c r="G1986" s="2" t="s">
        <v>4043</v>
      </c>
      <c r="H1986" s="2" t="s">
        <v>4365</v>
      </c>
    </row>
    <row r="1987" spans="4:8" x14ac:dyDescent="0.35">
      <c r="D1987" s="95" t="str">
        <f t="shared" si="30"/>
        <v/>
      </c>
      <c r="F1987" s="2" t="s">
        <v>4044</v>
      </c>
      <c r="G1987" s="2" t="s">
        <v>4045</v>
      </c>
      <c r="H1987" s="2" t="s">
        <v>4365</v>
      </c>
    </row>
    <row r="1988" spans="4:8" x14ac:dyDescent="0.35">
      <c r="D1988" s="95" t="str">
        <f t="shared" si="30"/>
        <v/>
      </c>
      <c r="F1988" s="2" t="s">
        <v>4046</v>
      </c>
      <c r="G1988" s="2" t="s">
        <v>4047</v>
      </c>
      <c r="H1988" s="2" t="s">
        <v>4365</v>
      </c>
    </row>
    <row r="1989" spans="4:8" x14ac:dyDescent="0.35">
      <c r="D1989" s="95" t="str">
        <f t="shared" si="30"/>
        <v/>
      </c>
      <c r="F1989" s="2" t="s">
        <v>4048</v>
      </c>
      <c r="G1989" s="2" t="s">
        <v>4049</v>
      </c>
      <c r="H1989" s="2" t="s">
        <v>4365</v>
      </c>
    </row>
    <row r="1990" spans="4:8" x14ac:dyDescent="0.35">
      <c r="D1990" s="95" t="str">
        <f t="shared" si="30"/>
        <v/>
      </c>
      <c r="F1990" s="2" t="s">
        <v>4050</v>
      </c>
      <c r="G1990" s="2" t="s">
        <v>4051</v>
      </c>
      <c r="H1990" s="2" t="s">
        <v>4365</v>
      </c>
    </row>
    <row r="1991" spans="4:8" x14ac:dyDescent="0.35">
      <c r="D1991" s="95" t="str">
        <f t="shared" si="30"/>
        <v/>
      </c>
      <c r="F1991" s="2" t="s">
        <v>4052</v>
      </c>
      <c r="G1991" s="2" t="s">
        <v>4053</v>
      </c>
      <c r="H1991" s="2" t="s">
        <v>4365</v>
      </c>
    </row>
    <row r="1992" spans="4:8" x14ac:dyDescent="0.35">
      <c r="D1992" s="95" t="str">
        <f t="shared" ref="D1992:D2055" si="31">IFERROR(INDEX($F$6:$G$1048576,MATCH($C1992,$G$6:$G$1048576,0),MATCH($D$6,$F$6:$G$6,0)),"")</f>
        <v/>
      </c>
      <c r="F1992" s="2" t="s">
        <v>4054</v>
      </c>
      <c r="G1992" s="2" t="s">
        <v>4055</v>
      </c>
      <c r="H1992" s="2" t="s">
        <v>4365</v>
      </c>
    </row>
    <row r="1993" spans="4:8" x14ac:dyDescent="0.35">
      <c r="D1993" s="95" t="str">
        <f t="shared" si="31"/>
        <v/>
      </c>
      <c r="F1993" s="2" t="s">
        <v>4056</v>
      </c>
      <c r="G1993" s="2" t="s">
        <v>4057</v>
      </c>
      <c r="H1993" s="2" t="s">
        <v>4365</v>
      </c>
    </row>
    <row r="1994" spans="4:8" x14ac:dyDescent="0.35">
      <c r="D1994" s="95" t="str">
        <f t="shared" si="31"/>
        <v/>
      </c>
      <c r="F1994" s="2" t="s">
        <v>4058</v>
      </c>
      <c r="G1994" s="2" t="s">
        <v>4059</v>
      </c>
      <c r="H1994" s="2" t="s">
        <v>4365</v>
      </c>
    </row>
    <row r="1995" spans="4:8" x14ac:dyDescent="0.35">
      <c r="D1995" s="95" t="str">
        <f t="shared" si="31"/>
        <v/>
      </c>
      <c r="F1995" s="2" t="s">
        <v>4060</v>
      </c>
      <c r="G1995" s="2" t="s">
        <v>4061</v>
      </c>
      <c r="H1995" s="2" t="s">
        <v>4365</v>
      </c>
    </row>
    <row r="1996" spans="4:8" x14ac:dyDescent="0.35">
      <c r="D1996" s="95" t="str">
        <f t="shared" si="31"/>
        <v/>
      </c>
      <c r="F1996" s="2" t="s">
        <v>4062</v>
      </c>
      <c r="G1996" s="2" t="s">
        <v>4063</v>
      </c>
      <c r="H1996" s="2" t="s">
        <v>4365</v>
      </c>
    </row>
    <row r="1997" spans="4:8" x14ac:dyDescent="0.35">
      <c r="D1997" s="95" t="str">
        <f t="shared" si="31"/>
        <v/>
      </c>
      <c r="F1997" s="2" t="s">
        <v>4064</v>
      </c>
      <c r="G1997" s="2" t="s">
        <v>4065</v>
      </c>
      <c r="H1997" s="2" t="s">
        <v>4365</v>
      </c>
    </row>
    <row r="1998" spans="4:8" x14ac:dyDescent="0.35">
      <c r="D1998" s="95" t="str">
        <f t="shared" si="31"/>
        <v/>
      </c>
      <c r="F1998" s="2" t="s">
        <v>4066</v>
      </c>
      <c r="G1998" s="2" t="s">
        <v>4067</v>
      </c>
      <c r="H1998" s="2" t="s">
        <v>4365</v>
      </c>
    </row>
    <row r="1999" spans="4:8" x14ac:dyDescent="0.35">
      <c r="D1999" s="95" t="str">
        <f t="shared" si="31"/>
        <v/>
      </c>
      <c r="F1999" s="2" t="s">
        <v>4068</v>
      </c>
      <c r="G1999" s="2" t="s">
        <v>4069</v>
      </c>
      <c r="H1999" s="2" t="s">
        <v>4365</v>
      </c>
    </row>
    <row r="2000" spans="4:8" x14ac:dyDescent="0.35">
      <c r="D2000" s="95" t="str">
        <f t="shared" si="31"/>
        <v/>
      </c>
      <c r="F2000" s="2" t="s">
        <v>4070</v>
      </c>
      <c r="G2000" s="2" t="s">
        <v>4071</v>
      </c>
      <c r="H2000" s="2" t="s">
        <v>4365</v>
      </c>
    </row>
    <row r="2001" spans="4:8" x14ac:dyDescent="0.35">
      <c r="D2001" s="95" t="str">
        <f t="shared" si="31"/>
        <v/>
      </c>
      <c r="F2001" s="2" t="s">
        <v>4072</v>
      </c>
      <c r="G2001" s="2" t="s">
        <v>4073</v>
      </c>
      <c r="H2001" s="2" t="s">
        <v>4365</v>
      </c>
    </row>
    <row r="2002" spans="4:8" x14ac:dyDescent="0.35">
      <c r="D2002" s="95" t="str">
        <f t="shared" si="31"/>
        <v/>
      </c>
      <c r="F2002" s="2" t="s">
        <v>4074</v>
      </c>
      <c r="G2002" s="2" t="s">
        <v>4075</v>
      </c>
      <c r="H2002" s="2" t="s">
        <v>4365</v>
      </c>
    </row>
    <row r="2003" spans="4:8" x14ac:dyDescent="0.35">
      <c r="D2003" s="95" t="str">
        <f t="shared" si="31"/>
        <v/>
      </c>
      <c r="F2003" s="2" t="s">
        <v>4076</v>
      </c>
      <c r="G2003" s="2" t="s">
        <v>4077</v>
      </c>
      <c r="H2003" s="2" t="s">
        <v>4365</v>
      </c>
    </row>
    <row r="2004" spans="4:8" x14ac:dyDescent="0.35">
      <c r="D2004" s="95" t="str">
        <f t="shared" si="31"/>
        <v/>
      </c>
      <c r="F2004" s="2" t="s">
        <v>4078</v>
      </c>
      <c r="G2004" s="2" t="s">
        <v>4079</v>
      </c>
      <c r="H2004" s="2" t="s">
        <v>4365</v>
      </c>
    </row>
    <row r="2005" spans="4:8" x14ac:dyDescent="0.35">
      <c r="D2005" s="95" t="str">
        <f t="shared" si="31"/>
        <v/>
      </c>
      <c r="F2005" s="2" t="s">
        <v>4080</v>
      </c>
      <c r="G2005" s="2" t="s">
        <v>4081</v>
      </c>
      <c r="H2005" s="2" t="s">
        <v>4365</v>
      </c>
    </row>
    <row r="2006" spans="4:8" x14ac:dyDescent="0.35">
      <c r="D2006" s="95" t="str">
        <f t="shared" si="31"/>
        <v/>
      </c>
      <c r="F2006" s="2" t="s">
        <v>4082</v>
      </c>
      <c r="G2006" s="2" t="s">
        <v>4083</v>
      </c>
      <c r="H2006" s="2" t="s">
        <v>4365</v>
      </c>
    </row>
    <row r="2007" spans="4:8" x14ac:dyDescent="0.35">
      <c r="D2007" s="95" t="str">
        <f t="shared" si="31"/>
        <v/>
      </c>
      <c r="F2007" s="2" t="s">
        <v>4084</v>
      </c>
      <c r="G2007" s="2" t="s">
        <v>4085</v>
      </c>
      <c r="H2007" s="2" t="s">
        <v>4365</v>
      </c>
    </row>
    <row r="2008" spans="4:8" x14ac:dyDescent="0.35">
      <c r="D2008" s="95" t="str">
        <f t="shared" si="31"/>
        <v/>
      </c>
      <c r="F2008" s="2" t="s">
        <v>4086</v>
      </c>
      <c r="G2008" s="2" t="s">
        <v>4087</v>
      </c>
      <c r="H2008" s="2" t="s">
        <v>4365</v>
      </c>
    </row>
    <row r="2009" spans="4:8" x14ac:dyDescent="0.35">
      <c r="D2009" s="95" t="str">
        <f t="shared" si="31"/>
        <v/>
      </c>
      <c r="F2009" s="2" t="s">
        <v>4088</v>
      </c>
      <c r="G2009" s="2" t="s">
        <v>4089</v>
      </c>
      <c r="H2009" s="2" t="s">
        <v>4365</v>
      </c>
    </row>
    <row r="2010" spans="4:8" x14ac:dyDescent="0.35">
      <c r="D2010" s="95" t="str">
        <f t="shared" si="31"/>
        <v/>
      </c>
      <c r="F2010" s="2" t="s">
        <v>4090</v>
      </c>
      <c r="G2010" s="2" t="s">
        <v>4091</v>
      </c>
      <c r="H2010" s="2" t="s">
        <v>4365</v>
      </c>
    </row>
    <row r="2011" spans="4:8" x14ac:dyDescent="0.35">
      <c r="D2011" s="95" t="str">
        <f t="shared" si="31"/>
        <v/>
      </c>
      <c r="F2011" s="2" t="s">
        <v>4092</v>
      </c>
      <c r="G2011" s="2" t="s">
        <v>4093</v>
      </c>
      <c r="H2011" s="2" t="s">
        <v>4365</v>
      </c>
    </row>
    <row r="2012" spans="4:8" x14ac:dyDescent="0.35">
      <c r="D2012" s="95" t="str">
        <f t="shared" si="31"/>
        <v/>
      </c>
      <c r="F2012" s="2" t="s">
        <v>4094</v>
      </c>
      <c r="G2012" s="2" t="s">
        <v>4095</v>
      </c>
      <c r="H2012" s="2" t="s">
        <v>4365</v>
      </c>
    </row>
    <row r="2013" spans="4:8" x14ac:dyDescent="0.35">
      <c r="D2013" s="95" t="str">
        <f t="shared" si="31"/>
        <v/>
      </c>
      <c r="F2013" s="2" t="s">
        <v>4096</v>
      </c>
      <c r="G2013" s="2" t="s">
        <v>4097</v>
      </c>
      <c r="H2013" s="2" t="s">
        <v>4365</v>
      </c>
    </row>
    <row r="2014" spans="4:8" x14ac:dyDescent="0.35">
      <c r="D2014" s="95" t="str">
        <f t="shared" si="31"/>
        <v/>
      </c>
      <c r="F2014" s="2" t="s">
        <v>4098</v>
      </c>
      <c r="G2014" s="2" t="s">
        <v>4099</v>
      </c>
      <c r="H2014" s="2" t="s">
        <v>4365</v>
      </c>
    </row>
    <row r="2015" spans="4:8" x14ac:dyDescent="0.35">
      <c r="D2015" s="95" t="str">
        <f t="shared" si="31"/>
        <v/>
      </c>
      <c r="F2015" s="2" t="s">
        <v>4100</v>
      </c>
      <c r="G2015" s="2" t="s">
        <v>4101</v>
      </c>
      <c r="H2015" s="2" t="s">
        <v>4365</v>
      </c>
    </row>
    <row r="2016" spans="4:8" x14ac:dyDescent="0.35">
      <c r="D2016" s="95" t="str">
        <f t="shared" si="31"/>
        <v/>
      </c>
      <c r="F2016" s="2" t="s">
        <v>4102</v>
      </c>
      <c r="G2016" s="2" t="s">
        <v>4103</v>
      </c>
      <c r="H2016" s="2" t="s">
        <v>4365</v>
      </c>
    </row>
    <row r="2017" spans="4:8" x14ac:dyDescent="0.35">
      <c r="D2017" s="95" t="str">
        <f t="shared" si="31"/>
        <v/>
      </c>
      <c r="F2017" s="2" t="s">
        <v>4104</v>
      </c>
      <c r="G2017" s="2" t="s">
        <v>4105</v>
      </c>
      <c r="H2017" s="2" t="s">
        <v>4365</v>
      </c>
    </row>
    <row r="2018" spans="4:8" x14ac:dyDescent="0.35">
      <c r="D2018" s="95" t="str">
        <f t="shared" si="31"/>
        <v/>
      </c>
      <c r="F2018" s="2" t="s">
        <v>4106</v>
      </c>
      <c r="G2018" s="2" t="s">
        <v>4107</v>
      </c>
      <c r="H2018" s="2" t="s">
        <v>4365</v>
      </c>
    </row>
    <row r="2019" spans="4:8" x14ac:dyDescent="0.35">
      <c r="D2019" s="95" t="str">
        <f t="shared" si="31"/>
        <v/>
      </c>
      <c r="F2019" s="2" t="s">
        <v>4108</v>
      </c>
      <c r="G2019" s="2" t="s">
        <v>4109</v>
      </c>
      <c r="H2019" s="2" t="s">
        <v>4365</v>
      </c>
    </row>
    <row r="2020" spans="4:8" x14ac:dyDescent="0.35">
      <c r="D2020" s="95" t="str">
        <f t="shared" si="31"/>
        <v/>
      </c>
      <c r="F2020" s="2" t="s">
        <v>4110</v>
      </c>
      <c r="G2020" s="2" t="s">
        <v>4111</v>
      </c>
      <c r="H2020" s="2" t="s">
        <v>4366</v>
      </c>
    </row>
    <row r="2021" spans="4:8" x14ac:dyDescent="0.35">
      <c r="D2021" s="95" t="str">
        <f t="shared" si="31"/>
        <v/>
      </c>
      <c r="F2021" s="2" t="s">
        <v>4112</v>
      </c>
      <c r="G2021" s="2" t="s">
        <v>4113</v>
      </c>
      <c r="H2021" s="2" t="s">
        <v>4366</v>
      </c>
    </row>
    <row r="2022" spans="4:8" x14ac:dyDescent="0.35">
      <c r="D2022" s="95" t="str">
        <f t="shared" si="31"/>
        <v/>
      </c>
      <c r="F2022" s="2" t="s">
        <v>4114</v>
      </c>
      <c r="G2022" s="2" t="s">
        <v>4115</v>
      </c>
      <c r="H2022" s="2" t="s">
        <v>4366</v>
      </c>
    </row>
    <row r="2023" spans="4:8" x14ac:dyDescent="0.35">
      <c r="D2023" s="95" t="str">
        <f t="shared" si="31"/>
        <v/>
      </c>
      <c r="F2023" s="2" t="s">
        <v>4116</v>
      </c>
      <c r="G2023" s="2" t="s">
        <v>4117</v>
      </c>
      <c r="H2023" s="2" t="s">
        <v>4366</v>
      </c>
    </row>
    <row r="2024" spans="4:8" x14ac:dyDescent="0.35">
      <c r="D2024" s="95" t="str">
        <f t="shared" si="31"/>
        <v/>
      </c>
      <c r="F2024" s="2" t="s">
        <v>4118</v>
      </c>
      <c r="G2024" s="2" t="s">
        <v>4119</v>
      </c>
      <c r="H2024" s="2" t="s">
        <v>4366</v>
      </c>
    </row>
    <row r="2025" spans="4:8" x14ac:dyDescent="0.35">
      <c r="D2025" s="95" t="str">
        <f t="shared" si="31"/>
        <v/>
      </c>
      <c r="F2025" s="2" t="s">
        <v>4120</v>
      </c>
      <c r="G2025" s="2" t="s">
        <v>4121</v>
      </c>
      <c r="H2025" s="2" t="s">
        <v>4366</v>
      </c>
    </row>
    <row r="2026" spans="4:8" x14ac:dyDescent="0.35">
      <c r="D2026" s="95" t="str">
        <f t="shared" si="31"/>
        <v/>
      </c>
      <c r="F2026" s="2" t="s">
        <v>4122</v>
      </c>
      <c r="G2026" s="2" t="s">
        <v>4123</v>
      </c>
      <c r="H2026" s="2" t="s">
        <v>4366</v>
      </c>
    </row>
    <row r="2027" spans="4:8" x14ac:dyDescent="0.35">
      <c r="D2027" s="95" t="str">
        <f t="shared" si="31"/>
        <v/>
      </c>
      <c r="F2027" s="2" t="s">
        <v>4124</v>
      </c>
      <c r="G2027" s="2" t="s">
        <v>4125</v>
      </c>
      <c r="H2027" s="2" t="s">
        <v>4366</v>
      </c>
    </row>
    <row r="2028" spans="4:8" x14ac:dyDescent="0.35">
      <c r="D2028" s="95" t="str">
        <f t="shared" si="31"/>
        <v/>
      </c>
      <c r="F2028" s="2" t="s">
        <v>4126</v>
      </c>
      <c r="G2028" s="2" t="s">
        <v>4127</v>
      </c>
      <c r="H2028" s="2" t="s">
        <v>4366</v>
      </c>
    </row>
    <row r="2029" spans="4:8" x14ac:dyDescent="0.35">
      <c r="D2029" s="95" t="str">
        <f t="shared" si="31"/>
        <v/>
      </c>
      <c r="F2029" s="2" t="s">
        <v>4128</v>
      </c>
      <c r="G2029" s="2" t="s">
        <v>4129</v>
      </c>
      <c r="H2029" s="2" t="s">
        <v>4366</v>
      </c>
    </row>
    <row r="2030" spans="4:8" x14ac:dyDescent="0.35">
      <c r="D2030" s="95" t="str">
        <f t="shared" si="31"/>
        <v/>
      </c>
      <c r="F2030" s="2" t="s">
        <v>4130</v>
      </c>
      <c r="G2030" s="2" t="s">
        <v>4131</v>
      </c>
      <c r="H2030" s="2" t="s">
        <v>4366</v>
      </c>
    </row>
    <row r="2031" spans="4:8" x14ac:dyDescent="0.35">
      <c r="D2031" s="95" t="str">
        <f t="shared" si="31"/>
        <v/>
      </c>
      <c r="F2031" s="2" t="s">
        <v>4132</v>
      </c>
      <c r="G2031" s="2" t="s">
        <v>4133</v>
      </c>
      <c r="H2031" s="2" t="s">
        <v>4366</v>
      </c>
    </row>
    <row r="2032" spans="4:8" x14ac:dyDescent="0.35">
      <c r="D2032" s="95" t="str">
        <f t="shared" si="31"/>
        <v/>
      </c>
      <c r="F2032" s="2" t="s">
        <v>4134</v>
      </c>
      <c r="G2032" s="2" t="s">
        <v>4135</v>
      </c>
      <c r="H2032" s="2" t="s">
        <v>4366</v>
      </c>
    </row>
    <row r="2033" spans="4:8" x14ac:dyDescent="0.35">
      <c r="D2033" s="95" t="str">
        <f t="shared" si="31"/>
        <v/>
      </c>
      <c r="F2033" s="2" t="s">
        <v>4136</v>
      </c>
      <c r="G2033" s="2" t="s">
        <v>4137</v>
      </c>
      <c r="H2033" s="2" t="s">
        <v>4366</v>
      </c>
    </row>
    <row r="2034" spans="4:8" x14ac:dyDescent="0.35">
      <c r="D2034" s="95" t="str">
        <f t="shared" si="31"/>
        <v/>
      </c>
      <c r="F2034" s="2" t="s">
        <v>4138</v>
      </c>
      <c r="G2034" s="2" t="s">
        <v>4139</v>
      </c>
      <c r="H2034" s="2" t="s">
        <v>4366</v>
      </c>
    </row>
    <row r="2035" spans="4:8" x14ac:dyDescent="0.35">
      <c r="D2035" s="95" t="str">
        <f t="shared" si="31"/>
        <v/>
      </c>
      <c r="F2035" s="2" t="s">
        <v>4140</v>
      </c>
      <c r="G2035" s="2" t="s">
        <v>4141</v>
      </c>
      <c r="H2035" s="2" t="s">
        <v>4366</v>
      </c>
    </row>
    <row r="2036" spans="4:8" x14ac:dyDescent="0.35">
      <c r="D2036" s="95" t="str">
        <f t="shared" si="31"/>
        <v/>
      </c>
      <c r="F2036" s="2" t="s">
        <v>4142</v>
      </c>
      <c r="G2036" s="2" t="s">
        <v>4143</v>
      </c>
      <c r="H2036" s="2" t="s">
        <v>4366</v>
      </c>
    </row>
    <row r="2037" spans="4:8" x14ac:dyDescent="0.35">
      <c r="D2037" s="95" t="str">
        <f t="shared" si="31"/>
        <v/>
      </c>
      <c r="F2037" s="2" t="s">
        <v>4144</v>
      </c>
      <c r="G2037" s="2" t="s">
        <v>4145</v>
      </c>
      <c r="H2037" s="2" t="s">
        <v>4366</v>
      </c>
    </row>
    <row r="2038" spans="4:8" x14ac:dyDescent="0.35">
      <c r="D2038" s="95" t="str">
        <f t="shared" si="31"/>
        <v/>
      </c>
      <c r="F2038" s="2" t="s">
        <v>4146</v>
      </c>
      <c r="G2038" s="2" t="s">
        <v>4147</v>
      </c>
      <c r="H2038" s="2" t="s">
        <v>4366</v>
      </c>
    </row>
    <row r="2039" spans="4:8" x14ac:dyDescent="0.35">
      <c r="D2039" s="95" t="str">
        <f t="shared" si="31"/>
        <v/>
      </c>
      <c r="F2039" s="2" t="s">
        <v>4148</v>
      </c>
      <c r="G2039" s="2" t="s">
        <v>4149</v>
      </c>
      <c r="H2039" s="2" t="s">
        <v>4366</v>
      </c>
    </row>
    <row r="2040" spans="4:8" x14ac:dyDescent="0.35">
      <c r="D2040" s="95" t="str">
        <f t="shared" si="31"/>
        <v/>
      </c>
      <c r="F2040" s="2" t="s">
        <v>4150</v>
      </c>
      <c r="G2040" s="2" t="s">
        <v>4151</v>
      </c>
      <c r="H2040" s="2" t="s">
        <v>4366</v>
      </c>
    </row>
    <row r="2041" spans="4:8" x14ac:dyDescent="0.35">
      <c r="D2041" s="95" t="str">
        <f t="shared" si="31"/>
        <v/>
      </c>
      <c r="F2041" s="2" t="s">
        <v>4152</v>
      </c>
      <c r="G2041" s="2" t="s">
        <v>4153</v>
      </c>
      <c r="H2041" s="2" t="s">
        <v>4366</v>
      </c>
    </row>
    <row r="2042" spans="4:8" x14ac:dyDescent="0.35">
      <c r="D2042" s="95" t="str">
        <f t="shared" si="31"/>
        <v/>
      </c>
      <c r="F2042" s="2" t="s">
        <v>4154</v>
      </c>
      <c r="G2042" s="2" t="s">
        <v>4155</v>
      </c>
      <c r="H2042" s="2" t="s">
        <v>4366</v>
      </c>
    </row>
    <row r="2043" spans="4:8" x14ac:dyDescent="0.35">
      <c r="D2043" s="95" t="str">
        <f t="shared" si="31"/>
        <v/>
      </c>
      <c r="F2043" s="2" t="s">
        <v>4156</v>
      </c>
      <c r="G2043" s="2" t="s">
        <v>4157</v>
      </c>
      <c r="H2043" s="2" t="s">
        <v>4366</v>
      </c>
    </row>
    <row r="2044" spans="4:8" x14ac:dyDescent="0.35">
      <c r="D2044" s="95" t="str">
        <f t="shared" si="31"/>
        <v/>
      </c>
      <c r="F2044" s="2" t="s">
        <v>4158</v>
      </c>
      <c r="G2044" s="2" t="s">
        <v>4159</v>
      </c>
      <c r="H2044" s="2" t="s">
        <v>4366</v>
      </c>
    </row>
    <row r="2045" spans="4:8" x14ac:dyDescent="0.35">
      <c r="D2045" s="95" t="str">
        <f t="shared" si="31"/>
        <v/>
      </c>
      <c r="F2045" s="2" t="s">
        <v>4160</v>
      </c>
      <c r="G2045" s="2" t="s">
        <v>4161</v>
      </c>
      <c r="H2045" s="2" t="s">
        <v>4366</v>
      </c>
    </row>
    <row r="2046" spans="4:8" x14ac:dyDescent="0.35">
      <c r="D2046" s="95" t="str">
        <f t="shared" si="31"/>
        <v/>
      </c>
      <c r="F2046" s="2" t="s">
        <v>4162</v>
      </c>
      <c r="G2046" s="2" t="s">
        <v>4163</v>
      </c>
      <c r="H2046" s="2" t="s">
        <v>4366</v>
      </c>
    </row>
    <row r="2047" spans="4:8" x14ac:dyDescent="0.35">
      <c r="D2047" s="95" t="str">
        <f t="shared" si="31"/>
        <v/>
      </c>
      <c r="F2047" s="2" t="s">
        <v>4164</v>
      </c>
      <c r="G2047" s="2" t="s">
        <v>4165</v>
      </c>
      <c r="H2047" s="2" t="s">
        <v>4366</v>
      </c>
    </row>
    <row r="2048" spans="4:8" x14ac:dyDescent="0.35">
      <c r="D2048" s="95" t="str">
        <f t="shared" si="31"/>
        <v/>
      </c>
      <c r="F2048" s="2" t="s">
        <v>4166</v>
      </c>
      <c r="G2048" s="2" t="s">
        <v>4167</v>
      </c>
      <c r="H2048" s="2" t="s">
        <v>4366</v>
      </c>
    </row>
    <row r="2049" spans="4:8" x14ac:dyDescent="0.35">
      <c r="D2049" s="95" t="str">
        <f t="shared" si="31"/>
        <v/>
      </c>
      <c r="F2049" s="2" t="s">
        <v>4168</v>
      </c>
      <c r="G2049" s="2" t="s">
        <v>4169</v>
      </c>
      <c r="H2049" s="2" t="s">
        <v>4366</v>
      </c>
    </row>
    <row r="2050" spans="4:8" x14ac:dyDescent="0.35">
      <c r="D2050" s="95" t="str">
        <f t="shared" si="31"/>
        <v/>
      </c>
      <c r="F2050" s="2" t="s">
        <v>4170</v>
      </c>
      <c r="G2050" s="2" t="s">
        <v>4171</v>
      </c>
      <c r="H2050" s="2" t="s">
        <v>4366</v>
      </c>
    </row>
    <row r="2051" spans="4:8" x14ac:dyDescent="0.35">
      <c r="D2051" s="95" t="str">
        <f t="shared" si="31"/>
        <v/>
      </c>
      <c r="F2051" s="2" t="s">
        <v>4172</v>
      </c>
      <c r="G2051" s="2" t="s">
        <v>4173</v>
      </c>
      <c r="H2051" s="2" t="s">
        <v>4366</v>
      </c>
    </row>
    <row r="2052" spans="4:8" x14ac:dyDescent="0.35">
      <c r="D2052" s="95" t="str">
        <f t="shared" si="31"/>
        <v/>
      </c>
      <c r="F2052" s="2" t="s">
        <v>4174</v>
      </c>
      <c r="G2052" s="2" t="s">
        <v>4175</v>
      </c>
      <c r="H2052" s="2" t="s">
        <v>4366</v>
      </c>
    </row>
    <row r="2053" spans="4:8" x14ac:dyDescent="0.35">
      <c r="D2053" s="95" t="str">
        <f t="shared" si="31"/>
        <v/>
      </c>
      <c r="F2053" s="2" t="s">
        <v>4176</v>
      </c>
      <c r="G2053" s="2" t="s">
        <v>4177</v>
      </c>
      <c r="H2053" s="2" t="s">
        <v>4366</v>
      </c>
    </row>
    <row r="2054" spans="4:8" x14ac:dyDescent="0.35">
      <c r="D2054" s="95" t="str">
        <f t="shared" si="31"/>
        <v/>
      </c>
      <c r="F2054" s="2" t="s">
        <v>4178</v>
      </c>
      <c r="G2054" s="2" t="s">
        <v>4179</v>
      </c>
      <c r="H2054" s="2" t="s">
        <v>4366</v>
      </c>
    </row>
    <row r="2055" spans="4:8" x14ac:dyDescent="0.35">
      <c r="D2055" s="95" t="str">
        <f t="shared" si="31"/>
        <v/>
      </c>
      <c r="F2055" s="2" t="s">
        <v>4180</v>
      </c>
      <c r="G2055" s="2" t="s">
        <v>4181</v>
      </c>
      <c r="H2055" s="2" t="s">
        <v>4366</v>
      </c>
    </row>
    <row r="2056" spans="4:8" x14ac:dyDescent="0.35">
      <c r="D2056" s="95" t="str">
        <f t="shared" ref="D2056:D2119" si="32">IFERROR(INDEX($F$6:$G$1048576,MATCH($C2056,$G$6:$G$1048576,0),MATCH($D$6,$F$6:$G$6,0)),"")</f>
        <v/>
      </c>
      <c r="F2056" s="2" t="s">
        <v>4182</v>
      </c>
      <c r="G2056" s="2" t="s">
        <v>4183</v>
      </c>
      <c r="H2056" s="2" t="s">
        <v>4366</v>
      </c>
    </row>
    <row r="2057" spans="4:8" x14ac:dyDescent="0.35">
      <c r="D2057" s="95" t="str">
        <f t="shared" si="32"/>
        <v/>
      </c>
      <c r="F2057" s="2" t="s">
        <v>4184</v>
      </c>
      <c r="G2057" s="2" t="s">
        <v>4185</v>
      </c>
      <c r="H2057" s="2" t="s">
        <v>4366</v>
      </c>
    </row>
    <row r="2058" spans="4:8" x14ac:dyDescent="0.35">
      <c r="D2058" s="95" t="str">
        <f t="shared" si="32"/>
        <v/>
      </c>
      <c r="F2058" s="2" t="s">
        <v>4186</v>
      </c>
      <c r="G2058" s="2" t="s">
        <v>4187</v>
      </c>
      <c r="H2058" s="2" t="s">
        <v>4366</v>
      </c>
    </row>
    <row r="2059" spans="4:8" x14ac:dyDescent="0.35">
      <c r="D2059" s="95" t="str">
        <f t="shared" si="32"/>
        <v/>
      </c>
      <c r="F2059" s="2" t="s">
        <v>4188</v>
      </c>
      <c r="G2059" s="2" t="s">
        <v>4189</v>
      </c>
      <c r="H2059" s="2" t="s">
        <v>4366</v>
      </c>
    </row>
    <row r="2060" spans="4:8" x14ac:dyDescent="0.35">
      <c r="D2060" s="95" t="str">
        <f t="shared" si="32"/>
        <v/>
      </c>
      <c r="F2060" s="2" t="s">
        <v>4190</v>
      </c>
      <c r="G2060" s="2" t="s">
        <v>4191</v>
      </c>
      <c r="H2060" s="2" t="s">
        <v>4366</v>
      </c>
    </row>
    <row r="2061" spans="4:8" x14ac:dyDescent="0.35">
      <c r="D2061" s="95" t="str">
        <f t="shared" si="32"/>
        <v/>
      </c>
      <c r="F2061" s="2" t="s">
        <v>4192</v>
      </c>
      <c r="G2061" s="2" t="s">
        <v>4193</v>
      </c>
      <c r="H2061" s="2" t="s">
        <v>4366</v>
      </c>
    </row>
    <row r="2062" spans="4:8" x14ac:dyDescent="0.35">
      <c r="D2062" s="95" t="str">
        <f t="shared" si="32"/>
        <v/>
      </c>
      <c r="F2062" s="2" t="s">
        <v>4194</v>
      </c>
      <c r="G2062" s="2" t="s">
        <v>4195</v>
      </c>
      <c r="H2062" s="2" t="s">
        <v>4366</v>
      </c>
    </row>
    <row r="2063" spans="4:8" x14ac:dyDescent="0.35">
      <c r="D2063" s="95" t="str">
        <f t="shared" si="32"/>
        <v/>
      </c>
      <c r="F2063" s="2" t="s">
        <v>4196</v>
      </c>
      <c r="G2063" s="2" t="s">
        <v>4197</v>
      </c>
      <c r="H2063" s="2" t="s">
        <v>4366</v>
      </c>
    </row>
    <row r="2064" spans="4:8" x14ac:dyDescent="0.35">
      <c r="D2064" s="95" t="str">
        <f t="shared" si="32"/>
        <v/>
      </c>
      <c r="F2064" s="2" t="s">
        <v>4198</v>
      </c>
      <c r="G2064" s="2" t="s">
        <v>4199</v>
      </c>
      <c r="H2064" s="2" t="s">
        <v>4366</v>
      </c>
    </row>
    <row r="2065" spans="4:8" x14ac:dyDescent="0.35">
      <c r="D2065" s="95" t="str">
        <f t="shared" si="32"/>
        <v/>
      </c>
      <c r="F2065" s="2" t="s">
        <v>4200</v>
      </c>
      <c r="G2065" s="2" t="s">
        <v>4201</v>
      </c>
      <c r="H2065" s="2" t="s">
        <v>4366</v>
      </c>
    </row>
    <row r="2066" spans="4:8" x14ac:dyDescent="0.35">
      <c r="D2066" s="95" t="str">
        <f t="shared" si="32"/>
        <v/>
      </c>
      <c r="F2066" s="2" t="s">
        <v>4202</v>
      </c>
      <c r="G2066" s="2" t="s">
        <v>4203</v>
      </c>
      <c r="H2066" s="2" t="s">
        <v>4366</v>
      </c>
    </row>
    <row r="2067" spans="4:8" x14ac:dyDescent="0.35">
      <c r="D2067" s="95" t="str">
        <f t="shared" si="32"/>
        <v/>
      </c>
      <c r="F2067" s="2" t="s">
        <v>4204</v>
      </c>
      <c r="G2067" s="2" t="s">
        <v>4205</v>
      </c>
      <c r="H2067" s="2" t="s">
        <v>4366</v>
      </c>
    </row>
    <row r="2068" spans="4:8" x14ac:dyDescent="0.35">
      <c r="D2068" s="95" t="str">
        <f t="shared" si="32"/>
        <v/>
      </c>
      <c r="F2068" s="2" t="s">
        <v>4206</v>
      </c>
      <c r="G2068" s="2" t="s">
        <v>4207</v>
      </c>
      <c r="H2068" s="2" t="s">
        <v>4366</v>
      </c>
    </row>
    <row r="2069" spans="4:8" x14ac:dyDescent="0.35">
      <c r="D2069" s="95" t="str">
        <f t="shared" si="32"/>
        <v/>
      </c>
      <c r="F2069" s="2" t="s">
        <v>4208</v>
      </c>
      <c r="G2069" s="2" t="s">
        <v>4209</v>
      </c>
      <c r="H2069" s="2" t="s">
        <v>4366</v>
      </c>
    </row>
    <row r="2070" spans="4:8" x14ac:dyDescent="0.35">
      <c r="D2070" s="95" t="str">
        <f t="shared" si="32"/>
        <v/>
      </c>
      <c r="F2070" s="2" t="s">
        <v>4210</v>
      </c>
      <c r="G2070" s="2" t="s">
        <v>4211</v>
      </c>
      <c r="H2070" s="2" t="s">
        <v>4366</v>
      </c>
    </row>
    <row r="2071" spans="4:8" x14ac:dyDescent="0.35">
      <c r="D2071" s="95" t="str">
        <f t="shared" si="32"/>
        <v/>
      </c>
      <c r="F2071" s="2" t="s">
        <v>4212</v>
      </c>
      <c r="G2071" s="2" t="s">
        <v>4213</v>
      </c>
      <c r="H2071" s="2" t="s">
        <v>4366</v>
      </c>
    </row>
    <row r="2072" spans="4:8" x14ac:dyDescent="0.35">
      <c r="D2072" s="95" t="str">
        <f t="shared" si="32"/>
        <v/>
      </c>
      <c r="F2072" s="2" t="s">
        <v>4214</v>
      </c>
      <c r="G2072" s="2" t="s">
        <v>4215</v>
      </c>
      <c r="H2072" s="2" t="s">
        <v>4366</v>
      </c>
    </row>
    <row r="2073" spans="4:8" x14ac:dyDescent="0.35">
      <c r="D2073" s="95" t="str">
        <f t="shared" si="32"/>
        <v/>
      </c>
      <c r="F2073" s="2" t="s">
        <v>4216</v>
      </c>
      <c r="G2073" s="2" t="s">
        <v>4217</v>
      </c>
      <c r="H2073" s="2" t="s">
        <v>4366</v>
      </c>
    </row>
    <row r="2074" spans="4:8" x14ac:dyDescent="0.35">
      <c r="D2074" s="95" t="str">
        <f t="shared" si="32"/>
        <v/>
      </c>
      <c r="F2074" s="2" t="s">
        <v>4218</v>
      </c>
      <c r="G2074" s="2" t="s">
        <v>4219</v>
      </c>
      <c r="H2074" s="2" t="s">
        <v>4366</v>
      </c>
    </row>
    <row r="2075" spans="4:8" x14ac:dyDescent="0.35">
      <c r="D2075" s="95" t="str">
        <f t="shared" si="32"/>
        <v/>
      </c>
      <c r="F2075" s="2" t="s">
        <v>4220</v>
      </c>
      <c r="G2075" s="2" t="s">
        <v>4221</v>
      </c>
      <c r="H2075" s="2" t="s">
        <v>4366</v>
      </c>
    </row>
    <row r="2076" spans="4:8" x14ac:dyDescent="0.35">
      <c r="D2076" s="95" t="str">
        <f t="shared" si="32"/>
        <v/>
      </c>
      <c r="F2076" s="2" t="s">
        <v>4222</v>
      </c>
      <c r="G2076" s="2" t="s">
        <v>4223</v>
      </c>
      <c r="H2076" s="2" t="s">
        <v>4366</v>
      </c>
    </row>
    <row r="2077" spans="4:8" x14ac:dyDescent="0.35">
      <c r="D2077" s="95" t="str">
        <f t="shared" si="32"/>
        <v/>
      </c>
      <c r="F2077" s="2" t="s">
        <v>4224</v>
      </c>
      <c r="G2077" s="2" t="s">
        <v>4225</v>
      </c>
      <c r="H2077" s="2" t="s">
        <v>4366</v>
      </c>
    </row>
    <row r="2078" spans="4:8" x14ac:dyDescent="0.35">
      <c r="D2078" s="95" t="str">
        <f t="shared" si="32"/>
        <v/>
      </c>
      <c r="F2078" s="2" t="s">
        <v>4226</v>
      </c>
      <c r="G2078" s="2" t="s">
        <v>4227</v>
      </c>
      <c r="H2078" s="2" t="s">
        <v>4366</v>
      </c>
    </row>
    <row r="2079" spans="4:8" x14ac:dyDescent="0.35">
      <c r="D2079" s="95" t="str">
        <f t="shared" si="32"/>
        <v/>
      </c>
      <c r="F2079" s="2" t="s">
        <v>4228</v>
      </c>
      <c r="G2079" s="2" t="s">
        <v>4229</v>
      </c>
      <c r="H2079" s="2" t="s">
        <v>4366</v>
      </c>
    </row>
    <row r="2080" spans="4:8" x14ac:dyDescent="0.35">
      <c r="D2080" s="95" t="str">
        <f t="shared" si="32"/>
        <v/>
      </c>
      <c r="F2080" s="2" t="s">
        <v>4230</v>
      </c>
      <c r="G2080" s="2" t="s">
        <v>4231</v>
      </c>
      <c r="H2080" s="2" t="s">
        <v>4366</v>
      </c>
    </row>
    <row r="2081" spans="4:8" x14ac:dyDescent="0.35">
      <c r="D2081" s="95" t="str">
        <f t="shared" si="32"/>
        <v/>
      </c>
      <c r="F2081" s="2" t="s">
        <v>4232</v>
      </c>
      <c r="G2081" s="2" t="s">
        <v>4233</v>
      </c>
      <c r="H2081" s="2" t="s">
        <v>4366</v>
      </c>
    </row>
    <row r="2082" spans="4:8" x14ac:dyDescent="0.35">
      <c r="D2082" s="95" t="str">
        <f t="shared" si="32"/>
        <v/>
      </c>
      <c r="F2082" s="2" t="s">
        <v>4234</v>
      </c>
      <c r="G2082" s="2" t="s">
        <v>4235</v>
      </c>
      <c r="H2082" s="2" t="s">
        <v>4366</v>
      </c>
    </row>
    <row r="2083" spans="4:8" x14ac:dyDescent="0.35">
      <c r="D2083" s="95" t="str">
        <f t="shared" si="32"/>
        <v/>
      </c>
      <c r="F2083" s="2" t="s">
        <v>4236</v>
      </c>
      <c r="G2083" s="2" t="s">
        <v>4237</v>
      </c>
      <c r="H2083" s="2" t="s">
        <v>4366</v>
      </c>
    </row>
    <row r="2084" spans="4:8" x14ac:dyDescent="0.35">
      <c r="D2084" s="95" t="str">
        <f t="shared" si="32"/>
        <v/>
      </c>
      <c r="F2084" s="2" t="s">
        <v>4238</v>
      </c>
      <c r="G2084" s="2" t="s">
        <v>4239</v>
      </c>
      <c r="H2084" s="2" t="s">
        <v>4366</v>
      </c>
    </row>
    <row r="2085" spans="4:8" x14ac:dyDescent="0.35">
      <c r="D2085" s="95" t="str">
        <f t="shared" si="32"/>
        <v/>
      </c>
      <c r="F2085" s="2" t="s">
        <v>4240</v>
      </c>
      <c r="G2085" s="2" t="s">
        <v>4241</v>
      </c>
      <c r="H2085" s="2" t="s">
        <v>4366</v>
      </c>
    </row>
    <row r="2086" spans="4:8" x14ac:dyDescent="0.35">
      <c r="D2086" s="95" t="str">
        <f t="shared" si="32"/>
        <v/>
      </c>
      <c r="F2086" s="2" t="s">
        <v>4242</v>
      </c>
      <c r="G2086" s="2" t="s">
        <v>4243</v>
      </c>
      <c r="H2086" s="2" t="s">
        <v>4366</v>
      </c>
    </row>
    <row r="2087" spans="4:8" x14ac:dyDescent="0.35">
      <c r="D2087" s="95" t="str">
        <f t="shared" si="32"/>
        <v/>
      </c>
      <c r="F2087" s="2" t="s">
        <v>4244</v>
      </c>
      <c r="G2087" s="2" t="s">
        <v>4245</v>
      </c>
      <c r="H2087" s="2" t="s">
        <v>4366</v>
      </c>
    </row>
    <row r="2088" spans="4:8" x14ac:dyDescent="0.35">
      <c r="D2088" s="95" t="str">
        <f t="shared" si="32"/>
        <v/>
      </c>
      <c r="F2088" s="2" t="s">
        <v>4246</v>
      </c>
      <c r="G2088" s="2" t="s">
        <v>4247</v>
      </c>
      <c r="H2088" s="2" t="s">
        <v>4366</v>
      </c>
    </row>
    <row r="2089" spans="4:8" x14ac:dyDescent="0.35">
      <c r="D2089" s="95" t="str">
        <f t="shared" si="32"/>
        <v/>
      </c>
      <c r="F2089" s="2" t="s">
        <v>4248</v>
      </c>
      <c r="G2089" s="2" t="s">
        <v>4249</v>
      </c>
      <c r="H2089" s="2" t="s">
        <v>4366</v>
      </c>
    </row>
    <row r="2090" spans="4:8" x14ac:dyDescent="0.35">
      <c r="D2090" s="95" t="str">
        <f t="shared" si="32"/>
        <v/>
      </c>
      <c r="F2090" s="2" t="s">
        <v>4250</v>
      </c>
      <c r="G2090" s="2" t="s">
        <v>4251</v>
      </c>
      <c r="H2090" s="2" t="s">
        <v>4366</v>
      </c>
    </row>
    <row r="2091" spans="4:8" x14ac:dyDescent="0.35">
      <c r="D2091" s="95" t="str">
        <f t="shared" si="32"/>
        <v/>
      </c>
      <c r="F2091" s="2" t="s">
        <v>4252</v>
      </c>
      <c r="G2091" s="2" t="s">
        <v>4253</v>
      </c>
      <c r="H2091" s="2" t="s">
        <v>4366</v>
      </c>
    </row>
    <row r="2092" spans="4:8" x14ac:dyDescent="0.35">
      <c r="D2092" s="95" t="str">
        <f t="shared" si="32"/>
        <v/>
      </c>
      <c r="F2092" s="2" t="s">
        <v>4254</v>
      </c>
      <c r="G2092" s="2" t="s">
        <v>4255</v>
      </c>
      <c r="H2092" s="2" t="s">
        <v>4366</v>
      </c>
    </row>
    <row r="2093" spans="4:8" x14ac:dyDescent="0.35">
      <c r="D2093" s="95" t="str">
        <f t="shared" si="32"/>
        <v/>
      </c>
      <c r="F2093" s="2" t="s">
        <v>4256</v>
      </c>
      <c r="G2093" s="2" t="s">
        <v>4257</v>
      </c>
      <c r="H2093" s="2" t="s">
        <v>4366</v>
      </c>
    </row>
    <row r="2094" spans="4:8" x14ac:dyDescent="0.35">
      <c r="D2094" s="95" t="str">
        <f t="shared" si="32"/>
        <v/>
      </c>
      <c r="F2094" s="2" t="s">
        <v>4258</v>
      </c>
      <c r="G2094" s="2" t="s">
        <v>4259</v>
      </c>
      <c r="H2094" s="2" t="s">
        <v>4366</v>
      </c>
    </row>
    <row r="2095" spans="4:8" x14ac:dyDescent="0.35">
      <c r="D2095" s="95" t="str">
        <f t="shared" si="32"/>
        <v/>
      </c>
      <c r="F2095" s="2" t="s">
        <v>4260</v>
      </c>
      <c r="G2095" s="2" t="s">
        <v>4261</v>
      </c>
      <c r="H2095" s="2" t="s">
        <v>4366</v>
      </c>
    </row>
    <row r="2096" spans="4:8" x14ac:dyDescent="0.35">
      <c r="D2096" s="95" t="str">
        <f t="shared" si="32"/>
        <v/>
      </c>
      <c r="F2096" s="2" t="s">
        <v>4262</v>
      </c>
      <c r="G2096" s="2" t="s">
        <v>4263</v>
      </c>
      <c r="H2096" s="2" t="s">
        <v>4366</v>
      </c>
    </row>
    <row r="2097" spans="4:8" x14ac:dyDescent="0.35">
      <c r="D2097" s="95" t="str">
        <f t="shared" si="32"/>
        <v/>
      </c>
      <c r="F2097" s="2" t="s">
        <v>4264</v>
      </c>
      <c r="G2097" s="2" t="s">
        <v>4265</v>
      </c>
      <c r="H2097" s="2" t="s">
        <v>4366</v>
      </c>
    </row>
    <row r="2098" spans="4:8" x14ac:dyDescent="0.35">
      <c r="D2098" s="95" t="str">
        <f t="shared" si="32"/>
        <v/>
      </c>
      <c r="F2098" s="2" t="s">
        <v>4266</v>
      </c>
      <c r="G2098" s="2" t="s">
        <v>4267</v>
      </c>
      <c r="H2098" s="2" t="s">
        <v>4366</v>
      </c>
    </row>
    <row r="2099" spans="4:8" x14ac:dyDescent="0.35">
      <c r="D2099" s="95" t="str">
        <f t="shared" si="32"/>
        <v/>
      </c>
      <c r="F2099" s="2" t="s">
        <v>4268</v>
      </c>
      <c r="G2099" s="2" t="s">
        <v>4269</v>
      </c>
      <c r="H2099" s="2" t="s">
        <v>4366</v>
      </c>
    </row>
    <row r="2100" spans="4:8" x14ac:dyDescent="0.35">
      <c r="D2100" s="95" t="str">
        <f t="shared" si="32"/>
        <v/>
      </c>
      <c r="F2100" s="2" t="s">
        <v>4270</v>
      </c>
      <c r="G2100" s="2" t="s">
        <v>4271</v>
      </c>
      <c r="H2100" s="2" t="s">
        <v>4366</v>
      </c>
    </row>
    <row r="2101" spans="4:8" x14ac:dyDescent="0.35">
      <c r="D2101" s="95" t="str">
        <f t="shared" si="32"/>
        <v/>
      </c>
      <c r="F2101" s="2" t="s">
        <v>4272</v>
      </c>
      <c r="G2101" s="2" t="s">
        <v>4273</v>
      </c>
      <c r="H2101" s="2" t="s">
        <v>4366</v>
      </c>
    </row>
    <row r="2102" spans="4:8" x14ac:dyDescent="0.35">
      <c r="D2102" s="95" t="str">
        <f t="shared" si="32"/>
        <v/>
      </c>
      <c r="F2102" s="2" t="s">
        <v>4274</v>
      </c>
      <c r="G2102" s="2" t="s">
        <v>4275</v>
      </c>
      <c r="H2102" s="2" t="s">
        <v>4366</v>
      </c>
    </row>
    <row r="2103" spans="4:8" x14ac:dyDescent="0.35">
      <c r="D2103" s="95" t="str">
        <f t="shared" si="32"/>
        <v/>
      </c>
      <c r="F2103" s="2" t="s">
        <v>4276</v>
      </c>
      <c r="G2103" s="2" t="s">
        <v>4277</v>
      </c>
      <c r="H2103" s="2" t="s">
        <v>4366</v>
      </c>
    </row>
    <row r="2104" spans="4:8" x14ac:dyDescent="0.35">
      <c r="D2104" s="95" t="str">
        <f t="shared" si="32"/>
        <v/>
      </c>
      <c r="F2104" s="2" t="s">
        <v>4278</v>
      </c>
      <c r="G2104" s="2" t="s">
        <v>4279</v>
      </c>
      <c r="H2104" s="2" t="s">
        <v>4366</v>
      </c>
    </row>
    <row r="2105" spans="4:8" x14ac:dyDescent="0.35">
      <c r="D2105" s="95" t="str">
        <f t="shared" si="32"/>
        <v/>
      </c>
      <c r="F2105" s="2" t="s">
        <v>4280</v>
      </c>
      <c r="G2105" s="2" t="s">
        <v>4281</v>
      </c>
      <c r="H2105" s="2" t="s">
        <v>4366</v>
      </c>
    </row>
    <row r="2106" spans="4:8" x14ac:dyDescent="0.35">
      <c r="D2106" s="95" t="str">
        <f t="shared" si="32"/>
        <v/>
      </c>
      <c r="F2106" s="2" t="s">
        <v>4282</v>
      </c>
      <c r="G2106" s="2" t="s">
        <v>4283</v>
      </c>
      <c r="H2106" s="2" t="s">
        <v>4366</v>
      </c>
    </row>
    <row r="2107" spans="4:8" x14ac:dyDescent="0.35">
      <c r="D2107" s="95" t="str">
        <f t="shared" si="32"/>
        <v/>
      </c>
      <c r="F2107" s="2" t="s">
        <v>4284</v>
      </c>
      <c r="G2107" s="2" t="s">
        <v>4285</v>
      </c>
      <c r="H2107" s="2" t="s">
        <v>4366</v>
      </c>
    </row>
    <row r="2108" spans="4:8" x14ac:dyDescent="0.35">
      <c r="D2108" s="95" t="str">
        <f t="shared" si="32"/>
        <v/>
      </c>
      <c r="F2108" s="2" t="s">
        <v>4286</v>
      </c>
      <c r="G2108" s="2" t="s">
        <v>4287</v>
      </c>
      <c r="H2108" s="2" t="s">
        <v>4366</v>
      </c>
    </row>
    <row r="2109" spans="4:8" x14ac:dyDescent="0.35">
      <c r="D2109" s="95" t="str">
        <f t="shared" si="32"/>
        <v/>
      </c>
      <c r="F2109" s="2" t="s">
        <v>4288</v>
      </c>
      <c r="G2109" s="2" t="s">
        <v>4289</v>
      </c>
      <c r="H2109" s="2" t="s">
        <v>4366</v>
      </c>
    </row>
    <row r="2110" spans="4:8" x14ac:dyDescent="0.35">
      <c r="D2110" s="95" t="str">
        <f t="shared" si="32"/>
        <v/>
      </c>
      <c r="F2110" s="2" t="s">
        <v>4290</v>
      </c>
      <c r="G2110" s="2" t="s">
        <v>4291</v>
      </c>
      <c r="H2110" s="2" t="s">
        <v>4366</v>
      </c>
    </row>
    <row r="2111" spans="4:8" x14ac:dyDescent="0.35">
      <c r="D2111" s="95" t="str">
        <f t="shared" si="32"/>
        <v/>
      </c>
      <c r="F2111" s="2" t="s">
        <v>4292</v>
      </c>
      <c r="G2111" s="2" t="s">
        <v>4293</v>
      </c>
      <c r="H2111" s="2" t="s">
        <v>4366</v>
      </c>
    </row>
    <row r="2112" spans="4:8" x14ac:dyDescent="0.35">
      <c r="D2112" s="95" t="str">
        <f t="shared" si="32"/>
        <v/>
      </c>
      <c r="F2112" s="2" t="s">
        <v>4294</v>
      </c>
      <c r="G2112" s="2" t="s">
        <v>4295</v>
      </c>
      <c r="H2112" s="2" t="s">
        <v>4366</v>
      </c>
    </row>
    <row r="2113" spans="4:8" x14ac:dyDescent="0.35">
      <c r="D2113" s="95" t="str">
        <f t="shared" si="32"/>
        <v/>
      </c>
      <c r="F2113" s="2" t="s">
        <v>4296</v>
      </c>
      <c r="G2113" s="2" t="s">
        <v>4297</v>
      </c>
      <c r="H2113" s="2" t="s">
        <v>4366</v>
      </c>
    </row>
    <row r="2114" spans="4:8" x14ac:dyDescent="0.35">
      <c r="D2114" s="95" t="str">
        <f t="shared" si="32"/>
        <v/>
      </c>
      <c r="F2114" s="2" t="s">
        <v>4298</v>
      </c>
      <c r="G2114" s="2" t="s">
        <v>4299</v>
      </c>
      <c r="H2114" s="2" t="s">
        <v>4366</v>
      </c>
    </row>
    <row r="2115" spans="4:8" x14ac:dyDescent="0.35">
      <c r="D2115" s="95" t="str">
        <f t="shared" si="32"/>
        <v/>
      </c>
      <c r="F2115" s="2" t="s">
        <v>4300</v>
      </c>
      <c r="G2115" s="2" t="s">
        <v>4301</v>
      </c>
      <c r="H2115" s="2" t="s">
        <v>4366</v>
      </c>
    </row>
    <row r="2116" spans="4:8" x14ac:dyDescent="0.35">
      <c r="D2116" s="95" t="str">
        <f t="shared" si="32"/>
        <v/>
      </c>
      <c r="F2116" s="2" t="s">
        <v>4302</v>
      </c>
      <c r="G2116" s="2" t="s">
        <v>4303</v>
      </c>
      <c r="H2116" s="2" t="s">
        <v>4366</v>
      </c>
    </row>
    <row r="2117" spans="4:8" x14ac:dyDescent="0.35">
      <c r="D2117" s="95" t="str">
        <f t="shared" si="32"/>
        <v/>
      </c>
      <c r="F2117" s="2" t="s">
        <v>4304</v>
      </c>
      <c r="G2117" s="2" t="s">
        <v>4305</v>
      </c>
      <c r="H2117" s="2" t="s">
        <v>4366</v>
      </c>
    </row>
    <row r="2118" spans="4:8" x14ac:dyDescent="0.35">
      <c r="D2118" s="95" t="str">
        <f t="shared" si="32"/>
        <v/>
      </c>
      <c r="F2118" s="2" t="s">
        <v>4306</v>
      </c>
      <c r="G2118" s="2" t="s">
        <v>4307</v>
      </c>
      <c r="H2118" s="2" t="s">
        <v>4366</v>
      </c>
    </row>
    <row r="2119" spans="4:8" x14ac:dyDescent="0.35">
      <c r="D2119" s="95" t="str">
        <f t="shared" si="32"/>
        <v/>
      </c>
      <c r="F2119" s="2" t="s">
        <v>4308</v>
      </c>
      <c r="G2119" s="2" t="s">
        <v>4309</v>
      </c>
      <c r="H2119" s="2" t="s">
        <v>4366</v>
      </c>
    </row>
    <row r="2120" spans="4:8" x14ac:dyDescent="0.35">
      <c r="D2120" s="95" t="str">
        <f t="shared" ref="D2120:D2143" si="33">IFERROR(INDEX($F$6:$G$1048576,MATCH($C2120,$G$6:$G$1048576,0),MATCH($D$6,$F$6:$G$6,0)),"")</f>
        <v/>
      </c>
      <c r="F2120" s="2" t="s">
        <v>4310</v>
      </c>
      <c r="G2120" s="2" t="s">
        <v>4311</v>
      </c>
      <c r="H2120" s="2" t="s">
        <v>4366</v>
      </c>
    </row>
    <row r="2121" spans="4:8" x14ac:dyDescent="0.35">
      <c r="D2121" s="95" t="str">
        <f t="shared" si="33"/>
        <v/>
      </c>
      <c r="F2121" s="2" t="s">
        <v>4312</v>
      </c>
      <c r="G2121" s="2" t="s">
        <v>4313</v>
      </c>
      <c r="H2121" s="2" t="s">
        <v>4366</v>
      </c>
    </row>
    <row r="2122" spans="4:8" x14ac:dyDescent="0.35">
      <c r="D2122" s="95" t="str">
        <f t="shared" si="33"/>
        <v/>
      </c>
      <c r="F2122" s="2" t="s">
        <v>4314</v>
      </c>
      <c r="G2122" s="2" t="s">
        <v>4315</v>
      </c>
      <c r="H2122" s="2" t="s">
        <v>4366</v>
      </c>
    </row>
    <row r="2123" spans="4:8" x14ac:dyDescent="0.35">
      <c r="D2123" s="95" t="str">
        <f t="shared" si="33"/>
        <v/>
      </c>
      <c r="F2123" s="2" t="s">
        <v>4316</v>
      </c>
      <c r="G2123" s="2" t="s">
        <v>4317</v>
      </c>
      <c r="H2123" s="2" t="s">
        <v>4366</v>
      </c>
    </row>
    <row r="2124" spans="4:8" x14ac:dyDescent="0.35">
      <c r="D2124" s="95" t="str">
        <f t="shared" si="33"/>
        <v/>
      </c>
      <c r="F2124" s="2" t="s">
        <v>4318</v>
      </c>
      <c r="G2124" s="2" t="s">
        <v>4319</v>
      </c>
      <c r="H2124" s="2" t="s">
        <v>4366</v>
      </c>
    </row>
    <row r="2125" spans="4:8" x14ac:dyDescent="0.35">
      <c r="D2125" s="95" t="str">
        <f t="shared" si="33"/>
        <v/>
      </c>
      <c r="F2125" s="2" t="s">
        <v>4320</v>
      </c>
      <c r="G2125" s="2" t="s">
        <v>4321</v>
      </c>
      <c r="H2125" s="2" t="s">
        <v>4366</v>
      </c>
    </row>
    <row r="2126" spans="4:8" x14ac:dyDescent="0.35">
      <c r="D2126" s="95" t="str">
        <f t="shared" si="33"/>
        <v/>
      </c>
      <c r="F2126" s="2" t="s">
        <v>4322</v>
      </c>
      <c r="G2126" s="2" t="s">
        <v>4323</v>
      </c>
      <c r="H2126" s="2" t="s">
        <v>4366</v>
      </c>
    </row>
    <row r="2127" spans="4:8" x14ac:dyDescent="0.35">
      <c r="D2127" s="95" t="str">
        <f t="shared" si="33"/>
        <v/>
      </c>
      <c r="F2127" s="2" t="s">
        <v>4324</v>
      </c>
      <c r="G2127" s="2" t="s">
        <v>4325</v>
      </c>
      <c r="H2127" s="2" t="s">
        <v>4366</v>
      </c>
    </row>
    <row r="2128" spans="4:8" x14ac:dyDescent="0.35">
      <c r="D2128" s="95" t="str">
        <f t="shared" si="33"/>
        <v/>
      </c>
      <c r="F2128" s="2" t="s">
        <v>4326</v>
      </c>
      <c r="G2128" s="2" t="s">
        <v>4327</v>
      </c>
      <c r="H2128" s="2" t="s">
        <v>4366</v>
      </c>
    </row>
    <row r="2129" spans="4:8" x14ac:dyDescent="0.35">
      <c r="D2129" s="95" t="str">
        <f t="shared" si="33"/>
        <v/>
      </c>
      <c r="F2129" s="2" t="s">
        <v>4328</v>
      </c>
      <c r="G2129" s="2" t="s">
        <v>4329</v>
      </c>
      <c r="H2129" s="2" t="s">
        <v>4366</v>
      </c>
    </row>
    <row r="2130" spans="4:8" x14ac:dyDescent="0.35">
      <c r="D2130" s="95" t="str">
        <f t="shared" si="33"/>
        <v/>
      </c>
      <c r="F2130" s="2" t="s">
        <v>4330</v>
      </c>
      <c r="G2130" s="2" t="s">
        <v>4331</v>
      </c>
      <c r="H2130" s="2" t="s">
        <v>4366</v>
      </c>
    </row>
    <row r="2131" spans="4:8" x14ac:dyDescent="0.35">
      <c r="D2131" s="95" t="str">
        <f t="shared" si="33"/>
        <v/>
      </c>
      <c r="F2131" s="2" t="s">
        <v>4332</v>
      </c>
      <c r="G2131" s="2" t="s">
        <v>4333</v>
      </c>
      <c r="H2131" s="2" t="s">
        <v>4366</v>
      </c>
    </row>
    <row r="2132" spans="4:8" x14ac:dyDescent="0.35">
      <c r="D2132" s="95" t="str">
        <f t="shared" si="33"/>
        <v/>
      </c>
      <c r="F2132" s="2" t="s">
        <v>4334</v>
      </c>
      <c r="G2132" s="2" t="s">
        <v>4335</v>
      </c>
      <c r="H2132" s="2" t="s">
        <v>4366</v>
      </c>
    </row>
    <row r="2133" spans="4:8" x14ac:dyDescent="0.35">
      <c r="D2133" s="95" t="str">
        <f t="shared" si="33"/>
        <v/>
      </c>
      <c r="F2133" s="2" t="s">
        <v>4336</v>
      </c>
      <c r="G2133" s="2" t="s">
        <v>4337</v>
      </c>
      <c r="H2133" s="2" t="s">
        <v>4366</v>
      </c>
    </row>
    <row r="2134" spans="4:8" x14ac:dyDescent="0.35">
      <c r="D2134" s="95" t="str">
        <f t="shared" si="33"/>
        <v/>
      </c>
      <c r="F2134" s="2" t="s">
        <v>4338</v>
      </c>
      <c r="G2134" s="2" t="s">
        <v>4339</v>
      </c>
      <c r="H2134" s="2" t="s">
        <v>4366</v>
      </c>
    </row>
    <row r="2135" spans="4:8" x14ac:dyDescent="0.35">
      <c r="D2135" s="95" t="str">
        <f t="shared" si="33"/>
        <v/>
      </c>
      <c r="F2135" s="2" t="s">
        <v>4340</v>
      </c>
      <c r="G2135" s="2" t="s">
        <v>4341</v>
      </c>
      <c r="H2135" s="2" t="s">
        <v>4366</v>
      </c>
    </row>
    <row r="2136" spans="4:8" x14ac:dyDescent="0.35">
      <c r="D2136" s="95" t="str">
        <f t="shared" si="33"/>
        <v/>
      </c>
      <c r="F2136" s="2" t="s">
        <v>4342</v>
      </c>
      <c r="G2136" s="2" t="s">
        <v>4343</v>
      </c>
      <c r="H2136" s="2" t="s">
        <v>4366</v>
      </c>
    </row>
    <row r="2137" spans="4:8" x14ac:dyDescent="0.35">
      <c r="D2137" s="95" t="str">
        <f t="shared" si="33"/>
        <v/>
      </c>
      <c r="F2137" s="2" t="s">
        <v>4344</v>
      </c>
      <c r="G2137" s="2" t="s">
        <v>4345</v>
      </c>
      <c r="H2137" s="2" t="s">
        <v>4366</v>
      </c>
    </row>
    <row r="2138" spans="4:8" x14ac:dyDescent="0.35">
      <c r="D2138" s="95" t="str">
        <f t="shared" si="33"/>
        <v/>
      </c>
      <c r="F2138" s="2" t="s">
        <v>4346</v>
      </c>
      <c r="G2138" s="2" t="s">
        <v>4347</v>
      </c>
      <c r="H2138" s="2" t="s">
        <v>4366</v>
      </c>
    </row>
    <row r="2139" spans="4:8" x14ac:dyDescent="0.35">
      <c r="D2139" s="95" t="str">
        <f t="shared" si="33"/>
        <v/>
      </c>
      <c r="F2139" s="2" t="s">
        <v>4348</v>
      </c>
      <c r="G2139" s="2" t="s">
        <v>4349</v>
      </c>
      <c r="H2139" s="2" t="s">
        <v>4366</v>
      </c>
    </row>
    <row r="2140" spans="4:8" x14ac:dyDescent="0.35">
      <c r="D2140" s="95" t="str">
        <f t="shared" si="33"/>
        <v/>
      </c>
      <c r="F2140" s="2" t="s">
        <v>4350</v>
      </c>
      <c r="G2140" s="2" t="s">
        <v>4351</v>
      </c>
      <c r="H2140" s="2" t="s">
        <v>4366</v>
      </c>
    </row>
    <row r="2141" spans="4:8" x14ac:dyDescent="0.35">
      <c r="D2141" s="95" t="str">
        <f t="shared" si="33"/>
        <v/>
      </c>
      <c r="F2141" s="2" t="s">
        <v>4352</v>
      </c>
      <c r="G2141" s="2" t="s">
        <v>4353</v>
      </c>
      <c r="H2141" s="2" t="s">
        <v>4366</v>
      </c>
    </row>
    <row r="2142" spans="4:8" x14ac:dyDescent="0.35">
      <c r="D2142" s="95" t="str">
        <f t="shared" si="33"/>
        <v/>
      </c>
      <c r="F2142" s="2" t="s">
        <v>4354</v>
      </c>
      <c r="G2142" s="2" t="s">
        <v>4355</v>
      </c>
      <c r="H2142" s="2" t="s">
        <v>4366</v>
      </c>
    </row>
    <row r="2143" spans="4:8" ht="15" thickBot="1" x14ac:dyDescent="0.4">
      <c r="D2143" s="95" t="str">
        <f t="shared" si="33"/>
        <v/>
      </c>
      <c r="F2143" s="24" t="s">
        <v>4356</v>
      </c>
      <c r="G2143" s="24" t="s">
        <v>4357</v>
      </c>
      <c r="H2143" s="2" t="s">
        <v>4366</v>
      </c>
    </row>
  </sheetData>
  <autoFilter ref="C6:H2143" xr:uid="{6FAE1B47-4653-47D8-9CFD-6B9326EAD16F}"/>
  <mergeCells count="2">
    <mergeCell ref="C5:D5"/>
    <mergeCell ref="F5:H5"/>
  </mergeCell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L1039577"/>
  <sheetViews>
    <sheetView showGridLines="0" zoomScale="77" zoomScaleNormal="77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A7" sqref="A7"/>
    </sheetView>
  </sheetViews>
  <sheetFormatPr defaultColWidth="8.453125" defaultRowHeight="14.5" x14ac:dyDescent="0.35"/>
  <cols>
    <col min="1" max="1" width="26.90625" style="40" customWidth="1"/>
    <col min="2" max="2" width="18.26953125" style="39" customWidth="1"/>
    <col min="3" max="3" width="9.54296875" style="39" customWidth="1"/>
    <col min="4" max="4" width="11" style="39" customWidth="1"/>
    <col min="5" max="5" width="14.1796875" style="39" customWidth="1"/>
    <col min="6" max="6" width="16.453125" style="39" customWidth="1"/>
    <col min="7" max="7" width="17.54296875" style="39" customWidth="1"/>
    <col min="8" max="8" width="42" style="39" customWidth="1"/>
    <col min="9" max="9" width="24.7265625" style="39" customWidth="1"/>
    <col min="10" max="10" width="25.453125" style="40" customWidth="1"/>
    <col min="11" max="11" width="9.453125" style="39" customWidth="1"/>
    <col min="12" max="12" width="22.1796875" style="39" customWidth="1"/>
    <col min="13" max="15" width="13" style="39" customWidth="1"/>
    <col min="16" max="16" width="19.08984375" style="39" customWidth="1"/>
    <col min="17" max="17" width="13.6328125" style="39" customWidth="1"/>
    <col min="18" max="18" width="6.26953125" style="39" customWidth="1"/>
    <col min="19" max="19" width="5.6328125" style="39" customWidth="1"/>
    <col min="20" max="20" width="6.453125" style="39" customWidth="1"/>
    <col min="21" max="21" width="5" style="39" customWidth="1"/>
    <col min="22" max="22" width="6.6328125" style="39" customWidth="1"/>
    <col min="23" max="23" width="7.6328125" style="39" customWidth="1"/>
    <col min="24" max="24" width="5.90625" style="39" customWidth="1"/>
    <col min="25" max="25" width="6.08984375" style="39" customWidth="1"/>
    <col min="26" max="27" width="7.08984375" style="39" customWidth="1"/>
    <col min="28" max="28" width="7.1796875" style="39" customWidth="1"/>
    <col min="29" max="29" width="7" style="39" customWidth="1"/>
    <col min="30" max="30" width="14.90625" style="39" customWidth="1"/>
    <col min="31" max="31" width="8.1796875" style="39" customWidth="1"/>
    <col min="32" max="32" width="4.453125" style="39" customWidth="1"/>
    <col min="33" max="33" width="13.54296875" style="39" customWidth="1"/>
    <col min="34" max="34" width="5.08984375" style="39" customWidth="1"/>
    <col min="35" max="35" width="7.08984375" style="39" customWidth="1"/>
    <col min="36" max="36" width="22.6328125" style="39" customWidth="1"/>
    <col min="37" max="37" width="9.453125" style="39" customWidth="1"/>
    <col min="38" max="39" width="18.1796875" style="39" customWidth="1"/>
    <col min="40" max="40" width="12.453125" style="39" customWidth="1"/>
    <col min="41" max="41" width="14" style="39" customWidth="1"/>
    <col min="42" max="42" width="13.453125" style="39" customWidth="1"/>
    <col min="43" max="44" width="15.08984375" style="39" customWidth="1"/>
    <col min="45" max="45" width="21.453125" style="39" customWidth="1"/>
    <col min="46" max="55" width="15.6328125" style="39" customWidth="1"/>
    <col min="56" max="58" width="8.453125" style="39"/>
    <col min="59" max="59" width="11.81640625" style="39" customWidth="1"/>
    <col min="60" max="61" width="15.1796875" style="39" customWidth="1"/>
    <col min="62" max="62" width="17.90625" style="39" customWidth="1"/>
    <col min="63" max="63" width="40.81640625" customWidth="1"/>
    <col min="64" max="64" width="70.1796875" customWidth="1"/>
  </cols>
  <sheetData>
    <row r="1" spans="1:64" ht="59.5" customHeight="1" x14ac:dyDescent="0.35">
      <c r="A1" s="1"/>
      <c r="B1"/>
      <c r="C1"/>
      <c r="D1"/>
      <c r="E1"/>
      <c r="F1"/>
      <c r="G1"/>
      <c r="H1"/>
      <c r="I1"/>
      <c r="J1" s="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</row>
    <row r="2" spans="1:64" s="34" customFormat="1" ht="26" customHeight="1" thickBot="1" x14ac:dyDescent="0.4">
      <c r="A2" s="33"/>
      <c r="B2" s="35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</row>
    <row r="3" spans="1:64" ht="13.75" customHeight="1" thickBot="1" x14ac:dyDescent="0.4">
      <c r="A3" s="1"/>
      <c r="B3"/>
      <c r="C3" s="111" t="s">
        <v>4544</v>
      </c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  <c r="AF3" s="112"/>
      <c r="AG3" s="112"/>
      <c r="AH3" s="112"/>
      <c r="AI3" s="112"/>
      <c r="AJ3" s="112"/>
      <c r="AK3" s="112"/>
      <c r="AL3" s="112"/>
      <c r="AM3" s="112"/>
      <c r="AN3" s="113"/>
      <c r="AO3" s="105" t="s">
        <v>0</v>
      </c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7"/>
    </row>
    <row r="4" spans="1:64" ht="13.75" customHeight="1" thickBot="1" x14ac:dyDescent="0.4">
      <c r="A4" s="36"/>
      <c r="B4"/>
      <c r="C4" s="55"/>
      <c r="D4" s="108" t="s">
        <v>1</v>
      </c>
      <c r="E4" s="109"/>
      <c r="F4" s="109"/>
      <c r="G4" s="109"/>
      <c r="H4" s="110"/>
      <c r="I4" s="108" t="s">
        <v>2</v>
      </c>
      <c r="J4" s="110"/>
      <c r="K4" s="108" t="s">
        <v>3</v>
      </c>
      <c r="L4" s="110"/>
      <c r="M4" s="56" t="s">
        <v>4</v>
      </c>
      <c r="N4" s="108" t="s">
        <v>5</v>
      </c>
      <c r="O4" s="109"/>
      <c r="P4" s="109"/>
      <c r="Q4" s="110"/>
      <c r="R4" s="108" t="s">
        <v>6</v>
      </c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10"/>
      <c r="AD4" s="108" t="s">
        <v>7</v>
      </c>
      <c r="AE4" s="109"/>
      <c r="AF4" s="109"/>
      <c r="AG4" s="109"/>
      <c r="AH4" s="109"/>
      <c r="AI4" s="109"/>
      <c r="AJ4" s="109"/>
      <c r="AK4" s="109"/>
      <c r="AL4" s="109"/>
      <c r="AM4" s="109"/>
      <c r="AN4" s="110"/>
      <c r="AO4" s="56"/>
      <c r="AP4" s="56"/>
      <c r="AQ4" s="56"/>
      <c r="AR4" s="55" t="s">
        <v>15</v>
      </c>
      <c r="AS4" s="55" t="s">
        <v>16</v>
      </c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</row>
    <row r="5" spans="1:64" ht="16" thickBot="1" x14ac:dyDescent="0.4">
      <c r="A5" s="49" t="s">
        <v>4359</v>
      </c>
      <c r="B5" s="50" t="s">
        <v>4623</v>
      </c>
      <c r="C5" s="51" t="s">
        <v>4566</v>
      </c>
      <c r="D5" s="51" t="s">
        <v>4567</v>
      </c>
      <c r="E5" s="51" t="s">
        <v>4568</v>
      </c>
      <c r="F5" s="51" t="s">
        <v>4569</v>
      </c>
      <c r="G5" s="51" t="s">
        <v>4570</v>
      </c>
      <c r="H5" s="51" t="s">
        <v>4571</v>
      </c>
      <c r="I5" s="51" t="s">
        <v>4994</v>
      </c>
      <c r="J5" s="52" t="s">
        <v>4572</v>
      </c>
      <c r="K5" s="51" t="s">
        <v>4573</v>
      </c>
      <c r="L5" s="51" t="s">
        <v>4574</v>
      </c>
      <c r="M5" s="51" t="s">
        <v>4575</v>
      </c>
      <c r="N5" s="51" t="s">
        <v>4576</v>
      </c>
      <c r="O5" s="51" t="s">
        <v>4577</v>
      </c>
      <c r="P5" s="51" t="s">
        <v>4578</v>
      </c>
      <c r="Q5" s="51" t="s">
        <v>5897</v>
      </c>
      <c r="R5" s="51" t="s">
        <v>4579</v>
      </c>
      <c r="S5" s="51" t="s">
        <v>4580</v>
      </c>
      <c r="T5" s="51" t="s">
        <v>4581</v>
      </c>
      <c r="U5" s="51" t="s">
        <v>4582</v>
      </c>
      <c r="V5" s="51" t="s">
        <v>4583</v>
      </c>
      <c r="W5" s="51" t="s">
        <v>4584</v>
      </c>
      <c r="X5" s="51" t="s">
        <v>4585</v>
      </c>
      <c r="Y5" s="51" t="s">
        <v>4586</v>
      </c>
      <c r="Z5" s="51" t="s">
        <v>4587</v>
      </c>
      <c r="AA5" s="51" t="s">
        <v>4588</v>
      </c>
      <c r="AB5" s="51" t="s">
        <v>4589</v>
      </c>
      <c r="AC5" s="51" t="s">
        <v>4590</v>
      </c>
      <c r="AD5" s="51" t="s">
        <v>4591</v>
      </c>
      <c r="AE5" s="51" t="s">
        <v>4592</v>
      </c>
      <c r="AF5" s="51" t="s">
        <v>4593</v>
      </c>
      <c r="AG5" s="51" t="s">
        <v>4594</v>
      </c>
      <c r="AH5" s="51" t="s">
        <v>4595</v>
      </c>
      <c r="AI5" s="51" t="s">
        <v>4596</v>
      </c>
      <c r="AJ5" s="51" t="s">
        <v>4597</v>
      </c>
      <c r="AK5" s="51" t="s">
        <v>4598</v>
      </c>
      <c r="AL5" s="51" t="s">
        <v>4599</v>
      </c>
      <c r="AM5" s="51" t="s">
        <v>4600</v>
      </c>
      <c r="AN5" s="51" t="s">
        <v>4601</v>
      </c>
      <c r="AO5" s="53" t="s">
        <v>4545</v>
      </c>
      <c r="AP5" s="53" t="s">
        <v>4546</v>
      </c>
      <c r="AQ5" s="53" t="s">
        <v>4547</v>
      </c>
      <c r="AR5" s="53" t="s">
        <v>4548</v>
      </c>
      <c r="AS5" s="53" t="s">
        <v>4549</v>
      </c>
      <c r="AT5" s="53" t="s">
        <v>5896</v>
      </c>
      <c r="AU5" s="53" t="s">
        <v>4550</v>
      </c>
      <c r="AV5" s="53" t="s">
        <v>4551</v>
      </c>
      <c r="AW5" s="53" t="s">
        <v>4552</v>
      </c>
      <c r="AX5" s="53" t="s">
        <v>4553</v>
      </c>
      <c r="AY5" s="53" t="s">
        <v>4554</v>
      </c>
      <c r="AZ5" s="53" t="s">
        <v>4555</v>
      </c>
      <c r="BA5" s="53" t="s">
        <v>4556</v>
      </c>
      <c r="BB5" s="53" t="s">
        <v>4557</v>
      </c>
      <c r="BC5" s="53" t="s">
        <v>8</v>
      </c>
      <c r="BD5" s="53" t="s">
        <v>9</v>
      </c>
      <c r="BE5" s="53" t="s">
        <v>10</v>
      </c>
      <c r="BF5" s="53" t="s">
        <v>11</v>
      </c>
      <c r="BG5" s="53" t="s">
        <v>4558</v>
      </c>
      <c r="BH5" s="53" t="s">
        <v>4559</v>
      </c>
      <c r="BI5" s="53" t="s">
        <v>4560</v>
      </c>
      <c r="BJ5" s="53" t="s">
        <v>4561</v>
      </c>
      <c r="BK5" s="54" t="s">
        <v>12</v>
      </c>
      <c r="BL5" s="50" t="s">
        <v>13</v>
      </c>
    </row>
    <row r="6" spans="1:64" x14ac:dyDescent="0.35">
      <c r="A6" s="47" t="s">
        <v>581</v>
      </c>
      <c r="B6" s="39" t="str">
        <f>IFERROR(INDEX(added_new_stocks!$F$6:$H$2156,MATCH(A6,added_new_stocks!$F$6:$F$2143,0),3),"")</f>
        <v>Large</v>
      </c>
      <c r="C6" s="39">
        <v>214.85</v>
      </c>
      <c r="D6" s="39">
        <v>9</v>
      </c>
      <c r="G6" s="47" t="s">
        <v>4963</v>
      </c>
      <c r="H6" s="47" t="s">
        <v>4602</v>
      </c>
      <c r="I6" s="47" t="s">
        <v>4976</v>
      </c>
      <c r="J6" s="39" t="s">
        <v>4977</v>
      </c>
      <c r="K6" s="39" t="s">
        <v>4603</v>
      </c>
      <c r="L6" s="39" t="s">
        <v>4604</v>
      </c>
      <c r="N6" s="41">
        <v>3</v>
      </c>
      <c r="O6" s="41">
        <v>-18</v>
      </c>
      <c r="P6" s="41">
        <v>-15</v>
      </c>
      <c r="Q6" s="41" t="s">
        <v>4605</v>
      </c>
      <c r="R6" s="41">
        <v>0.37</v>
      </c>
      <c r="S6" s="41">
        <v>1.78</v>
      </c>
      <c r="T6" s="41">
        <v>1.54</v>
      </c>
      <c r="U6" s="41">
        <v>10.83</v>
      </c>
      <c r="V6" s="41">
        <v>-18.059999999999999</v>
      </c>
      <c r="W6" s="41">
        <v>-25.27</v>
      </c>
      <c r="X6" s="41">
        <v>-25.67</v>
      </c>
      <c r="Y6" s="41">
        <v>4.4000000000000004</v>
      </c>
      <c r="Z6" s="41">
        <v>57.4</v>
      </c>
      <c r="AA6" s="41">
        <v>13.68</v>
      </c>
      <c r="AB6" s="41">
        <v>11.38</v>
      </c>
      <c r="AC6" s="41">
        <v>49.56</v>
      </c>
      <c r="AD6" s="39" t="s">
        <v>4606</v>
      </c>
      <c r="AE6" s="39" t="s">
        <v>134</v>
      </c>
      <c r="AF6" s="39">
        <v>41</v>
      </c>
      <c r="AG6" s="42">
        <v>0.1113</v>
      </c>
      <c r="AH6" s="39">
        <v>91</v>
      </c>
      <c r="AI6" s="43">
        <v>0.13930000000000001</v>
      </c>
      <c r="AJ6" s="39" t="s">
        <v>4607</v>
      </c>
      <c r="AK6" s="42">
        <v>0.18079999999999999</v>
      </c>
      <c r="AL6" s="39" t="s">
        <v>4608</v>
      </c>
      <c r="AM6" s="42">
        <v>7.7100000000000002E-2</v>
      </c>
      <c r="AN6" s="42">
        <v>0.1048</v>
      </c>
      <c r="AO6" s="44">
        <v>40</v>
      </c>
      <c r="AP6" s="44">
        <v>20</v>
      </c>
      <c r="AQ6" s="44">
        <v>35</v>
      </c>
      <c r="AR6" s="44">
        <v>228</v>
      </c>
      <c r="AS6" s="45">
        <v>6</v>
      </c>
      <c r="AT6" s="39" t="s">
        <v>4562</v>
      </c>
      <c r="AU6" s="39">
        <v>22</v>
      </c>
      <c r="AV6" s="39" t="s">
        <v>4630</v>
      </c>
      <c r="AW6" s="41">
        <v>216.7</v>
      </c>
      <c r="AX6" s="41">
        <v>218.55</v>
      </c>
      <c r="AY6" s="41">
        <v>220.95</v>
      </c>
      <c r="AZ6" s="41">
        <v>212.45</v>
      </c>
      <c r="BA6" s="41">
        <v>210.05</v>
      </c>
      <c r="BB6" s="41">
        <v>208.2</v>
      </c>
      <c r="BC6" s="41">
        <v>1</v>
      </c>
      <c r="BD6" s="41" t="s">
        <v>130</v>
      </c>
      <c r="BE6" s="41">
        <v>0.6</v>
      </c>
      <c r="BF6" s="41">
        <v>-0.42</v>
      </c>
      <c r="BG6" s="41">
        <v>5</v>
      </c>
      <c r="BH6" s="41">
        <v>7</v>
      </c>
      <c r="BI6" s="39" t="s">
        <v>4563</v>
      </c>
      <c r="BJ6" s="39" t="s">
        <v>4563</v>
      </c>
      <c r="BK6" t="s">
        <v>4981</v>
      </c>
      <c r="BL6" s="39" t="s">
        <v>4785</v>
      </c>
    </row>
    <row r="7" spans="1:64" x14ac:dyDescent="0.35">
      <c r="A7" s="47" t="s">
        <v>874</v>
      </c>
      <c r="B7" s="39" t="str">
        <f>IFERROR(INDEX(added_new_stocks!$F$6:$H$2156,MATCH(A7,added_new_stocks!$F$6:$F$2143,0),3),"")</f>
        <v>Mid</v>
      </c>
      <c r="C7" s="39">
        <v>561.15</v>
      </c>
      <c r="D7" s="39">
        <v>48</v>
      </c>
      <c r="G7" s="47" t="s">
        <v>4625</v>
      </c>
      <c r="H7" s="47" t="s">
        <v>4995</v>
      </c>
      <c r="I7" s="47" t="s">
        <v>4996</v>
      </c>
      <c r="J7" s="39" t="s">
        <v>4997</v>
      </c>
      <c r="K7" s="39" t="s">
        <v>133</v>
      </c>
      <c r="L7" s="39" t="s">
        <v>4998</v>
      </c>
      <c r="M7" s="47" t="s">
        <v>4959</v>
      </c>
      <c r="N7" s="41">
        <v>6</v>
      </c>
      <c r="O7" s="41">
        <v>-1</v>
      </c>
      <c r="P7" s="41">
        <v>5</v>
      </c>
      <c r="Q7" s="41" t="s">
        <v>4611</v>
      </c>
      <c r="R7" s="41">
        <v>-0.34</v>
      </c>
      <c r="S7" s="41">
        <v>7.93</v>
      </c>
      <c r="T7" s="41">
        <v>5.53</v>
      </c>
      <c r="U7" s="41">
        <v>4.53</v>
      </c>
      <c r="V7" s="41">
        <v>-12.17</v>
      </c>
      <c r="W7" s="41">
        <v>6.77</v>
      </c>
      <c r="X7" s="41" t="s">
        <v>4538</v>
      </c>
      <c r="Y7" s="41" t="s">
        <v>4538</v>
      </c>
      <c r="Z7" s="41" t="s">
        <v>4538</v>
      </c>
      <c r="AA7" s="41" t="s">
        <v>4538</v>
      </c>
      <c r="AB7" s="41" t="s">
        <v>4538</v>
      </c>
      <c r="AC7" s="41" t="s">
        <v>4538</v>
      </c>
      <c r="AD7" s="39" t="s">
        <v>4606</v>
      </c>
      <c r="AE7" s="39" t="s">
        <v>134</v>
      </c>
      <c r="AF7" s="39">
        <v>11</v>
      </c>
      <c r="AG7" s="42">
        <v>0.14460000000000001</v>
      </c>
      <c r="AH7" s="39">
        <v>36</v>
      </c>
      <c r="AI7" s="42">
        <v>4.0599999999999997E-2</v>
      </c>
      <c r="AJ7" s="39" t="s">
        <v>4999</v>
      </c>
      <c r="AK7" s="42">
        <v>0.30630000000000002</v>
      </c>
      <c r="AL7" s="39" t="s">
        <v>5000</v>
      </c>
      <c r="AM7" s="42">
        <v>8.09E-2</v>
      </c>
      <c r="AN7" s="42">
        <v>4.8599999999999997E-2</v>
      </c>
      <c r="AO7" s="44" t="s">
        <v>130</v>
      </c>
      <c r="AP7" s="44">
        <v>40</v>
      </c>
      <c r="AQ7" s="44">
        <v>74</v>
      </c>
      <c r="AR7" s="44"/>
      <c r="AS7" s="45" t="s">
        <v>4564</v>
      </c>
      <c r="AT7" s="47"/>
      <c r="AW7" s="41"/>
      <c r="AX7" s="41"/>
      <c r="AY7" s="41">
        <v>1.56</v>
      </c>
      <c r="AZ7" s="41"/>
      <c r="BA7" s="41">
        <v>1.46</v>
      </c>
      <c r="BB7" s="41">
        <v>1.44</v>
      </c>
      <c r="BC7" s="41" t="s">
        <v>130</v>
      </c>
      <c r="BD7" s="41">
        <v>3</v>
      </c>
      <c r="BE7" s="41" t="s">
        <v>130</v>
      </c>
      <c r="BF7" s="41">
        <v>1.48</v>
      </c>
      <c r="BG7" s="41">
        <v>9</v>
      </c>
      <c r="BH7" s="41">
        <v>0.7</v>
      </c>
      <c r="BI7" s="39" t="s">
        <v>131</v>
      </c>
      <c r="BJ7" s="39" t="s">
        <v>132</v>
      </c>
      <c r="BK7" t="s">
        <v>5288</v>
      </c>
      <c r="BL7" s="39" t="s">
        <v>4791</v>
      </c>
    </row>
    <row r="8" spans="1:64" x14ac:dyDescent="0.35">
      <c r="A8" s="47" t="s">
        <v>695</v>
      </c>
      <c r="B8" s="39" t="str">
        <f>IFERROR(INDEX(added_new_stocks!$F$6:$H$2156,MATCH(A8,added_new_stocks!$F$6:$F$2143,0),3),"")</f>
        <v>Mid</v>
      </c>
      <c r="C8" s="39">
        <v>355.1</v>
      </c>
      <c r="D8" s="39">
        <v>47</v>
      </c>
      <c r="G8" s="47" t="s">
        <v>4625</v>
      </c>
      <c r="H8" s="47" t="s">
        <v>4609</v>
      </c>
      <c r="I8" s="47" t="s">
        <v>4624</v>
      </c>
      <c r="J8" s="39" t="s">
        <v>4978</v>
      </c>
      <c r="K8" s="47" t="s">
        <v>4957</v>
      </c>
      <c r="L8" s="39" t="s">
        <v>4610</v>
      </c>
      <c r="M8" s="47" t="s">
        <v>5047</v>
      </c>
      <c r="N8" s="41">
        <v>6</v>
      </c>
      <c r="O8" s="41">
        <v>-9</v>
      </c>
      <c r="P8" s="41">
        <v>-3</v>
      </c>
      <c r="Q8" s="70" t="s">
        <v>5076</v>
      </c>
      <c r="R8" s="41">
        <v>0.55000000000000004</v>
      </c>
      <c r="S8" s="41">
        <v>-4.3099999999999996</v>
      </c>
      <c r="T8" s="41">
        <v>-1.25</v>
      </c>
      <c r="U8" s="41">
        <v>-3.41</v>
      </c>
      <c r="V8" s="41">
        <v>1.84</v>
      </c>
      <c r="W8" s="41">
        <v>2.1</v>
      </c>
      <c r="X8" s="41">
        <v>39.56</v>
      </c>
      <c r="Y8" s="41">
        <v>30.34</v>
      </c>
      <c r="Z8" s="41">
        <v>85.29</v>
      </c>
      <c r="AA8" s="41">
        <v>78.44</v>
      </c>
      <c r="AB8" s="41">
        <v>51.27</v>
      </c>
      <c r="AC8" s="41">
        <v>2916.99</v>
      </c>
      <c r="AD8" s="39" t="s">
        <v>4606</v>
      </c>
      <c r="AE8" s="39" t="s">
        <v>134</v>
      </c>
      <c r="AF8" s="39">
        <v>8</v>
      </c>
      <c r="AG8" s="42">
        <v>3.4200000000000001E-2</v>
      </c>
      <c r="AH8" s="39">
        <v>138</v>
      </c>
      <c r="AI8" s="42">
        <v>0.18340000000000001</v>
      </c>
      <c r="AJ8" s="39" t="s">
        <v>4612</v>
      </c>
      <c r="AK8" s="42">
        <v>0.31669999999999998</v>
      </c>
      <c r="AL8" s="39" t="s">
        <v>4613</v>
      </c>
      <c r="AM8" s="42">
        <v>4.4499999999999998E-2</v>
      </c>
      <c r="AN8" s="42">
        <v>0.11119999999999999</v>
      </c>
      <c r="AO8" s="44">
        <v>65</v>
      </c>
      <c r="AP8" s="44">
        <v>65</v>
      </c>
      <c r="AQ8" s="44">
        <v>65</v>
      </c>
      <c r="AR8" s="44">
        <v>410</v>
      </c>
      <c r="AS8" s="45">
        <v>15</v>
      </c>
      <c r="AT8" s="47" t="s">
        <v>4633</v>
      </c>
      <c r="AU8" s="39">
        <v>4</v>
      </c>
      <c r="AV8" s="39" t="s">
        <v>4628</v>
      </c>
      <c r="AW8" s="41">
        <v>360.07</v>
      </c>
      <c r="AX8" s="41">
        <v>364.83</v>
      </c>
      <c r="AY8" s="41">
        <v>370.72</v>
      </c>
      <c r="AZ8" s="41">
        <v>349.42</v>
      </c>
      <c r="BA8" s="41">
        <v>343.53</v>
      </c>
      <c r="BB8" s="41">
        <v>338.77</v>
      </c>
      <c r="BC8" s="41">
        <v>8</v>
      </c>
      <c r="BD8" s="41">
        <v>1</v>
      </c>
      <c r="BE8" s="41">
        <v>4</v>
      </c>
      <c r="BF8" s="41" t="s">
        <v>130</v>
      </c>
      <c r="BG8" s="41">
        <v>187.4</v>
      </c>
      <c r="BH8" s="41">
        <v>0.5</v>
      </c>
      <c r="BI8" s="39" t="s">
        <v>4565</v>
      </c>
      <c r="BJ8" s="39" t="s">
        <v>4563</v>
      </c>
      <c r="BK8" t="s">
        <v>4982</v>
      </c>
      <c r="BL8" s="39" t="s">
        <v>4792</v>
      </c>
    </row>
    <row r="9" spans="1:64" x14ac:dyDescent="0.35">
      <c r="A9" s="47" t="s">
        <v>1499</v>
      </c>
      <c r="B9" s="39" t="str">
        <f>IFERROR(INDEX(added_new_stocks!$F$6:$H$2156,MATCH(A9,added_new_stocks!$F$6:$F$2143,0),3),"")</f>
        <v>Small</v>
      </c>
      <c r="C9" s="48">
        <v>736.15</v>
      </c>
      <c r="D9" s="39">
        <v>71</v>
      </c>
      <c r="G9" s="47" t="s">
        <v>4625</v>
      </c>
      <c r="H9" s="47" t="s">
        <v>4614</v>
      </c>
      <c r="I9" s="39" t="s">
        <v>4624</v>
      </c>
      <c r="J9" s="39" t="s">
        <v>4979</v>
      </c>
      <c r="K9" s="47" t="s">
        <v>4957</v>
      </c>
      <c r="L9" s="39" t="s">
        <v>4616</v>
      </c>
      <c r="M9" s="39" t="s">
        <v>4955</v>
      </c>
      <c r="N9" s="41">
        <v>14</v>
      </c>
      <c r="O9" s="41">
        <v>-8</v>
      </c>
      <c r="P9" s="41">
        <v>6</v>
      </c>
      <c r="Q9" s="70" t="s">
        <v>5076</v>
      </c>
      <c r="R9" s="41">
        <v>-0.98</v>
      </c>
      <c r="S9" s="41">
        <v>13.61</v>
      </c>
      <c r="T9" s="41">
        <v>16.690000000000001</v>
      </c>
      <c r="U9" s="41">
        <v>20.65</v>
      </c>
      <c r="V9" s="41">
        <v>105.48</v>
      </c>
      <c r="W9" s="41">
        <v>124.92</v>
      </c>
      <c r="X9" s="41">
        <v>155.47</v>
      </c>
      <c r="Y9" s="41">
        <v>225.73</v>
      </c>
      <c r="Z9" s="41">
        <v>1088.3</v>
      </c>
      <c r="AA9" s="41">
        <v>213.92</v>
      </c>
      <c r="AB9" s="41">
        <v>138.69999999999999</v>
      </c>
      <c r="AC9" s="41">
        <v>761.5</v>
      </c>
      <c r="AD9" s="39" t="s">
        <v>4606</v>
      </c>
      <c r="AE9" s="39" t="s">
        <v>134</v>
      </c>
      <c r="AF9" s="39">
        <v>2</v>
      </c>
      <c r="AG9" s="42">
        <v>1.15E-2</v>
      </c>
      <c r="AH9" s="39">
        <v>56</v>
      </c>
      <c r="AI9" s="42">
        <v>6.4199999999999993E-2</v>
      </c>
      <c r="AJ9" s="39" t="s">
        <v>4617</v>
      </c>
      <c r="AK9" s="42">
        <v>0.50839999999999996</v>
      </c>
      <c r="AL9" s="39" t="s">
        <v>4618</v>
      </c>
      <c r="AM9" s="42">
        <v>4.7899999999999998E-2</v>
      </c>
      <c r="AN9" s="42">
        <v>0.2505</v>
      </c>
      <c r="AO9" s="44">
        <v>65</v>
      </c>
      <c r="AP9" s="44">
        <v>60</v>
      </c>
      <c r="AQ9" s="44">
        <v>74</v>
      </c>
      <c r="AR9" s="44"/>
      <c r="AS9" s="39" t="s">
        <v>4564</v>
      </c>
      <c r="AT9" s="47" t="s">
        <v>4633</v>
      </c>
      <c r="AW9" s="41">
        <v>761.35</v>
      </c>
      <c r="AX9" s="41">
        <v>780.45</v>
      </c>
      <c r="AY9" s="41">
        <v>808.1</v>
      </c>
      <c r="AZ9" s="41">
        <v>714.6</v>
      </c>
      <c r="BA9" s="41">
        <v>686.95</v>
      </c>
      <c r="BB9" s="41">
        <v>667.85</v>
      </c>
      <c r="BC9" s="41">
        <v>3</v>
      </c>
      <c r="BD9" s="41">
        <v>5</v>
      </c>
      <c r="BE9" s="41" t="s">
        <v>130</v>
      </c>
      <c r="BF9" s="41">
        <v>-1.78</v>
      </c>
      <c r="BG9" s="41">
        <v>13</v>
      </c>
      <c r="BH9" s="41">
        <v>473.2</v>
      </c>
      <c r="BI9" s="39" t="s">
        <v>131</v>
      </c>
      <c r="BJ9" s="39" t="s">
        <v>131</v>
      </c>
      <c r="BK9" t="s">
        <v>4983</v>
      </c>
      <c r="BL9" s="39" t="s">
        <v>4793</v>
      </c>
    </row>
    <row r="10" spans="1:64" x14ac:dyDescent="0.35">
      <c r="A10" s="39" t="s">
        <v>646</v>
      </c>
      <c r="B10" s="39" t="str">
        <f>IFERROR(INDEX(added_new_stocks!$F$6:$H$2156,MATCH(A10,added_new_stocks!$F$6:$F$2143,0),3),"")</f>
        <v>Mid</v>
      </c>
      <c r="C10" s="48">
        <v>1768.8</v>
      </c>
      <c r="D10" s="39">
        <v>72</v>
      </c>
      <c r="G10" s="39" t="s">
        <v>129</v>
      </c>
      <c r="H10" s="39" t="s">
        <v>4619</v>
      </c>
      <c r="I10" s="39" t="s">
        <v>4624</v>
      </c>
      <c r="J10" s="39" t="s">
        <v>4980</v>
      </c>
      <c r="K10" s="39" t="s">
        <v>133</v>
      </c>
      <c r="L10" s="39" t="s">
        <v>4962</v>
      </c>
      <c r="M10" s="39" t="s">
        <v>4620</v>
      </c>
      <c r="N10" s="39">
        <v>10</v>
      </c>
      <c r="O10" s="39">
        <v>-2</v>
      </c>
      <c r="P10" s="39">
        <v>8</v>
      </c>
      <c r="Q10" s="39" t="s">
        <v>14</v>
      </c>
      <c r="R10" s="39">
        <v>-0.67</v>
      </c>
      <c r="S10" s="39">
        <v>2.67</v>
      </c>
      <c r="T10" s="39">
        <v>25.26</v>
      </c>
      <c r="U10" s="39">
        <v>39.36</v>
      </c>
      <c r="V10" s="39">
        <v>48.33</v>
      </c>
      <c r="W10" s="39">
        <v>46.12</v>
      </c>
      <c r="X10" s="39">
        <v>40.53</v>
      </c>
      <c r="Y10" s="39">
        <v>16.690000000000001</v>
      </c>
      <c r="Z10" s="39">
        <v>59.33</v>
      </c>
      <c r="AA10" s="39">
        <v>168.95</v>
      </c>
      <c r="AB10" s="39">
        <v>123.93</v>
      </c>
      <c r="AC10" s="39">
        <v>1103.81</v>
      </c>
      <c r="AD10" s="39" t="s">
        <v>4606</v>
      </c>
      <c r="AE10" s="39">
        <v>13.23</v>
      </c>
      <c r="AF10" s="39">
        <v>22</v>
      </c>
      <c r="AG10" s="42">
        <v>0.13070000000000001</v>
      </c>
      <c r="AH10" s="39">
        <v>148</v>
      </c>
      <c r="AI10" s="42">
        <v>0.1019</v>
      </c>
      <c r="AJ10" s="39" t="s">
        <v>4621</v>
      </c>
      <c r="AK10" s="42">
        <v>0.14480000000000001</v>
      </c>
      <c r="AL10" s="39" t="s">
        <v>4622</v>
      </c>
      <c r="AM10" s="42">
        <v>4.3799999999999999E-2</v>
      </c>
      <c r="AN10" s="42">
        <v>6.9199999999999998E-2</v>
      </c>
      <c r="AO10" s="39">
        <v>60</v>
      </c>
      <c r="AP10" s="39">
        <v>22</v>
      </c>
      <c r="AQ10" s="39">
        <v>69</v>
      </c>
      <c r="AR10" s="45">
        <v>1776</v>
      </c>
      <c r="AS10" s="39">
        <v>0</v>
      </c>
      <c r="AT10" s="39" t="s">
        <v>129</v>
      </c>
      <c r="AU10" s="39">
        <v>12</v>
      </c>
      <c r="AV10" s="39" t="s">
        <v>4631</v>
      </c>
      <c r="AW10" s="39">
        <v>1794.35</v>
      </c>
      <c r="AX10" s="39">
        <v>1818.8</v>
      </c>
      <c r="AY10" s="39">
        <v>1847.1</v>
      </c>
      <c r="AZ10" s="39">
        <v>1741.6</v>
      </c>
      <c r="BA10" s="39">
        <v>1713.3</v>
      </c>
      <c r="BB10" s="39">
        <v>1688.85</v>
      </c>
      <c r="BC10" s="39">
        <v>8</v>
      </c>
      <c r="BD10" s="39">
        <v>5</v>
      </c>
      <c r="BE10" s="39">
        <v>4</v>
      </c>
      <c r="BF10" s="39" t="s">
        <v>130</v>
      </c>
      <c r="BG10" s="45">
        <v>544.79999999999995</v>
      </c>
      <c r="BH10" s="39">
        <v>0.3</v>
      </c>
      <c r="BI10" s="39" t="s">
        <v>131</v>
      </c>
      <c r="BJ10" s="39" t="s">
        <v>132</v>
      </c>
      <c r="BK10" t="s">
        <v>4984</v>
      </c>
      <c r="BL10" s="39" t="s">
        <v>4786</v>
      </c>
    </row>
    <row r="11" spans="1:64" x14ac:dyDescent="0.35">
      <c r="A11" s="39" t="s">
        <v>392</v>
      </c>
      <c r="B11" s="39" t="str">
        <f>IFERROR(INDEX(added_new_stocks!$F$6:$H$2156,MATCH(A11,added_new_stocks!$F$6:$F$2143,0),3),"")</f>
        <v>Large</v>
      </c>
      <c r="C11" s="48">
        <v>3795.6</v>
      </c>
      <c r="D11" s="39">
        <v>71</v>
      </c>
      <c r="G11" s="39" t="s">
        <v>129</v>
      </c>
      <c r="H11" s="39" t="s">
        <v>4964</v>
      </c>
      <c r="I11" s="39" t="s">
        <v>4624</v>
      </c>
      <c r="J11" s="39" t="s">
        <v>4985</v>
      </c>
      <c r="K11" s="39" t="s">
        <v>133</v>
      </c>
      <c r="L11" s="39" t="s">
        <v>4965</v>
      </c>
      <c r="M11" s="39" t="s">
        <v>4959</v>
      </c>
      <c r="N11" s="39">
        <v>13</v>
      </c>
      <c r="O11" s="39">
        <v>-2</v>
      </c>
      <c r="P11" s="39">
        <v>11</v>
      </c>
      <c r="Q11" s="39" t="s">
        <v>14</v>
      </c>
      <c r="R11" s="39">
        <v>0.18</v>
      </c>
      <c r="S11" s="39">
        <v>-0.59</v>
      </c>
      <c r="T11" s="39">
        <v>3.58</v>
      </c>
      <c r="U11" s="39">
        <v>14.16</v>
      </c>
      <c r="V11" s="39">
        <v>16.27</v>
      </c>
      <c r="W11" s="39">
        <v>26.3</v>
      </c>
      <c r="X11" s="39">
        <v>29.65</v>
      </c>
      <c r="Y11" s="39">
        <v>-0.16</v>
      </c>
      <c r="Z11" s="39">
        <v>31.3</v>
      </c>
      <c r="AA11" s="39">
        <v>115.79</v>
      </c>
      <c r="AB11" s="39">
        <v>81.44</v>
      </c>
      <c r="AC11" s="39" t="s">
        <v>4538</v>
      </c>
      <c r="AD11" s="39" t="s">
        <v>4606</v>
      </c>
      <c r="AE11" s="39" t="s">
        <v>134</v>
      </c>
      <c r="AF11" s="39">
        <v>27</v>
      </c>
      <c r="AG11" s="42">
        <v>0.1145</v>
      </c>
      <c r="AH11" s="39">
        <v>163</v>
      </c>
      <c r="AI11" s="42">
        <v>5.6399999999999999E-2</v>
      </c>
      <c r="AJ11" s="39" t="s">
        <v>4966</v>
      </c>
      <c r="AK11" s="39" t="s">
        <v>4967</v>
      </c>
      <c r="AL11" s="39" t="s">
        <v>4968</v>
      </c>
      <c r="AM11" s="42">
        <v>3.1800000000000002E-2</v>
      </c>
      <c r="AN11" s="42">
        <v>0.20610000000000001</v>
      </c>
      <c r="AO11" s="39">
        <v>60</v>
      </c>
      <c r="AP11" s="39">
        <v>24</v>
      </c>
      <c r="AQ11" s="39">
        <v>60</v>
      </c>
      <c r="AR11" s="45">
        <v>3673</v>
      </c>
      <c r="AS11" s="39">
        <v>-3</v>
      </c>
      <c r="AT11" s="39" t="s">
        <v>4625</v>
      </c>
      <c r="AU11" s="39">
        <v>22</v>
      </c>
      <c r="AV11" s="39" t="s">
        <v>4632</v>
      </c>
      <c r="AW11" s="39">
        <v>3842.15</v>
      </c>
      <c r="AX11" s="39">
        <v>3883</v>
      </c>
      <c r="AY11" s="39">
        <v>3957.05</v>
      </c>
      <c r="AZ11" s="39">
        <v>3727.25</v>
      </c>
      <c r="BA11" s="39">
        <v>3653.2</v>
      </c>
      <c r="BB11" s="39">
        <v>3612.35</v>
      </c>
      <c r="BC11" s="39">
        <v>5</v>
      </c>
      <c r="BD11" s="39">
        <v>3</v>
      </c>
      <c r="BE11" s="39">
        <v>6</v>
      </c>
      <c r="BF11" s="39" t="s">
        <v>130</v>
      </c>
      <c r="BG11" s="45">
        <v>1303</v>
      </c>
      <c r="BH11" s="39">
        <v>0.3</v>
      </c>
      <c r="BI11" s="39" t="s">
        <v>131</v>
      </c>
      <c r="BJ11" s="39" t="s">
        <v>4563</v>
      </c>
      <c r="BK11" t="s">
        <v>4991</v>
      </c>
      <c r="BL11" s="39" t="s">
        <v>4787</v>
      </c>
    </row>
    <row r="12" spans="1:64" x14ac:dyDescent="0.35">
      <c r="A12" s="39" t="s">
        <v>786</v>
      </c>
      <c r="B12" s="39" t="str">
        <f>IFERROR(INDEX(added_new_stocks!$F$6:$H$2156,MATCH(A12,added_new_stocks!$F$6:$F$2143,0),3),"")</f>
        <v>Mid</v>
      </c>
      <c r="C12" s="48">
        <v>3081.15</v>
      </c>
      <c r="D12" s="39">
        <v>78</v>
      </c>
      <c r="G12" s="47" t="s">
        <v>4633</v>
      </c>
      <c r="H12" s="39" t="s">
        <v>5001</v>
      </c>
      <c r="I12" s="39" t="s">
        <v>4624</v>
      </c>
      <c r="J12" s="39" t="s">
        <v>5002</v>
      </c>
      <c r="K12" s="39" t="s">
        <v>4957</v>
      </c>
      <c r="L12" s="39" t="s">
        <v>5003</v>
      </c>
      <c r="M12" s="39" t="s">
        <v>4959</v>
      </c>
      <c r="N12" s="39">
        <v>18</v>
      </c>
      <c r="O12" s="39">
        <v>-2</v>
      </c>
      <c r="P12" s="39">
        <v>16</v>
      </c>
      <c r="Q12" s="39" t="s">
        <v>14</v>
      </c>
      <c r="R12" s="39">
        <v>-1.45</v>
      </c>
      <c r="S12" s="39">
        <v>-1.74</v>
      </c>
      <c r="T12" s="39">
        <v>6.73</v>
      </c>
      <c r="U12" s="39">
        <v>9.34</v>
      </c>
      <c r="V12" s="39">
        <v>28.48</v>
      </c>
      <c r="W12" s="39">
        <v>42.7</v>
      </c>
      <c r="X12" s="39">
        <v>38.83</v>
      </c>
      <c r="Y12" s="39">
        <v>-13.3</v>
      </c>
      <c r="Z12" s="39">
        <v>108.56</v>
      </c>
      <c r="AA12" s="39">
        <v>435.29</v>
      </c>
      <c r="AB12" s="39" t="s">
        <v>4538</v>
      </c>
      <c r="AC12" s="39" t="s">
        <v>4538</v>
      </c>
      <c r="AD12" s="39" t="s">
        <v>4606</v>
      </c>
      <c r="AE12" s="39" t="s">
        <v>134</v>
      </c>
      <c r="AF12" s="39">
        <v>15</v>
      </c>
      <c r="AG12" s="42">
        <v>4.4900000000000002E-2</v>
      </c>
      <c r="AH12" s="39">
        <v>196</v>
      </c>
      <c r="AI12" s="42">
        <v>0.2676</v>
      </c>
      <c r="AJ12" s="39" t="s">
        <v>5004</v>
      </c>
      <c r="AK12" s="42">
        <v>0.28060000000000002</v>
      </c>
      <c r="AL12" s="39" t="s">
        <v>5005</v>
      </c>
      <c r="AM12" s="42">
        <v>3.9800000000000002E-2</v>
      </c>
      <c r="AN12" s="42">
        <v>0.13070000000000001</v>
      </c>
      <c r="AO12" s="39">
        <v>85</v>
      </c>
      <c r="AP12" s="39">
        <v>60</v>
      </c>
      <c r="AQ12" s="39">
        <v>54</v>
      </c>
      <c r="AR12" s="45">
        <v>683</v>
      </c>
      <c r="AS12" s="39">
        <v>9</v>
      </c>
      <c r="AT12" s="39" t="s">
        <v>4562</v>
      </c>
      <c r="AU12" s="39">
        <v>17</v>
      </c>
      <c r="AV12" s="39" t="s">
        <v>4626</v>
      </c>
      <c r="AW12" s="39">
        <v>630.70000000000005</v>
      </c>
      <c r="AX12" s="39">
        <v>633.75</v>
      </c>
      <c r="AY12" s="39">
        <v>637.1</v>
      </c>
      <c r="AZ12" s="39">
        <v>624.29999999999995</v>
      </c>
      <c r="BA12" s="39">
        <v>620.95000000000005</v>
      </c>
      <c r="BB12" s="39">
        <v>617.9</v>
      </c>
      <c r="BC12" s="39">
        <v>8</v>
      </c>
      <c r="BD12" s="39">
        <v>1</v>
      </c>
      <c r="BE12" s="39">
        <v>9</v>
      </c>
      <c r="BF12" s="39" t="s">
        <v>130</v>
      </c>
      <c r="BG12" s="39">
        <v>555.4</v>
      </c>
      <c r="BH12" s="39">
        <v>0.9</v>
      </c>
      <c r="BI12" s="39" t="s">
        <v>4563</v>
      </c>
      <c r="BJ12" s="39" t="s">
        <v>131</v>
      </c>
      <c r="BK12" t="s">
        <v>5289</v>
      </c>
      <c r="BL12" s="39" t="s">
        <v>4788</v>
      </c>
    </row>
    <row r="13" spans="1:64" x14ac:dyDescent="0.35">
      <c r="A13" s="39" t="s">
        <v>1274</v>
      </c>
      <c r="B13" s="39" t="str">
        <f>IFERROR(INDEX(added_new_stocks!$F$6:$H$2156,MATCH(A13,added_new_stocks!$F$6:$F$2143,0),3),"")</f>
        <v>Small</v>
      </c>
      <c r="C13" s="48">
        <v>1394.5</v>
      </c>
      <c r="D13" s="39">
        <v>64</v>
      </c>
      <c r="G13" s="39" t="s">
        <v>4562</v>
      </c>
      <c r="H13" s="39" t="s">
        <v>5006</v>
      </c>
      <c r="I13" s="39" t="s">
        <v>4624</v>
      </c>
      <c r="J13" s="39" t="s">
        <v>5007</v>
      </c>
      <c r="K13" s="39" t="s">
        <v>4615</v>
      </c>
      <c r="L13" s="39" t="s">
        <v>5008</v>
      </c>
      <c r="M13" s="39" t="s">
        <v>4959</v>
      </c>
      <c r="N13" s="39">
        <v>17</v>
      </c>
      <c r="O13" s="39">
        <v>0</v>
      </c>
      <c r="P13" s="39">
        <v>17</v>
      </c>
      <c r="Q13" s="39" t="s">
        <v>14</v>
      </c>
      <c r="R13" s="39">
        <v>-0.86</v>
      </c>
      <c r="S13" s="39">
        <v>-2.71</v>
      </c>
      <c r="T13" s="39">
        <v>36.51</v>
      </c>
      <c r="U13" s="39">
        <v>62.9</v>
      </c>
      <c r="V13" s="39">
        <v>78.400000000000006</v>
      </c>
      <c r="W13" s="39">
        <v>98.8</v>
      </c>
      <c r="X13" s="39">
        <v>109.7</v>
      </c>
      <c r="Y13" s="39" t="s">
        <v>4538</v>
      </c>
      <c r="Z13" s="39" t="s">
        <v>4538</v>
      </c>
      <c r="AA13" s="39" t="s">
        <v>4538</v>
      </c>
      <c r="AB13" s="39" t="s">
        <v>4538</v>
      </c>
      <c r="AC13" s="39" t="s">
        <v>4538</v>
      </c>
      <c r="AD13" s="39" t="s">
        <v>4606</v>
      </c>
      <c r="AE13" s="39" t="s">
        <v>134</v>
      </c>
      <c r="AF13" s="39">
        <v>9</v>
      </c>
      <c r="AG13" s="42">
        <v>9.5899999999999999E-2</v>
      </c>
      <c r="AH13" s="39">
        <v>55</v>
      </c>
      <c r="AI13" s="42">
        <v>2.1100000000000001E-2</v>
      </c>
      <c r="AJ13" s="39" t="s">
        <v>5009</v>
      </c>
      <c r="AK13" s="42">
        <v>0.19980000000000001</v>
      </c>
      <c r="AL13" s="39" t="s">
        <v>5010</v>
      </c>
      <c r="AM13" s="42">
        <v>2.7E-2</v>
      </c>
      <c r="AN13" s="42">
        <v>0.2427</v>
      </c>
      <c r="AO13" s="39">
        <v>70</v>
      </c>
      <c r="AP13" s="39">
        <v>19</v>
      </c>
      <c r="AQ13" s="39">
        <v>73</v>
      </c>
      <c r="AR13" s="45">
        <v>1070</v>
      </c>
      <c r="AS13" s="39">
        <v>-23</v>
      </c>
      <c r="AT13" s="39" t="s">
        <v>4633</v>
      </c>
      <c r="AU13" s="39">
        <v>1</v>
      </c>
      <c r="AV13" s="39" t="s">
        <v>4634</v>
      </c>
      <c r="AW13" s="39">
        <v>1419.57</v>
      </c>
      <c r="AX13" s="39">
        <v>1447.18</v>
      </c>
      <c r="AY13" s="39">
        <v>1481.97</v>
      </c>
      <c r="AZ13" s="39">
        <v>1357.17</v>
      </c>
      <c r="BA13" s="39">
        <v>1322.38</v>
      </c>
      <c r="BB13" s="39">
        <v>1294.77</v>
      </c>
      <c r="BC13" s="39">
        <v>16</v>
      </c>
      <c r="BD13" s="39">
        <v>4</v>
      </c>
      <c r="BE13" s="39">
        <v>5</v>
      </c>
      <c r="BF13" s="39" t="s">
        <v>130</v>
      </c>
      <c r="BG13" s="39">
        <v>335.9</v>
      </c>
      <c r="BH13" s="39">
        <v>0.2</v>
      </c>
      <c r="BI13" s="39" t="s">
        <v>131</v>
      </c>
      <c r="BJ13" s="39" t="s">
        <v>132</v>
      </c>
      <c r="BK13" t="s">
        <v>5290</v>
      </c>
      <c r="BL13" s="39" t="s">
        <v>4789</v>
      </c>
    </row>
    <row r="14" spans="1:64" x14ac:dyDescent="0.35">
      <c r="A14" s="39" t="s">
        <v>452</v>
      </c>
      <c r="B14" s="39" t="str">
        <f>IFERROR(INDEX(added_new_stocks!$F$6:$H$2156,MATCH(A14,added_new_stocks!$F$6:$F$2143,0),3),"")</f>
        <v>Large</v>
      </c>
      <c r="C14" s="48">
        <v>1546.95</v>
      </c>
      <c r="D14" s="39">
        <v>80</v>
      </c>
      <c r="E14" s="39" t="s">
        <v>4987</v>
      </c>
      <c r="F14" s="39" t="s">
        <v>5011</v>
      </c>
      <c r="G14" s="39" t="s">
        <v>4633</v>
      </c>
      <c r="H14" s="39" t="s">
        <v>5012</v>
      </c>
      <c r="I14" s="39" t="s">
        <v>4624</v>
      </c>
      <c r="J14" s="39" t="s">
        <v>5013</v>
      </c>
      <c r="K14" s="39" t="s">
        <v>4957</v>
      </c>
      <c r="L14" s="39" t="s">
        <v>5014</v>
      </c>
      <c r="M14" s="39" t="s">
        <v>4620</v>
      </c>
      <c r="N14" s="39">
        <v>14</v>
      </c>
      <c r="O14" s="39">
        <v>-2</v>
      </c>
      <c r="P14" s="39">
        <v>12</v>
      </c>
      <c r="Q14" s="39" t="s">
        <v>14</v>
      </c>
      <c r="R14" s="39">
        <v>-0.76</v>
      </c>
      <c r="S14" s="39">
        <v>-0.28999999999999998</v>
      </c>
      <c r="T14" s="39">
        <v>14.81</v>
      </c>
      <c r="U14" s="39">
        <v>38.85</v>
      </c>
      <c r="V14" s="39">
        <v>20.059999999999999</v>
      </c>
      <c r="W14" s="39">
        <v>41.53</v>
      </c>
      <c r="X14" s="39">
        <v>47.91</v>
      </c>
      <c r="Y14" s="39">
        <v>90.79</v>
      </c>
      <c r="Z14" s="39">
        <v>571.52</v>
      </c>
      <c r="AA14" s="39">
        <v>1069.8</v>
      </c>
      <c r="AB14" s="39">
        <v>802.46</v>
      </c>
      <c r="AC14" s="39">
        <v>10717.83</v>
      </c>
      <c r="AD14" s="39" t="s">
        <v>5015</v>
      </c>
      <c r="AE14" s="39" t="s">
        <v>134</v>
      </c>
      <c r="AF14" s="39">
        <v>26</v>
      </c>
      <c r="AG14" s="42">
        <v>8.8200000000000001E-2</v>
      </c>
      <c r="AH14" s="39">
        <v>308</v>
      </c>
      <c r="AI14" s="42">
        <v>0.25080000000000002</v>
      </c>
      <c r="AJ14" s="39" t="s">
        <v>5016</v>
      </c>
      <c r="AK14" s="42">
        <v>0.27710000000000001</v>
      </c>
      <c r="AL14" s="39" t="s">
        <v>5017</v>
      </c>
      <c r="AM14" s="42">
        <v>6.6699999999999995E-2</v>
      </c>
      <c r="AN14" s="42">
        <v>0.16259999999999999</v>
      </c>
      <c r="AO14" s="39">
        <v>65</v>
      </c>
      <c r="AP14" s="39">
        <v>18</v>
      </c>
      <c r="AQ14" s="39">
        <v>61</v>
      </c>
      <c r="AR14" s="45">
        <v>1501</v>
      </c>
      <c r="AS14" s="39">
        <v>-3</v>
      </c>
      <c r="AT14" s="39" t="s">
        <v>129</v>
      </c>
      <c r="AU14" s="39">
        <v>12</v>
      </c>
      <c r="AV14" s="39" t="s">
        <v>4635</v>
      </c>
      <c r="AW14" s="39">
        <v>1570.67</v>
      </c>
      <c r="AX14" s="39">
        <v>1591.58</v>
      </c>
      <c r="AY14" s="39">
        <v>1605.37</v>
      </c>
      <c r="AZ14" s="39">
        <v>1535.97</v>
      </c>
      <c r="BA14" s="39">
        <v>1522.18</v>
      </c>
      <c r="BB14" s="39">
        <v>1501.27</v>
      </c>
      <c r="BC14" s="39">
        <v>11</v>
      </c>
      <c r="BD14" s="39">
        <v>2</v>
      </c>
      <c r="BE14" s="39">
        <v>4</v>
      </c>
      <c r="BF14" s="39" t="s">
        <v>130</v>
      </c>
      <c r="BG14" s="39">
        <v>250.7</v>
      </c>
      <c r="BH14" s="39">
        <v>0.2</v>
      </c>
      <c r="BI14" s="39" t="s">
        <v>4563</v>
      </c>
      <c r="BK14" t="s">
        <v>5291</v>
      </c>
      <c r="BL14" s="39" t="s">
        <v>4794</v>
      </c>
    </row>
    <row r="15" spans="1:64" x14ac:dyDescent="0.35">
      <c r="A15" s="39" t="s">
        <v>793</v>
      </c>
      <c r="B15" s="39" t="str">
        <f>IFERROR(INDEX(added_new_stocks!$F$6:$H$2156,MATCH(A15,added_new_stocks!$F$6:$F$2143,0),3),"")</f>
        <v>Mid</v>
      </c>
      <c r="C15" s="39">
        <v>780.55</v>
      </c>
      <c r="D15" s="39">
        <v>75</v>
      </c>
      <c r="G15" s="39" t="s">
        <v>129</v>
      </c>
      <c r="H15" s="39" t="s">
        <v>4969</v>
      </c>
      <c r="I15" s="39" t="s">
        <v>4624</v>
      </c>
      <c r="J15" s="39" t="s">
        <v>4986</v>
      </c>
      <c r="K15" s="39" t="s">
        <v>133</v>
      </c>
      <c r="L15" s="39" t="s">
        <v>4970</v>
      </c>
      <c r="M15" s="39" t="s">
        <v>135</v>
      </c>
      <c r="N15" s="39">
        <v>21</v>
      </c>
      <c r="O15" s="39">
        <v>-2</v>
      </c>
      <c r="P15" s="39">
        <v>19</v>
      </c>
      <c r="Q15" s="39" t="s">
        <v>14</v>
      </c>
      <c r="R15" s="39">
        <v>5.0599999999999996</v>
      </c>
      <c r="S15" s="39">
        <v>-1.04</v>
      </c>
      <c r="T15" s="39">
        <v>18.559999999999999</v>
      </c>
      <c r="U15" s="39">
        <v>39.299999999999997</v>
      </c>
      <c r="V15" s="39">
        <v>54.55</v>
      </c>
      <c r="W15" s="39">
        <v>36.21</v>
      </c>
      <c r="X15" s="39">
        <v>19.22</v>
      </c>
      <c r="Y15" s="39">
        <v>2.23</v>
      </c>
      <c r="Z15" s="39">
        <v>-22.66</v>
      </c>
      <c r="AA15" s="39">
        <v>51.95</v>
      </c>
      <c r="AB15" s="39">
        <v>32.5</v>
      </c>
      <c r="AC15" s="39">
        <v>435.36</v>
      </c>
      <c r="AD15" s="39" t="s">
        <v>4606</v>
      </c>
      <c r="AE15" s="39" t="s">
        <v>134</v>
      </c>
      <c r="AF15" s="39">
        <v>11</v>
      </c>
      <c r="AG15" s="42">
        <v>6.6400000000000001E-2</v>
      </c>
      <c r="AH15" s="39">
        <v>127</v>
      </c>
      <c r="AI15" s="42">
        <v>4.3400000000000001E-2</v>
      </c>
      <c r="AJ15" s="39" t="s">
        <v>4971</v>
      </c>
      <c r="AK15" s="42">
        <v>0.35630000000000001</v>
      </c>
      <c r="AL15" s="39" t="s">
        <v>136</v>
      </c>
      <c r="AM15" s="42">
        <v>4.3299999999999998E-2</v>
      </c>
      <c r="AN15" s="42">
        <v>8.9800000000000005E-2</v>
      </c>
      <c r="AO15" s="39">
        <v>75</v>
      </c>
      <c r="AP15" s="39">
        <v>39</v>
      </c>
      <c r="AQ15" s="39">
        <v>64</v>
      </c>
      <c r="AR15" s="39">
        <v>715</v>
      </c>
      <c r="AS15" s="39">
        <v>-8</v>
      </c>
      <c r="AT15" s="39" t="s">
        <v>4625</v>
      </c>
      <c r="AU15" s="39">
        <v>15</v>
      </c>
      <c r="AV15" s="39" t="s">
        <v>4627</v>
      </c>
      <c r="AW15" s="39">
        <v>797.1</v>
      </c>
      <c r="AX15" s="39">
        <v>813.5</v>
      </c>
      <c r="AY15" s="39">
        <v>840.55</v>
      </c>
      <c r="AZ15" s="39">
        <v>753.65</v>
      </c>
      <c r="BA15" s="39">
        <v>726.6</v>
      </c>
      <c r="BB15" s="39">
        <v>710.2</v>
      </c>
      <c r="BC15" s="39">
        <v>6</v>
      </c>
      <c r="BD15" s="39">
        <v>5</v>
      </c>
      <c r="BE15" s="39">
        <v>8</v>
      </c>
      <c r="BF15" s="39" t="s">
        <v>130</v>
      </c>
      <c r="BG15" s="39">
        <v>366.8</v>
      </c>
      <c r="BH15" s="39">
        <v>0.5</v>
      </c>
      <c r="BI15" s="39" t="s">
        <v>4565</v>
      </c>
      <c r="BJ15" s="39" t="s">
        <v>4563</v>
      </c>
      <c r="BK15" t="s">
        <v>4992</v>
      </c>
      <c r="BL15" s="39" t="s">
        <v>4790</v>
      </c>
    </row>
    <row r="16" spans="1:64" x14ac:dyDescent="0.35">
      <c r="A16" s="39" t="s">
        <v>1464</v>
      </c>
      <c r="B16" s="39" t="str">
        <f>IFERROR(INDEX(added_new_stocks!$F$6:$H$2156,MATCH(A16,added_new_stocks!$F$6:$F$2143,0),3),"")</f>
        <v>Small</v>
      </c>
      <c r="C16" s="39">
        <v>155.69999999999999</v>
      </c>
      <c r="D16" s="39">
        <v>46</v>
      </c>
      <c r="G16" s="47" t="s">
        <v>4633</v>
      </c>
      <c r="H16" s="39" t="s">
        <v>5018</v>
      </c>
      <c r="I16" s="39" t="s">
        <v>4624</v>
      </c>
      <c r="J16" s="39" t="s">
        <v>5019</v>
      </c>
      <c r="K16" s="39" t="s">
        <v>4603</v>
      </c>
      <c r="L16" s="39" t="s">
        <v>5020</v>
      </c>
      <c r="M16" s="39" t="s">
        <v>4955</v>
      </c>
      <c r="N16" s="39">
        <v>6</v>
      </c>
      <c r="O16" s="39">
        <v>-15</v>
      </c>
      <c r="P16" s="39">
        <v>-9</v>
      </c>
      <c r="Q16" s="39" t="s">
        <v>4605</v>
      </c>
      <c r="R16" s="39">
        <v>-0.26</v>
      </c>
      <c r="S16" s="39">
        <v>8.6199999999999992</v>
      </c>
      <c r="T16" s="39">
        <v>11.49</v>
      </c>
      <c r="U16" s="39">
        <v>33.76</v>
      </c>
      <c r="V16" s="39">
        <v>87.82</v>
      </c>
      <c r="W16" s="39">
        <v>73.48</v>
      </c>
      <c r="X16" s="39">
        <v>54.77</v>
      </c>
      <c r="Y16" s="39">
        <v>65.64</v>
      </c>
      <c r="Z16" s="39">
        <v>353.28</v>
      </c>
      <c r="AA16" s="39">
        <v>205.89</v>
      </c>
      <c r="AB16" s="39">
        <v>-61.3</v>
      </c>
      <c r="AC16" s="39">
        <v>121.95</v>
      </c>
      <c r="AD16" s="39" t="s">
        <v>4606</v>
      </c>
      <c r="AE16" s="39">
        <v>7.39</v>
      </c>
      <c r="AF16" s="39">
        <v>18</v>
      </c>
      <c r="AG16" s="42">
        <v>0.11070000000000001</v>
      </c>
      <c r="AH16" s="39">
        <v>92</v>
      </c>
      <c r="AI16" s="42">
        <v>0.1074</v>
      </c>
      <c r="AJ16" s="39" t="s">
        <v>5021</v>
      </c>
      <c r="AK16" s="42">
        <v>0.3584</v>
      </c>
      <c r="AL16" s="39" t="s">
        <v>5022</v>
      </c>
      <c r="AM16" s="42">
        <v>4.6699999999999998E-2</v>
      </c>
      <c r="AN16" s="42">
        <v>0.26279999999999998</v>
      </c>
      <c r="AO16" s="39">
        <v>60</v>
      </c>
      <c r="AP16" s="39">
        <v>68</v>
      </c>
      <c r="AQ16" s="39">
        <v>72</v>
      </c>
      <c r="AR16" s="39">
        <v>149</v>
      </c>
      <c r="AS16" s="39">
        <v>-4</v>
      </c>
      <c r="AT16" s="39" t="s">
        <v>129</v>
      </c>
      <c r="AU16" s="39">
        <v>4</v>
      </c>
      <c r="AV16" s="39" t="s">
        <v>4636</v>
      </c>
      <c r="AW16" s="39">
        <v>159.41999999999999</v>
      </c>
      <c r="AX16" s="39">
        <v>162.93</v>
      </c>
      <c r="AY16" s="39">
        <v>166.17</v>
      </c>
      <c r="AZ16" s="39">
        <v>152.66999999999999</v>
      </c>
      <c r="BA16" s="39">
        <v>149.43</v>
      </c>
      <c r="BB16" s="39">
        <v>145.91999999999999</v>
      </c>
      <c r="BC16" s="39">
        <v>6</v>
      </c>
      <c r="BD16" s="39">
        <v>7</v>
      </c>
      <c r="BE16" s="39" t="s">
        <v>130</v>
      </c>
      <c r="BF16" s="39">
        <v>2.2000000000000002</v>
      </c>
      <c r="BG16" s="39">
        <v>11</v>
      </c>
      <c r="BH16" s="39">
        <v>204.1</v>
      </c>
      <c r="BI16" s="39" t="s">
        <v>131</v>
      </c>
      <c r="BJ16" s="39" t="s">
        <v>4563</v>
      </c>
      <c r="BK16" t="s">
        <v>5292</v>
      </c>
      <c r="BL16" s="39" t="s">
        <v>4795</v>
      </c>
    </row>
    <row r="17" spans="1:64" x14ac:dyDescent="0.35">
      <c r="A17" s="39" t="s">
        <v>1361</v>
      </c>
      <c r="B17" s="39" t="str">
        <f>IFERROR(INDEX(added_new_stocks!$F$6:$H$2156,MATCH(A17,added_new_stocks!$F$6:$F$2143,0),3),"")</f>
        <v>Small</v>
      </c>
      <c r="C17" s="48">
        <v>1329.9</v>
      </c>
      <c r="D17" s="39">
        <v>24</v>
      </c>
      <c r="G17" s="39" t="s">
        <v>4963</v>
      </c>
      <c r="H17" s="39" t="s">
        <v>5023</v>
      </c>
      <c r="I17" s="39" t="s">
        <v>4976</v>
      </c>
      <c r="J17" s="39" t="s">
        <v>5024</v>
      </c>
      <c r="K17" s="39" t="s">
        <v>4615</v>
      </c>
      <c r="L17" s="39" t="s">
        <v>5025</v>
      </c>
      <c r="M17" s="39" t="s">
        <v>4959</v>
      </c>
      <c r="N17" s="39">
        <v>4</v>
      </c>
      <c r="O17" s="39">
        <v>-36</v>
      </c>
      <c r="P17" s="39">
        <v>-32</v>
      </c>
      <c r="Q17" s="39" t="s">
        <v>5026</v>
      </c>
      <c r="R17" s="39">
        <v>-0.1</v>
      </c>
      <c r="S17" s="39">
        <v>-0.5</v>
      </c>
      <c r="T17" s="39">
        <v>0.67</v>
      </c>
      <c r="U17" s="39">
        <v>-11.51</v>
      </c>
      <c r="V17" s="39">
        <v>-8.92</v>
      </c>
      <c r="W17" s="39">
        <v>-24.26</v>
      </c>
      <c r="X17" s="39">
        <v>-29.65</v>
      </c>
      <c r="Y17" s="39">
        <v>1.06</v>
      </c>
      <c r="Z17" s="39">
        <v>27.09</v>
      </c>
      <c r="AA17" s="39">
        <v>269.31</v>
      </c>
      <c r="AB17" s="39">
        <v>116.88</v>
      </c>
      <c r="AC17" s="39">
        <v>6549.5</v>
      </c>
      <c r="AD17" s="39" t="s">
        <v>4606</v>
      </c>
      <c r="AE17" s="39" t="s">
        <v>134</v>
      </c>
      <c r="AF17" s="39">
        <v>4</v>
      </c>
      <c r="AG17" s="42">
        <v>9.1399999999999995E-2</v>
      </c>
      <c r="AH17" s="39">
        <v>29</v>
      </c>
      <c r="AI17" s="42">
        <v>1.95E-2</v>
      </c>
      <c r="AJ17" s="39" t="s">
        <v>5027</v>
      </c>
      <c r="AK17" s="42">
        <v>0.64770000000000005</v>
      </c>
      <c r="AL17" s="39" t="s">
        <v>5028</v>
      </c>
      <c r="AM17" s="42">
        <v>4.5499999999999999E-2</v>
      </c>
      <c r="AN17" s="42">
        <v>0.17749999999999999</v>
      </c>
      <c r="AO17" s="39">
        <v>35</v>
      </c>
      <c r="AP17" s="39">
        <v>14</v>
      </c>
      <c r="AQ17" s="39">
        <v>46</v>
      </c>
      <c r="AR17" s="45">
        <v>1342</v>
      </c>
      <c r="AS17" s="39">
        <v>1</v>
      </c>
      <c r="AT17" s="39" t="s">
        <v>4562</v>
      </c>
      <c r="AU17" s="39">
        <v>3</v>
      </c>
      <c r="AV17" s="39" t="s">
        <v>4637</v>
      </c>
      <c r="AW17" s="39">
        <v>1347.53</v>
      </c>
      <c r="AX17" s="39">
        <v>1368.07</v>
      </c>
      <c r="AY17" s="39">
        <v>1382.23</v>
      </c>
      <c r="AZ17" s="39">
        <v>1312.83</v>
      </c>
      <c r="BA17" s="39">
        <v>1298.67</v>
      </c>
      <c r="BB17" s="39">
        <v>1278.1300000000001</v>
      </c>
      <c r="BC17" s="39">
        <v>5</v>
      </c>
      <c r="BD17" s="39">
        <v>10</v>
      </c>
      <c r="BE17" s="39" t="s">
        <v>130</v>
      </c>
      <c r="BF17" s="39" t="s">
        <v>130</v>
      </c>
      <c r="BG17" s="39">
        <v>121.1</v>
      </c>
      <c r="BH17" s="39">
        <v>0.1</v>
      </c>
      <c r="BI17" s="39" t="s">
        <v>4563</v>
      </c>
      <c r="BK17" t="s">
        <v>5293</v>
      </c>
      <c r="BL17" s="39" t="s">
        <v>4796</v>
      </c>
    </row>
    <row r="18" spans="1:64" x14ac:dyDescent="0.35">
      <c r="A18" s="39" t="s">
        <v>870</v>
      </c>
      <c r="B18" s="39" t="str">
        <f>IFERROR(INDEX(added_new_stocks!$F$6:$H$2156,MATCH(A18,added_new_stocks!$F$6:$F$2143,0),3),"")</f>
        <v>Mid</v>
      </c>
      <c r="C18" s="48">
        <v>1938.8</v>
      </c>
      <c r="D18" s="39">
        <v>78</v>
      </c>
      <c r="E18" s="39" t="s">
        <v>4987</v>
      </c>
      <c r="F18" s="39" t="s">
        <v>5029</v>
      </c>
      <c r="G18" s="39" t="s">
        <v>129</v>
      </c>
      <c r="H18" s="39" t="s">
        <v>5030</v>
      </c>
      <c r="I18" s="39" t="s">
        <v>4624</v>
      </c>
      <c r="J18" s="39" t="s">
        <v>5031</v>
      </c>
      <c r="K18" s="39" t="s">
        <v>4957</v>
      </c>
      <c r="L18" s="39" t="s">
        <v>5032</v>
      </c>
      <c r="M18" s="39" t="s">
        <v>4959</v>
      </c>
      <c r="N18" s="39">
        <v>8</v>
      </c>
      <c r="O18" s="39">
        <v>-2</v>
      </c>
      <c r="P18" s="39">
        <v>6</v>
      </c>
      <c r="Q18" s="39" t="s">
        <v>14</v>
      </c>
      <c r="R18" s="39">
        <v>-2.65</v>
      </c>
      <c r="S18" s="39">
        <v>-1.77</v>
      </c>
      <c r="T18" s="39">
        <v>5.36</v>
      </c>
      <c r="U18" s="39">
        <v>15.01</v>
      </c>
      <c r="V18" s="39">
        <v>35.11</v>
      </c>
      <c r="W18" s="39">
        <v>31.63</v>
      </c>
      <c r="X18" s="39">
        <v>26.71</v>
      </c>
      <c r="Y18" s="39">
        <v>24.88</v>
      </c>
      <c r="Z18" s="39">
        <v>210.03</v>
      </c>
      <c r="AA18" s="39">
        <v>256.22000000000003</v>
      </c>
      <c r="AB18" s="39">
        <v>281.45999999999998</v>
      </c>
      <c r="AC18" s="39">
        <v>3841.85</v>
      </c>
      <c r="AD18" s="39" t="s">
        <v>4606</v>
      </c>
      <c r="AE18" s="39" t="s">
        <v>134</v>
      </c>
      <c r="AF18" s="39">
        <v>27</v>
      </c>
      <c r="AG18" s="42">
        <v>8.7599999999999997E-2</v>
      </c>
      <c r="AH18" s="39">
        <v>295</v>
      </c>
      <c r="AI18" s="42">
        <v>0.15640000000000001</v>
      </c>
      <c r="AJ18" s="39" t="s">
        <v>5033</v>
      </c>
      <c r="AK18" s="42">
        <v>0.31580000000000003</v>
      </c>
      <c r="AL18" s="39" t="s">
        <v>5034</v>
      </c>
      <c r="AM18" s="42">
        <v>3.78E-2</v>
      </c>
      <c r="AN18" s="42">
        <v>0.1086</v>
      </c>
      <c r="AO18" s="39">
        <v>80</v>
      </c>
      <c r="AP18" s="39">
        <v>12</v>
      </c>
      <c r="AQ18" s="39">
        <v>64</v>
      </c>
      <c r="AR18" s="45"/>
      <c r="AS18" s="39" t="s">
        <v>4564</v>
      </c>
      <c r="AW18" s="39">
        <v>4159.45</v>
      </c>
      <c r="AX18" s="39">
        <v>4222.3500000000004</v>
      </c>
      <c r="AY18" s="39">
        <v>4264.75</v>
      </c>
      <c r="AZ18" s="39">
        <v>4054.15</v>
      </c>
      <c r="BA18" s="39">
        <v>4011.75</v>
      </c>
      <c r="BB18" s="39">
        <v>3948.85</v>
      </c>
      <c r="BC18" s="39">
        <v>3</v>
      </c>
      <c r="BD18" s="39">
        <v>2</v>
      </c>
      <c r="BE18" s="39" t="s">
        <v>130</v>
      </c>
      <c r="BF18" s="39">
        <v>0.41</v>
      </c>
      <c r="BG18" s="48">
        <v>16</v>
      </c>
      <c r="BH18" s="39">
        <v>530.9</v>
      </c>
      <c r="BI18" s="39" t="s">
        <v>131</v>
      </c>
      <c r="BJ18" s="39" t="s">
        <v>131</v>
      </c>
      <c r="BK18" t="s">
        <v>5294</v>
      </c>
      <c r="BL18" s="39" t="s">
        <v>4797</v>
      </c>
    </row>
    <row r="19" spans="1:64" x14ac:dyDescent="0.35">
      <c r="A19" s="39" t="s">
        <v>575</v>
      </c>
      <c r="B19" s="39" t="str">
        <f>IFERROR(INDEX(added_new_stocks!$F$6:$H$2156,MATCH(A19,added_new_stocks!$F$6:$F$2143,0),3),"")</f>
        <v>Large</v>
      </c>
      <c r="C19" s="48">
        <v>6769.95</v>
      </c>
      <c r="D19" s="39">
        <v>35</v>
      </c>
      <c r="G19" s="39" t="s">
        <v>4625</v>
      </c>
      <c r="H19" s="39" t="s">
        <v>5035</v>
      </c>
      <c r="I19" s="39" t="s">
        <v>4976</v>
      </c>
      <c r="J19" s="39" t="s">
        <v>5036</v>
      </c>
      <c r="K19" s="39" t="s">
        <v>133</v>
      </c>
      <c r="L19" s="39" t="s">
        <v>5037</v>
      </c>
      <c r="M19" s="39" t="s">
        <v>4620</v>
      </c>
      <c r="N19" s="39">
        <v>3</v>
      </c>
      <c r="O19" s="39">
        <v>-12</v>
      </c>
      <c r="P19" s="39">
        <v>-9</v>
      </c>
      <c r="Q19" s="39" t="s">
        <v>4605</v>
      </c>
      <c r="R19" s="39">
        <v>0.02</v>
      </c>
      <c r="S19" s="39">
        <v>-0.41</v>
      </c>
      <c r="T19" s="39">
        <v>2.37</v>
      </c>
      <c r="U19" s="39">
        <v>1.34</v>
      </c>
      <c r="V19" s="39">
        <v>-7.04</v>
      </c>
      <c r="W19" s="39">
        <v>-18.100000000000001</v>
      </c>
      <c r="X19" s="39">
        <v>-27.22</v>
      </c>
      <c r="Y19" s="39">
        <v>-27.32</v>
      </c>
      <c r="Z19" s="39">
        <v>28.24</v>
      </c>
      <c r="AA19" s="39">
        <v>89.62</v>
      </c>
      <c r="AB19" s="39">
        <v>122.99</v>
      </c>
      <c r="AC19" s="39">
        <v>2146.17</v>
      </c>
      <c r="AD19" s="39" t="s">
        <v>4606</v>
      </c>
      <c r="AE19" s="39">
        <v>0.98</v>
      </c>
      <c r="AF19" s="39">
        <v>20</v>
      </c>
      <c r="AG19" s="42">
        <v>0.1918</v>
      </c>
      <c r="AH19" s="39">
        <v>120</v>
      </c>
      <c r="AI19" s="42">
        <v>7.6200000000000004E-2</v>
      </c>
      <c r="AJ19" s="39" t="s">
        <v>5038</v>
      </c>
      <c r="AK19" s="42">
        <v>0.22550000000000001</v>
      </c>
      <c r="AL19" s="39" t="s">
        <v>4968</v>
      </c>
      <c r="AM19" s="42">
        <v>4.7300000000000002E-2</v>
      </c>
      <c r="AN19" s="42">
        <v>0.16689999999999999</v>
      </c>
      <c r="AO19" s="39">
        <v>50</v>
      </c>
      <c r="AP19" s="39">
        <v>25</v>
      </c>
      <c r="AQ19" s="39">
        <v>38</v>
      </c>
      <c r="AR19" s="45">
        <v>6453</v>
      </c>
      <c r="AS19" s="39">
        <v>-5</v>
      </c>
      <c r="AT19" s="39" t="s">
        <v>4625</v>
      </c>
      <c r="AU19" s="39">
        <v>10</v>
      </c>
      <c r="AV19" s="39" t="s">
        <v>4638</v>
      </c>
      <c r="AW19" s="39">
        <v>6812.62</v>
      </c>
      <c r="AX19" s="39">
        <v>6861.13</v>
      </c>
      <c r="AY19" s="39">
        <v>6908.02</v>
      </c>
      <c r="AZ19" s="39">
        <v>6717.22</v>
      </c>
      <c r="BA19" s="39">
        <v>6670.33</v>
      </c>
      <c r="BB19" s="39">
        <v>6621.82</v>
      </c>
      <c r="BC19" s="39">
        <v>5</v>
      </c>
      <c r="BD19" s="39">
        <v>14</v>
      </c>
      <c r="BE19" s="39">
        <v>1</v>
      </c>
      <c r="BF19" s="39" t="s">
        <v>130</v>
      </c>
      <c r="BG19" s="48">
        <v>2350.4</v>
      </c>
      <c r="BH19" s="39">
        <v>0.3</v>
      </c>
      <c r="BI19" s="39" t="s">
        <v>4639</v>
      </c>
      <c r="BJ19" s="39" t="s">
        <v>4563</v>
      </c>
      <c r="BK19" t="s">
        <v>5295</v>
      </c>
      <c r="BL19" s="39" t="s">
        <v>4798</v>
      </c>
    </row>
    <row r="20" spans="1:64" x14ac:dyDescent="0.35">
      <c r="A20" s="39" t="s">
        <v>474</v>
      </c>
      <c r="B20" s="39" t="str">
        <f>IFERROR(INDEX(added_new_stocks!$F$6:$H$2156,MATCH(A20,added_new_stocks!$F$6:$F$2143,0),3),"")</f>
        <v>Large</v>
      </c>
      <c r="C20" s="39">
        <v>857.95</v>
      </c>
      <c r="D20" s="39">
        <v>67</v>
      </c>
      <c r="G20" s="39" t="s">
        <v>4562</v>
      </c>
      <c r="H20" s="39" t="s">
        <v>5039</v>
      </c>
      <c r="I20" s="39" t="s">
        <v>4624</v>
      </c>
      <c r="J20" s="39" t="s">
        <v>5040</v>
      </c>
      <c r="K20" s="39" t="s">
        <v>133</v>
      </c>
      <c r="L20" s="39" t="s">
        <v>5041</v>
      </c>
      <c r="M20" s="39" t="s">
        <v>4620</v>
      </c>
      <c r="N20" s="39">
        <v>10</v>
      </c>
      <c r="O20" s="39">
        <v>-7</v>
      </c>
      <c r="P20" s="39">
        <v>3</v>
      </c>
      <c r="Q20" s="39" t="s">
        <v>4611</v>
      </c>
      <c r="R20" s="39">
        <v>-0.96</v>
      </c>
      <c r="S20" s="39">
        <v>-0.59</v>
      </c>
      <c r="T20" s="39">
        <v>13.95</v>
      </c>
      <c r="U20" s="39">
        <v>43.16</v>
      </c>
      <c r="V20" s="39">
        <v>81.31</v>
      </c>
      <c r="W20" s="39">
        <v>95.86</v>
      </c>
      <c r="X20" s="39">
        <v>47.17</v>
      </c>
      <c r="Y20" s="39">
        <v>18.850000000000001</v>
      </c>
      <c r="Z20" s="39">
        <v>-1.65</v>
      </c>
      <c r="AA20" s="39">
        <v>42.48</v>
      </c>
      <c r="AB20" s="39">
        <v>31.11</v>
      </c>
      <c r="AC20" s="39">
        <v>822.28</v>
      </c>
      <c r="AD20" s="39" t="s">
        <v>4606</v>
      </c>
      <c r="AE20" s="39">
        <v>19.16</v>
      </c>
      <c r="AF20" s="39">
        <v>20</v>
      </c>
      <c r="AG20" s="42">
        <v>8.3699999999999997E-2</v>
      </c>
      <c r="AH20" s="39">
        <v>607</v>
      </c>
      <c r="AI20" s="42">
        <v>0.24129999999999999</v>
      </c>
      <c r="AJ20" s="39" t="s">
        <v>5042</v>
      </c>
      <c r="AK20" s="39" t="s">
        <v>5043</v>
      </c>
      <c r="AL20" s="39" t="s">
        <v>136</v>
      </c>
      <c r="AM20" s="42">
        <v>5.57E-2</v>
      </c>
      <c r="AN20" s="42">
        <v>7.0199999999999999E-2</v>
      </c>
      <c r="AO20" s="39">
        <v>50</v>
      </c>
      <c r="AP20" s="39">
        <v>41</v>
      </c>
      <c r="AQ20" s="39">
        <v>66</v>
      </c>
      <c r="AR20" s="39">
        <v>823</v>
      </c>
      <c r="AS20" s="39">
        <v>-4</v>
      </c>
      <c r="AT20" s="39" t="s">
        <v>4562</v>
      </c>
      <c r="AU20" s="39">
        <v>28</v>
      </c>
      <c r="AV20" s="39" t="s">
        <v>4640</v>
      </c>
      <c r="AW20" s="39">
        <v>873.43</v>
      </c>
      <c r="AX20" s="39">
        <v>889.07</v>
      </c>
      <c r="AY20" s="39">
        <v>900.13</v>
      </c>
      <c r="AZ20" s="39">
        <v>846.73</v>
      </c>
      <c r="BA20" s="39">
        <v>835.67</v>
      </c>
      <c r="BB20" s="39">
        <v>820.03</v>
      </c>
      <c r="BC20" s="39">
        <v>8</v>
      </c>
      <c r="BD20" s="39">
        <v>7</v>
      </c>
      <c r="BE20" s="39">
        <v>5</v>
      </c>
      <c r="BF20" s="39">
        <v>3</v>
      </c>
      <c r="BG20" s="39">
        <v>590</v>
      </c>
      <c r="BH20" s="39">
        <v>0.7</v>
      </c>
      <c r="BI20" s="39" t="s">
        <v>131</v>
      </c>
      <c r="BJ20" s="39" t="s">
        <v>4563</v>
      </c>
      <c r="BK20" t="s">
        <v>5296</v>
      </c>
      <c r="BL20" s="39" t="s">
        <v>4799</v>
      </c>
    </row>
    <row r="21" spans="1:64" x14ac:dyDescent="0.35">
      <c r="A21" s="39" t="s">
        <v>209</v>
      </c>
      <c r="B21" s="39" t="str">
        <f>IFERROR(INDEX(added_new_stocks!$F$6:$H$2156,MATCH(A21,added_new_stocks!$F$6:$F$2143,0),3),"")</f>
        <v>Large</v>
      </c>
      <c r="C21" s="39">
        <v>942.95</v>
      </c>
      <c r="D21" s="39">
        <v>71</v>
      </c>
      <c r="G21" s="39" t="s">
        <v>129</v>
      </c>
      <c r="H21" s="39" t="s">
        <v>5044</v>
      </c>
      <c r="I21" s="39" t="s">
        <v>4989</v>
      </c>
      <c r="J21" s="39" t="s">
        <v>5045</v>
      </c>
      <c r="K21" s="39" t="s">
        <v>133</v>
      </c>
      <c r="L21" s="39" t="s">
        <v>5046</v>
      </c>
      <c r="M21" s="39" t="s">
        <v>5047</v>
      </c>
      <c r="N21" s="39">
        <v>16</v>
      </c>
      <c r="O21" s="39">
        <v>-9</v>
      </c>
      <c r="P21" s="39">
        <v>7</v>
      </c>
      <c r="Q21" s="39" t="s">
        <v>14</v>
      </c>
      <c r="R21" s="39">
        <v>0.67</v>
      </c>
      <c r="S21" s="39">
        <v>0.65</v>
      </c>
      <c r="T21" s="39">
        <v>-2.13</v>
      </c>
      <c r="U21" s="39">
        <v>3.09</v>
      </c>
      <c r="V21" s="39">
        <v>10.34</v>
      </c>
      <c r="W21" s="39">
        <v>0.97</v>
      </c>
      <c r="X21" s="39">
        <v>23.27</v>
      </c>
      <c r="Y21" s="39">
        <v>24.97</v>
      </c>
      <c r="Z21" s="39">
        <v>111.57</v>
      </c>
      <c r="AA21" s="39">
        <v>39.58</v>
      </c>
      <c r="AB21" s="39">
        <v>50.37</v>
      </c>
      <c r="AC21" s="39">
        <v>346.73</v>
      </c>
      <c r="AD21" s="39" t="s">
        <v>4974</v>
      </c>
      <c r="AE21" s="39" t="s">
        <v>134</v>
      </c>
      <c r="AF21" s="39">
        <v>37</v>
      </c>
      <c r="AG21" s="42">
        <v>0.21709999999999999</v>
      </c>
      <c r="AH21" s="39">
        <v>1461</v>
      </c>
      <c r="AI21" s="43">
        <v>0.52</v>
      </c>
      <c r="AJ21" s="39" t="s">
        <v>5048</v>
      </c>
      <c r="AK21" s="42">
        <v>8.1600000000000006E-2</v>
      </c>
      <c r="AL21" s="39" t="s">
        <v>5049</v>
      </c>
      <c r="AM21" s="42">
        <v>4.7899999999999998E-2</v>
      </c>
      <c r="AN21" s="42">
        <v>5.6899999999999999E-2</v>
      </c>
      <c r="AO21" s="39">
        <v>60</v>
      </c>
      <c r="AP21" s="39">
        <v>41</v>
      </c>
      <c r="AQ21" s="39">
        <v>48</v>
      </c>
      <c r="AR21" s="45">
        <v>1135</v>
      </c>
      <c r="AS21" s="39">
        <v>20</v>
      </c>
      <c r="AT21" s="39" t="s">
        <v>129</v>
      </c>
      <c r="AU21" s="39">
        <v>38</v>
      </c>
      <c r="AV21" s="39" t="s">
        <v>4641</v>
      </c>
      <c r="AW21" s="39">
        <v>948.98</v>
      </c>
      <c r="AX21" s="39">
        <v>954.92</v>
      </c>
      <c r="AY21" s="39">
        <v>963.88</v>
      </c>
      <c r="AZ21" s="39">
        <v>934.08</v>
      </c>
      <c r="BA21" s="39">
        <v>925.12</v>
      </c>
      <c r="BB21" s="39">
        <v>919.18</v>
      </c>
      <c r="BC21" s="39">
        <v>8</v>
      </c>
      <c r="BD21" s="39">
        <v>5</v>
      </c>
      <c r="BE21" s="39">
        <v>5</v>
      </c>
      <c r="BF21" s="39" t="s">
        <v>130</v>
      </c>
      <c r="BG21" s="39">
        <v>621</v>
      </c>
      <c r="BH21" s="39">
        <v>0.7</v>
      </c>
      <c r="BI21" s="39" t="s">
        <v>131</v>
      </c>
      <c r="BJ21" s="39" t="s">
        <v>132</v>
      </c>
      <c r="BK21" t="s">
        <v>5297</v>
      </c>
      <c r="BL21" s="39" t="s">
        <v>4800</v>
      </c>
    </row>
    <row r="22" spans="1:64" x14ac:dyDescent="0.35">
      <c r="A22" s="39" t="s">
        <v>201</v>
      </c>
      <c r="B22" s="39" t="str">
        <f>IFERROR(INDEX(added_new_stocks!$F$6:$H$2156,MATCH(A22,added_new_stocks!$F$6:$F$2143,0),3),"")</f>
        <v>Large</v>
      </c>
      <c r="C22" s="48">
        <v>6861.7</v>
      </c>
      <c r="D22" s="39">
        <v>71</v>
      </c>
      <c r="G22" s="39" t="s">
        <v>129</v>
      </c>
      <c r="H22" s="39" t="s">
        <v>4956</v>
      </c>
      <c r="I22" s="39" t="s">
        <v>4989</v>
      </c>
      <c r="J22" s="39" t="s">
        <v>5050</v>
      </c>
      <c r="K22" s="39" t="s">
        <v>4957</v>
      </c>
      <c r="L22" s="39" t="s">
        <v>4958</v>
      </c>
      <c r="M22" s="39" t="s">
        <v>4959</v>
      </c>
      <c r="N22" s="39">
        <v>23</v>
      </c>
      <c r="O22" s="39">
        <v>-5</v>
      </c>
      <c r="P22" s="39">
        <v>18</v>
      </c>
      <c r="Q22" s="39" t="s">
        <v>14</v>
      </c>
      <c r="R22" s="39">
        <v>-0.84</v>
      </c>
      <c r="S22" s="39">
        <v>-2.86</v>
      </c>
      <c r="T22" s="39">
        <v>-7.51</v>
      </c>
      <c r="U22" s="39">
        <v>1.07</v>
      </c>
      <c r="V22" s="39">
        <v>6.79</v>
      </c>
      <c r="W22" s="39">
        <v>4.37</v>
      </c>
      <c r="X22" s="39">
        <v>-8.4</v>
      </c>
      <c r="Y22" s="39">
        <v>4.8499999999999996</v>
      </c>
      <c r="Z22" s="39">
        <v>100.67</v>
      </c>
      <c r="AA22" s="39">
        <v>105.58</v>
      </c>
      <c r="AB22" s="39">
        <v>140.52000000000001</v>
      </c>
      <c r="AC22" s="39">
        <v>5864.1</v>
      </c>
      <c r="AD22" s="39" t="s">
        <v>4606</v>
      </c>
      <c r="AE22" s="39" t="s">
        <v>134</v>
      </c>
      <c r="AF22" s="39">
        <v>40</v>
      </c>
      <c r="AG22" s="42">
        <v>9.1499999999999998E-2</v>
      </c>
      <c r="AH22" s="39">
        <v>1003</v>
      </c>
      <c r="AI22" s="42">
        <v>0.1668</v>
      </c>
      <c r="AJ22" s="39" t="s">
        <v>4960</v>
      </c>
      <c r="AK22" s="42">
        <v>0.52449999999999997</v>
      </c>
      <c r="AL22" s="39" t="s">
        <v>4961</v>
      </c>
      <c r="AM22" s="42">
        <v>3.4099999999999998E-2</v>
      </c>
      <c r="AN22" s="42">
        <v>8.6800000000000002E-2</v>
      </c>
      <c r="AO22" s="39">
        <v>60</v>
      </c>
      <c r="AP22" s="39">
        <v>19</v>
      </c>
      <c r="AQ22" s="39">
        <v>51</v>
      </c>
      <c r="AR22" s="45">
        <v>8041</v>
      </c>
      <c r="AS22" s="39">
        <v>17</v>
      </c>
      <c r="AT22" s="39" t="s">
        <v>129</v>
      </c>
      <c r="AU22" s="39">
        <v>27</v>
      </c>
      <c r="AV22" s="39" t="s">
        <v>4642</v>
      </c>
      <c r="AW22" s="39">
        <v>6903.6</v>
      </c>
      <c r="AX22" s="39">
        <v>6945.1</v>
      </c>
      <c r="AY22" s="39">
        <v>6974.4</v>
      </c>
      <c r="AZ22" s="39">
        <v>6832.8</v>
      </c>
      <c r="BA22" s="39">
        <v>6803.5</v>
      </c>
      <c r="BB22" s="39">
        <v>6762</v>
      </c>
      <c r="BC22" s="39">
        <v>12</v>
      </c>
      <c r="BD22" s="39">
        <v>5</v>
      </c>
      <c r="BE22" s="39">
        <v>3</v>
      </c>
      <c r="BF22" s="39">
        <v>1</v>
      </c>
      <c r="BG22" s="48">
        <v>2031.4</v>
      </c>
      <c r="BH22" s="39">
        <v>0.3</v>
      </c>
      <c r="BI22" s="39" t="s">
        <v>131</v>
      </c>
      <c r="BJ22" s="39" t="s">
        <v>132</v>
      </c>
      <c r="BK22" t="s">
        <v>5298</v>
      </c>
      <c r="BL22" s="39" t="s">
        <v>4801</v>
      </c>
    </row>
    <row r="23" spans="1:64" x14ac:dyDescent="0.35">
      <c r="A23" s="39" t="s">
        <v>875</v>
      </c>
      <c r="B23" s="39" t="str">
        <f>IFERROR(INDEX(added_new_stocks!$F$6:$H$2156,MATCH(A23,added_new_stocks!$F$6:$F$2143,0),3),"")</f>
        <v>Mid</v>
      </c>
      <c r="C23" s="39">
        <v>385.2</v>
      </c>
      <c r="D23" s="39">
        <v>42</v>
      </c>
      <c r="G23" s="47" t="s">
        <v>4633</v>
      </c>
      <c r="H23" s="39" t="s">
        <v>5051</v>
      </c>
      <c r="I23" s="39" t="s">
        <v>4996</v>
      </c>
      <c r="J23" s="39" t="s">
        <v>5052</v>
      </c>
      <c r="K23" s="39" t="s">
        <v>4615</v>
      </c>
      <c r="L23" s="39" t="s">
        <v>5053</v>
      </c>
      <c r="M23" s="39" t="s">
        <v>4620</v>
      </c>
      <c r="N23" s="39">
        <v>15</v>
      </c>
      <c r="O23" s="39">
        <v>-18</v>
      </c>
      <c r="P23" s="39">
        <v>-3</v>
      </c>
      <c r="Q23" s="39" t="s">
        <v>4611</v>
      </c>
      <c r="R23" s="39">
        <v>-2.36</v>
      </c>
      <c r="S23" s="39">
        <v>-1.47</v>
      </c>
      <c r="T23" s="39">
        <v>1.4</v>
      </c>
      <c r="U23" s="39">
        <v>0.22</v>
      </c>
      <c r="V23" s="39">
        <v>3.12</v>
      </c>
      <c r="W23" s="39">
        <v>-2.81</v>
      </c>
      <c r="X23" s="39">
        <v>13.59</v>
      </c>
      <c r="Y23" s="39">
        <v>6.94</v>
      </c>
      <c r="Z23" s="39">
        <v>155.35</v>
      </c>
      <c r="AA23" s="39">
        <v>223.56</v>
      </c>
      <c r="AB23" s="39">
        <v>441.01</v>
      </c>
      <c r="AC23" s="39">
        <v>941.08</v>
      </c>
      <c r="AD23" s="39" t="s">
        <v>4606</v>
      </c>
      <c r="AE23" s="39" t="s">
        <v>134</v>
      </c>
      <c r="AF23" s="39">
        <v>25</v>
      </c>
      <c r="AG23" s="42">
        <v>0.17549999999999999</v>
      </c>
      <c r="AH23" s="39">
        <v>138</v>
      </c>
      <c r="AI23" s="42">
        <v>0.13669999999999999</v>
      </c>
      <c r="AJ23" s="39" t="s">
        <v>5054</v>
      </c>
      <c r="AK23" s="42">
        <v>0.20399999999999999</v>
      </c>
      <c r="AL23" s="39" t="s">
        <v>5055</v>
      </c>
      <c r="AM23" s="39" t="s">
        <v>5056</v>
      </c>
      <c r="AN23" s="42">
        <v>0.16819999999999999</v>
      </c>
      <c r="AO23" s="39">
        <v>50</v>
      </c>
      <c r="AP23" s="39">
        <v>41</v>
      </c>
      <c r="AQ23" s="39">
        <v>45</v>
      </c>
      <c r="AR23" s="39">
        <v>464</v>
      </c>
      <c r="AS23" s="39">
        <v>21</v>
      </c>
      <c r="AT23" s="39" t="s">
        <v>129</v>
      </c>
      <c r="AU23" s="39">
        <v>7</v>
      </c>
      <c r="AV23" s="39" t="s">
        <v>4643</v>
      </c>
      <c r="AW23" s="39">
        <v>392.93</v>
      </c>
      <c r="AX23" s="39">
        <v>400.87</v>
      </c>
      <c r="AY23" s="39">
        <v>405.63</v>
      </c>
      <c r="AZ23" s="39">
        <v>380.23</v>
      </c>
      <c r="BA23" s="39">
        <v>375.47</v>
      </c>
      <c r="BB23" s="39">
        <v>367.53</v>
      </c>
      <c r="BC23" s="39">
        <v>5</v>
      </c>
      <c r="BD23" s="39">
        <v>7</v>
      </c>
      <c r="BE23" s="39">
        <v>1</v>
      </c>
      <c r="BF23" s="39" t="s">
        <v>130</v>
      </c>
      <c r="BG23" s="39">
        <v>235.1</v>
      </c>
      <c r="BH23" s="39">
        <v>0.6</v>
      </c>
      <c r="BI23" s="39" t="s">
        <v>4565</v>
      </c>
      <c r="BJ23" s="39" t="s">
        <v>132</v>
      </c>
      <c r="BK23" t="s">
        <v>5299</v>
      </c>
      <c r="BL23" s="39" t="s">
        <v>4802</v>
      </c>
    </row>
    <row r="24" spans="1:64" x14ac:dyDescent="0.35">
      <c r="A24" s="39" t="s">
        <v>464</v>
      </c>
      <c r="B24" s="39" t="str">
        <f>IFERROR(INDEX(added_new_stocks!$F$6:$H$2156,MATCH(A24,added_new_stocks!$F$6:$F$2143,0),3),"")</f>
        <v>Large</v>
      </c>
      <c r="C24" s="39">
        <v>191.65</v>
      </c>
      <c r="D24" s="39">
        <v>80</v>
      </c>
      <c r="G24" s="39" t="s">
        <v>4633</v>
      </c>
      <c r="H24" s="39" t="s">
        <v>5057</v>
      </c>
      <c r="I24" s="39" t="s">
        <v>4989</v>
      </c>
      <c r="J24" s="39" t="s">
        <v>5058</v>
      </c>
      <c r="K24" s="39" t="s">
        <v>133</v>
      </c>
      <c r="L24" s="39" t="s">
        <v>5059</v>
      </c>
      <c r="M24" s="39" t="s">
        <v>4955</v>
      </c>
      <c r="N24" s="39">
        <v>25</v>
      </c>
      <c r="O24" s="39">
        <v>-5</v>
      </c>
      <c r="P24" s="39">
        <v>20</v>
      </c>
      <c r="Q24" s="39" t="s">
        <v>5060</v>
      </c>
      <c r="R24" s="39">
        <v>0.95</v>
      </c>
      <c r="S24" s="39">
        <v>-0.54</v>
      </c>
      <c r="T24" s="39">
        <v>-3.16</v>
      </c>
      <c r="U24" s="39">
        <v>6.21</v>
      </c>
      <c r="V24" s="39">
        <v>14.93</v>
      </c>
      <c r="W24" s="39">
        <v>3.23</v>
      </c>
      <c r="X24" s="39">
        <v>54.68</v>
      </c>
      <c r="Y24" s="39">
        <v>143.37</v>
      </c>
      <c r="Z24" s="39">
        <v>312.58999999999997</v>
      </c>
      <c r="AA24" s="39">
        <v>87.16</v>
      </c>
      <c r="AB24" s="39">
        <v>31.27</v>
      </c>
      <c r="AC24" s="39">
        <v>100.01</v>
      </c>
      <c r="AD24" s="39" t="s">
        <v>4606</v>
      </c>
      <c r="AE24" s="39" t="s">
        <v>134</v>
      </c>
      <c r="AF24" s="39">
        <v>32</v>
      </c>
      <c r="AG24" s="42">
        <v>9.8199999999999996E-2</v>
      </c>
      <c r="AH24" s="39">
        <v>634</v>
      </c>
      <c r="AI24" s="42">
        <v>0.1229</v>
      </c>
      <c r="AJ24" s="39" t="s">
        <v>5061</v>
      </c>
      <c r="AK24" s="42">
        <v>0.63970000000000005</v>
      </c>
      <c r="AL24" s="39" t="s">
        <v>5062</v>
      </c>
      <c r="AM24" s="42">
        <v>3.6299999999999999E-2</v>
      </c>
      <c r="AN24" s="42">
        <v>6.6000000000000003E-2</v>
      </c>
      <c r="AO24" s="39">
        <v>45</v>
      </c>
      <c r="AP24" s="39">
        <v>47</v>
      </c>
      <c r="AQ24" s="39">
        <v>49</v>
      </c>
      <c r="AR24" s="39">
        <v>276</v>
      </c>
      <c r="AS24" s="39">
        <v>20</v>
      </c>
      <c r="AT24" s="39" t="s">
        <v>129</v>
      </c>
      <c r="AU24" s="39">
        <v>22</v>
      </c>
      <c r="AV24" s="39" t="s">
        <v>4644</v>
      </c>
      <c r="AW24" s="39">
        <v>232.58</v>
      </c>
      <c r="AX24" s="39">
        <v>235.72</v>
      </c>
      <c r="AY24" s="39">
        <v>237.73</v>
      </c>
      <c r="AZ24" s="39">
        <v>227.43</v>
      </c>
      <c r="BA24" s="39">
        <v>225.42</v>
      </c>
      <c r="BB24" s="39">
        <v>222.28</v>
      </c>
      <c r="BC24" s="39">
        <v>4</v>
      </c>
      <c r="BD24" s="39">
        <v>8</v>
      </c>
      <c r="BE24" s="39">
        <v>5</v>
      </c>
      <c r="BF24" s="39" t="s">
        <v>130</v>
      </c>
      <c r="BG24" s="39">
        <v>185.6</v>
      </c>
      <c r="BH24" s="39">
        <v>0.8</v>
      </c>
      <c r="BI24" s="39" t="s">
        <v>4563</v>
      </c>
      <c r="BJ24" s="39" t="s">
        <v>132</v>
      </c>
      <c r="BK24" t="s">
        <v>5300</v>
      </c>
      <c r="BL24" s="39" t="s">
        <v>4803</v>
      </c>
    </row>
    <row r="25" spans="1:64" x14ac:dyDescent="0.35">
      <c r="A25" s="39" t="s">
        <v>603</v>
      </c>
      <c r="B25" s="39" t="str">
        <f>IFERROR(INDEX(added_new_stocks!$F$6:$H$2156,MATCH(A25,added_new_stocks!$F$6:$F$2143,0),3),"")</f>
        <v>Mid</v>
      </c>
      <c r="C25" s="48">
        <v>1723.55</v>
      </c>
      <c r="D25" s="39">
        <v>65</v>
      </c>
      <c r="G25" s="39" t="s">
        <v>4562</v>
      </c>
      <c r="H25" s="39" t="s">
        <v>5063</v>
      </c>
      <c r="I25" s="39" t="s">
        <v>4989</v>
      </c>
      <c r="J25" s="39" t="s">
        <v>5064</v>
      </c>
      <c r="K25" s="39" t="s">
        <v>133</v>
      </c>
      <c r="L25" s="39" t="s">
        <v>5065</v>
      </c>
      <c r="M25" s="39" t="s">
        <v>4620</v>
      </c>
      <c r="N25" s="39">
        <v>10</v>
      </c>
      <c r="O25" s="39">
        <v>-1</v>
      </c>
      <c r="P25" s="39">
        <v>9</v>
      </c>
      <c r="Q25" s="39" t="s">
        <v>14</v>
      </c>
      <c r="R25" s="39">
        <v>-0.59</v>
      </c>
      <c r="S25" s="39">
        <v>4.51</v>
      </c>
      <c r="T25" s="39">
        <v>1.8</v>
      </c>
      <c r="U25" s="39">
        <v>12.98</v>
      </c>
      <c r="V25" s="39">
        <v>19.82</v>
      </c>
      <c r="W25" s="39">
        <v>4.42</v>
      </c>
      <c r="X25" s="39">
        <v>-10.33</v>
      </c>
      <c r="Y25" s="39">
        <v>-1.99</v>
      </c>
      <c r="Z25" s="39">
        <v>37.24</v>
      </c>
      <c r="AA25" s="39">
        <v>16.96</v>
      </c>
      <c r="AB25" s="39">
        <v>70.03</v>
      </c>
      <c r="AC25" s="39">
        <v>292.07</v>
      </c>
      <c r="AD25" s="39" t="s">
        <v>4606</v>
      </c>
      <c r="AE25" s="39" t="s">
        <v>134</v>
      </c>
      <c r="AF25" s="39">
        <v>25</v>
      </c>
      <c r="AG25" s="42">
        <v>0.19570000000000001</v>
      </c>
      <c r="AH25" s="39">
        <v>146</v>
      </c>
      <c r="AI25" s="42">
        <v>6.6299999999999998E-2</v>
      </c>
      <c r="AJ25" s="39" t="s">
        <v>5066</v>
      </c>
      <c r="AK25" s="39" t="s">
        <v>5067</v>
      </c>
      <c r="AL25" s="39" t="s">
        <v>136</v>
      </c>
      <c r="AM25" s="42">
        <v>5.0099999999999999E-2</v>
      </c>
      <c r="AN25" s="42">
        <v>0.1144</v>
      </c>
      <c r="AO25" s="39">
        <v>65</v>
      </c>
      <c r="AP25" s="39">
        <v>10</v>
      </c>
      <c r="AQ25" s="39">
        <v>56</v>
      </c>
      <c r="AR25" s="45">
        <v>1694</v>
      </c>
      <c r="AS25" s="39">
        <v>-2</v>
      </c>
      <c r="AT25" s="39" t="s">
        <v>4562</v>
      </c>
      <c r="AU25" s="39">
        <v>16</v>
      </c>
      <c r="AV25" s="39" t="s">
        <v>4645</v>
      </c>
      <c r="AW25" s="39">
        <v>1761.62</v>
      </c>
      <c r="AX25" s="39">
        <v>1800.18</v>
      </c>
      <c r="AY25" s="39">
        <v>1832.37</v>
      </c>
      <c r="AZ25" s="39">
        <v>1690.87</v>
      </c>
      <c r="BA25" s="39">
        <v>1658.68</v>
      </c>
      <c r="BB25" s="39">
        <v>1620.12</v>
      </c>
      <c r="BC25" s="39">
        <v>11</v>
      </c>
      <c r="BD25" s="39">
        <v>2</v>
      </c>
      <c r="BE25" s="39">
        <v>4</v>
      </c>
      <c r="BF25" s="39" t="s">
        <v>130</v>
      </c>
      <c r="BG25" s="39">
        <v>246.6</v>
      </c>
      <c r="BH25" s="39">
        <v>0.1</v>
      </c>
      <c r="BI25" s="39" t="s">
        <v>4639</v>
      </c>
      <c r="BJ25" s="39" t="s">
        <v>4563</v>
      </c>
      <c r="BK25" t="s">
        <v>5301</v>
      </c>
      <c r="BL25" s="39" t="s">
        <v>4804</v>
      </c>
    </row>
    <row r="26" spans="1:64" x14ac:dyDescent="0.35">
      <c r="A26" s="39" t="s">
        <v>4535</v>
      </c>
      <c r="B26" s="39" t="str">
        <f>IFERROR(INDEX(added_new_stocks!$F$6:$H$2156,MATCH(A26,added_new_stocks!$F$6:$F$2143,0),3),"")</f>
        <v/>
      </c>
      <c r="C26" s="48">
        <v>4737.05</v>
      </c>
      <c r="D26" s="39">
        <v>64</v>
      </c>
      <c r="G26" s="39" t="s">
        <v>4562</v>
      </c>
      <c r="H26" s="39" t="s">
        <v>5068</v>
      </c>
      <c r="I26" s="39" t="s">
        <v>4989</v>
      </c>
      <c r="J26" s="39" t="s">
        <v>5069</v>
      </c>
      <c r="K26" s="39" t="s">
        <v>133</v>
      </c>
      <c r="L26" s="39" t="s">
        <v>5070</v>
      </c>
      <c r="M26" s="39" t="s">
        <v>4959</v>
      </c>
      <c r="N26" s="39">
        <v>8</v>
      </c>
      <c r="O26" s="39">
        <v>0</v>
      </c>
      <c r="P26" s="39">
        <v>8</v>
      </c>
      <c r="Q26" s="39" t="s">
        <v>14</v>
      </c>
      <c r="R26" s="39">
        <v>-1.52</v>
      </c>
      <c r="S26" s="39">
        <v>-0.5</v>
      </c>
      <c r="T26" s="39">
        <v>1.23</v>
      </c>
      <c r="U26" s="39">
        <v>14.33</v>
      </c>
      <c r="V26" s="39">
        <v>4.99</v>
      </c>
      <c r="W26" s="39">
        <v>-4.13</v>
      </c>
      <c r="X26" s="39">
        <v>-10.8</v>
      </c>
      <c r="Y26" s="39">
        <v>-17.37</v>
      </c>
      <c r="Z26" s="39">
        <v>-21.22</v>
      </c>
      <c r="AA26" s="39">
        <v>52.83</v>
      </c>
      <c r="AB26" s="39">
        <v>16.23</v>
      </c>
      <c r="AC26" s="39">
        <v>211.06</v>
      </c>
      <c r="AD26" s="39" t="s">
        <v>4606</v>
      </c>
      <c r="AE26" s="39" t="s">
        <v>134</v>
      </c>
      <c r="AF26" s="39">
        <v>17</v>
      </c>
      <c r="AG26" s="42">
        <v>9.1399999999999995E-2</v>
      </c>
      <c r="AH26" s="39">
        <v>131</v>
      </c>
      <c r="AI26" s="42">
        <v>3.1800000000000002E-2</v>
      </c>
      <c r="AJ26" s="39" t="s">
        <v>5071</v>
      </c>
      <c r="AK26" s="42">
        <v>0.1789</v>
      </c>
      <c r="AL26" s="39" t="s">
        <v>5072</v>
      </c>
      <c r="AM26" s="42">
        <v>2.7900000000000001E-2</v>
      </c>
      <c r="AN26" s="43">
        <v>0.08</v>
      </c>
      <c r="AO26" s="39">
        <v>80</v>
      </c>
      <c r="AP26" s="39">
        <v>26</v>
      </c>
      <c r="AQ26" s="39">
        <v>61</v>
      </c>
      <c r="AR26" s="45">
        <v>4952</v>
      </c>
      <c r="AS26" s="39">
        <v>5</v>
      </c>
      <c r="AT26" s="39" t="s">
        <v>4562</v>
      </c>
      <c r="AU26" s="39">
        <v>7</v>
      </c>
      <c r="AV26" s="39" t="s">
        <v>4646</v>
      </c>
      <c r="AW26" s="39">
        <v>4821.75</v>
      </c>
      <c r="AX26" s="39">
        <v>4909.6000000000004</v>
      </c>
      <c r="AY26" s="39">
        <v>4969.2</v>
      </c>
      <c r="AZ26" s="39">
        <v>4674.3</v>
      </c>
      <c r="BA26" s="39">
        <v>4614.7</v>
      </c>
      <c r="BB26" s="39">
        <v>4526.8500000000004</v>
      </c>
      <c r="BC26" s="39">
        <v>12</v>
      </c>
      <c r="BD26" s="39">
        <v>1</v>
      </c>
      <c r="BE26" s="39">
        <v>3</v>
      </c>
      <c r="BF26" s="39" t="s">
        <v>130</v>
      </c>
      <c r="BG26" s="48">
        <v>1540.6</v>
      </c>
      <c r="BH26" s="39">
        <v>0.3</v>
      </c>
      <c r="BI26" s="39" t="s">
        <v>4639</v>
      </c>
      <c r="BJ26" s="39" t="s">
        <v>132</v>
      </c>
      <c r="BK26" t="s">
        <v>5302</v>
      </c>
      <c r="BL26" s="39" t="s">
        <v>4805</v>
      </c>
    </row>
    <row r="27" spans="1:64" x14ac:dyDescent="0.35">
      <c r="A27" s="39" t="s">
        <v>1304</v>
      </c>
      <c r="B27" s="39" t="str">
        <f>IFERROR(INDEX(added_new_stocks!$F$6:$H$2156,MATCH(A27,added_new_stocks!$F$6:$F$2143,0),3),"")</f>
        <v>Small</v>
      </c>
      <c r="C27" s="48">
        <v>1072.8499999999999</v>
      </c>
      <c r="D27" s="39">
        <v>92</v>
      </c>
      <c r="G27" s="39" t="s">
        <v>4633</v>
      </c>
      <c r="H27" s="39" t="s">
        <v>5073</v>
      </c>
      <c r="I27" s="39" t="s">
        <v>4624</v>
      </c>
      <c r="J27" s="39" t="s">
        <v>5074</v>
      </c>
      <c r="K27" s="39" t="s">
        <v>4957</v>
      </c>
      <c r="L27" s="39" t="s">
        <v>5075</v>
      </c>
      <c r="M27" s="39" t="s">
        <v>135</v>
      </c>
      <c r="N27" s="39">
        <v>30</v>
      </c>
      <c r="O27" s="39">
        <v>0</v>
      </c>
      <c r="P27" s="39">
        <v>30</v>
      </c>
      <c r="Q27" s="39" t="s">
        <v>5076</v>
      </c>
      <c r="R27" s="39">
        <v>-1.97</v>
      </c>
      <c r="S27" s="39">
        <v>-1.57</v>
      </c>
      <c r="T27" s="39">
        <v>27.1</v>
      </c>
      <c r="U27" s="39">
        <v>61.99</v>
      </c>
      <c r="V27" s="39">
        <v>97.98</v>
      </c>
      <c r="W27" s="39">
        <v>155.68</v>
      </c>
      <c r="X27" s="39">
        <v>198.59</v>
      </c>
      <c r="Y27" s="39">
        <v>171.68</v>
      </c>
      <c r="Z27" s="39" t="s">
        <v>4538</v>
      </c>
      <c r="AA27" s="39" t="s">
        <v>4538</v>
      </c>
      <c r="AB27" s="39" t="s">
        <v>4538</v>
      </c>
      <c r="AC27" s="39" t="s">
        <v>4538</v>
      </c>
      <c r="AD27" s="39" t="s">
        <v>4606</v>
      </c>
      <c r="AE27" s="39" t="s">
        <v>134</v>
      </c>
      <c r="AF27" s="39">
        <v>9</v>
      </c>
      <c r="AG27" s="42">
        <v>0.15939999999999999</v>
      </c>
      <c r="AH27" s="39">
        <v>81</v>
      </c>
      <c r="AI27" s="42">
        <v>7.5700000000000003E-2</v>
      </c>
      <c r="AJ27" s="39" t="s">
        <v>5077</v>
      </c>
      <c r="AK27" s="42">
        <v>0.21340000000000001</v>
      </c>
      <c r="AL27" s="39" t="s">
        <v>5078</v>
      </c>
      <c r="AM27" s="42">
        <v>7.7299999999999994E-2</v>
      </c>
      <c r="AN27" s="42">
        <v>0.187</v>
      </c>
      <c r="AO27" s="39">
        <v>75</v>
      </c>
      <c r="AP27" s="39">
        <v>19</v>
      </c>
      <c r="AQ27" s="39">
        <v>76</v>
      </c>
      <c r="AR27" s="39">
        <v>965</v>
      </c>
      <c r="AS27" s="39">
        <v>-10</v>
      </c>
      <c r="AT27" s="39" t="s">
        <v>129</v>
      </c>
      <c r="AU27" s="39">
        <v>6</v>
      </c>
      <c r="AV27" s="39" t="s">
        <v>4647</v>
      </c>
      <c r="AW27" s="39">
        <v>1108.78</v>
      </c>
      <c r="AX27" s="39">
        <v>1142.6199999999999</v>
      </c>
      <c r="AY27" s="39">
        <v>1164.43</v>
      </c>
      <c r="AZ27" s="39">
        <v>1053.1300000000001</v>
      </c>
      <c r="BA27" s="39">
        <v>1031.32</v>
      </c>
      <c r="BB27" s="39">
        <v>997.48</v>
      </c>
      <c r="BC27" s="39">
        <v>13</v>
      </c>
      <c r="BD27" s="39">
        <v>1</v>
      </c>
      <c r="BE27" s="39">
        <v>7</v>
      </c>
      <c r="BF27" s="39" t="s">
        <v>130</v>
      </c>
      <c r="BG27" s="39">
        <v>199.3</v>
      </c>
      <c r="BH27" s="39">
        <v>0.2</v>
      </c>
      <c r="BI27" s="39" t="s">
        <v>4563</v>
      </c>
      <c r="BJ27" s="39" t="s">
        <v>4563</v>
      </c>
      <c r="BK27" t="s">
        <v>5303</v>
      </c>
      <c r="BL27" s="39" t="s">
        <v>4806</v>
      </c>
    </row>
    <row r="28" spans="1:64" x14ac:dyDescent="0.35">
      <c r="A28" s="39" t="s">
        <v>306</v>
      </c>
      <c r="B28" s="39" t="str">
        <f>IFERROR(INDEX(added_new_stocks!$F$6:$H$2156,MATCH(A28,added_new_stocks!$F$6:$F$2143,0),3),"")</f>
        <v>Large</v>
      </c>
      <c r="C28" s="39">
        <v>127.1</v>
      </c>
      <c r="D28" s="39">
        <v>71</v>
      </c>
      <c r="G28" s="39" t="s">
        <v>129</v>
      </c>
      <c r="H28" s="39" t="s">
        <v>5079</v>
      </c>
      <c r="I28" s="39" t="s">
        <v>4624</v>
      </c>
      <c r="J28" s="39" t="s">
        <v>5080</v>
      </c>
      <c r="K28" s="39" t="s">
        <v>133</v>
      </c>
      <c r="L28" s="39" t="s">
        <v>5081</v>
      </c>
      <c r="M28" s="39" t="s">
        <v>4959</v>
      </c>
      <c r="N28" s="39">
        <v>9</v>
      </c>
      <c r="O28" s="39">
        <v>-3</v>
      </c>
      <c r="P28" s="39">
        <v>6</v>
      </c>
      <c r="Q28" s="39" t="s">
        <v>14</v>
      </c>
      <c r="R28" s="39">
        <v>-1.24</v>
      </c>
      <c r="S28" s="39">
        <v>-3.71</v>
      </c>
      <c r="T28" s="39" t="s">
        <v>4538</v>
      </c>
      <c r="U28" s="39">
        <v>18.07</v>
      </c>
      <c r="V28" s="39">
        <v>31.78</v>
      </c>
      <c r="W28" s="39">
        <v>27.16</v>
      </c>
      <c r="X28" s="39">
        <v>33.29</v>
      </c>
      <c r="Y28" s="39">
        <v>121.29</v>
      </c>
      <c r="Z28" s="39">
        <v>244.96</v>
      </c>
      <c r="AA28" s="39">
        <v>300.77999999999997</v>
      </c>
      <c r="AB28" s="39">
        <v>228.49</v>
      </c>
      <c r="AC28" s="39">
        <v>974.43</v>
      </c>
      <c r="AD28" s="39" t="s">
        <v>4606</v>
      </c>
      <c r="AE28" s="39" t="s">
        <v>134</v>
      </c>
      <c r="AF28" s="39">
        <v>254</v>
      </c>
      <c r="AG28" s="42">
        <v>0.1933</v>
      </c>
      <c r="AH28" s="39">
        <v>739</v>
      </c>
      <c r="AI28" s="42">
        <v>0.17349999999999999</v>
      </c>
      <c r="AJ28" s="39" t="s">
        <v>5061</v>
      </c>
      <c r="AK28" s="42">
        <v>0.51139999999999997</v>
      </c>
      <c r="AL28" s="39" t="s">
        <v>5082</v>
      </c>
      <c r="AM28" s="39" t="s">
        <v>5083</v>
      </c>
      <c r="AN28" s="42">
        <v>5.79E-2</v>
      </c>
      <c r="AO28" s="39">
        <v>75</v>
      </c>
      <c r="AP28" s="39">
        <v>28</v>
      </c>
      <c r="AQ28" s="39">
        <v>61</v>
      </c>
      <c r="AR28" s="39">
        <v>143</v>
      </c>
      <c r="AS28" s="39">
        <v>13</v>
      </c>
      <c r="AT28" s="39" t="s">
        <v>129</v>
      </c>
      <c r="AU28" s="39">
        <v>22</v>
      </c>
      <c r="AV28" s="39" t="s">
        <v>4648</v>
      </c>
      <c r="AW28" s="39">
        <v>128.91999999999999</v>
      </c>
      <c r="AX28" s="39">
        <v>130.68</v>
      </c>
      <c r="AY28" s="39">
        <v>131.77000000000001</v>
      </c>
      <c r="AZ28" s="39">
        <v>126.07</v>
      </c>
      <c r="BA28" s="39">
        <v>124.98</v>
      </c>
      <c r="BB28" s="39">
        <v>123.22</v>
      </c>
      <c r="BC28" s="39">
        <v>8</v>
      </c>
      <c r="BD28" s="39">
        <v>3</v>
      </c>
      <c r="BE28" s="39">
        <v>4</v>
      </c>
      <c r="BF28" s="39" t="s">
        <v>130</v>
      </c>
      <c r="BG28" s="39">
        <v>43</v>
      </c>
      <c r="BH28" s="39">
        <v>0.3</v>
      </c>
      <c r="BI28" s="39" t="s">
        <v>132</v>
      </c>
      <c r="BJ28" s="39" t="s">
        <v>4563</v>
      </c>
      <c r="BK28" t="s">
        <v>5304</v>
      </c>
      <c r="BL28" s="39" t="s">
        <v>4807</v>
      </c>
    </row>
    <row r="29" spans="1:64" x14ac:dyDescent="0.35">
      <c r="A29" s="39" t="s">
        <v>421</v>
      </c>
      <c r="B29" s="39" t="str">
        <f>IFERROR(INDEX(added_new_stocks!$F$6:$H$2156,MATCH(A29,added_new_stocks!$F$6:$F$2143,0),3),"")</f>
        <v>Large</v>
      </c>
      <c r="C29" s="39">
        <v>127.1</v>
      </c>
      <c r="D29" s="39">
        <v>71</v>
      </c>
      <c r="G29" s="39" t="s">
        <v>129</v>
      </c>
      <c r="H29" s="39" t="s">
        <v>5079</v>
      </c>
      <c r="I29" s="39" t="s">
        <v>4624</v>
      </c>
      <c r="J29" s="39" t="s">
        <v>5080</v>
      </c>
      <c r="K29" s="39" t="s">
        <v>133</v>
      </c>
      <c r="L29" s="39" t="s">
        <v>5081</v>
      </c>
      <c r="M29" s="39" t="s">
        <v>4959</v>
      </c>
      <c r="N29" s="39">
        <v>9</v>
      </c>
      <c r="O29" s="39">
        <v>-3</v>
      </c>
      <c r="P29" s="39">
        <v>6</v>
      </c>
      <c r="Q29" s="39" t="s">
        <v>14</v>
      </c>
      <c r="R29" s="39">
        <v>-1.24</v>
      </c>
      <c r="S29" s="39">
        <v>-3.71</v>
      </c>
      <c r="T29" s="39" t="s">
        <v>4538</v>
      </c>
      <c r="U29" s="39">
        <v>18.07</v>
      </c>
      <c r="V29" s="39">
        <v>31.78</v>
      </c>
      <c r="W29" s="39">
        <v>27.16</v>
      </c>
      <c r="X29" s="39">
        <v>33.29</v>
      </c>
      <c r="Y29" s="39">
        <v>121.29</v>
      </c>
      <c r="Z29" s="39">
        <v>244.96</v>
      </c>
      <c r="AA29" s="39">
        <v>300.77999999999997</v>
      </c>
      <c r="AB29" s="39">
        <v>228.49</v>
      </c>
      <c r="AC29" s="39">
        <v>974.43</v>
      </c>
      <c r="AD29" s="39" t="s">
        <v>4606</v>
      </c>
      <c r="AE29" s="39" t="s">
        <v>134</v>
      </c>
      <c r="AF29" s="39">
        <v>254</v>
      </c>
      <c r="AG29" s="42">
        <v>0.1933</v>
      </c>
      <c r="AH29" s="39">
        <v>739</v>
      </c>
      <c r="AI29" s="42">
        <v>0.17349999999999999</v>
      </c>
      <c r="AJ29" s="39" t="s">
        <v>5061</v>
      </c>
      <c r="AK29" s="42">
        <v>0.51139999999999997</v>
      </c>
      <c r="AL29" s="39" t="s">
        <v>5082</v>
      </c>
      <c r="AM29" s="39" t="s">
        <v>5083</v>
      </c>
      <c r="AN29" s="42">
        <v>5.79E-2</v>
      </c>
      <c r="AO29" s="39">
        <v>50</v>
      </c>
      <c r="AP29" s="39">
        <v>19</v>
      </c>
      <c r="AQ29" s="39">
        <v>63</v>
      </c>
      <c r="AR29" s="39">
        <v>978</v>
      </c>
      <c r="AS29" s="39">
        <v>1</v>
      </c>
      <c r="AT29" s="39" t="s">
        <v>4562</v>
      </c>
      <c r="AU29" s="39">
        <v>26</v>
      </c>
      <c r="AV29" s="39" t="s">
        <v>4649</v>
      </c>
      <c r="AW29" s="39">
        <v>979.77</v>
      </c>
      <c r="AX29" s="39">
        <v>988.78</v>
      </c>
      <c r="AY29" s="39">
        <v>1003.52</v>
      </c>
      <c r="AZ29" s="39">
        <v>956.02</v>
      </c>
      <c r="BA29" s="39">
        <v>941.28</v>
      </c>
      <c r="BB29" s="39">
        <v>932.27</v>
      </c>
      <c r="BC29" s="39">
        <v>6</v>
      </c>
      <c r="BD29" s="39">
        <v>5</v>
      </c>
      <c r="BE29" s="39">
        <v>6</v>
      </c>
      <c r="BF29" s="39" t="s">
        <v>130</v>
      </c>
      <c r="BG29" s="39">
        <v>221.7</v>
      </c>
      <c r="BH29" s="39">
        <v>0.2</v>
      </c>
      <c r="BI29" s="39" t="s">
        <v>4565</v>
      </c>
      <c r="BJ29" s="39" t="s">
        <v>4563</v>
      </c>
      <c r="BK29" t="s">
        <v>5304</v>
      </c>
      <c r="BL29" s="39" t="s">
        <v>4808</v>
      </c>
    </row>
    <row r="30" spans="1:64" x14ac:dyDescent="0.35">
      <c r="A30" s="39" t="s">
        <v>198</v>
      </c>
      <c r="B30" s="39" t="str">
        <f>IFERROR(INDEX(added_new_stocks!$F$6:$H$2156,MATCH(A30,added_new_stocks!$F$6:$F$2143,0),3),"")</f>
        <v>Large</v>
      </c>
      <c r="C30" s="39">
        <v>856</v>
      </c>
      <c r="D30" s="39">
        <v>77</v>
      </c>
      <c r="G30" s="39" t="s">
        <v>129</v>
      </c>
      <c r="H30" s="39" t="s">
        <v>5084</v>
      </c>
      <c r="I30" s="39" t="s">
        <v>4989</v>
      </c>
      <c r="J30" s="39" t="s">
        <v>5085</v>
      </c>
      <c r="K30" s="39" t="s">
        <v>4615</v>
      </c>
      <c r="L30" s="39" t="s">
        <v>5086</v>
      </c>
      <c r="N30" s="39">
        <v>28</v>
      </c>
      <c r="O30" s="39">
        <v>-2</v>
      </c>
      <c r="P30" s="39">
        <v>26</v>
      </c>
      <c r="Q30" s="39" t="s">
        <v>5060</v>
      </c>
      <c r="R30" s="39">
        <v>-7.0000000000000007E-2</v>
      </c>
      <c r="S30" s="39">
        <v>-1.66</v>
      </c>
      <c r="T30" s="39">
        <v>-2.2599999999999998</v>
      </c>
      <c r="U30" s="39">
        <v>7.04</v>
      </c>
      <c r="V30" s="39">
        <v>10.25</v>
      </c>
      <c r="W30" s="39">
        <v>6.11</v>
      </c>
      <c r="X30" s="39">
        <v>16.739999999999998</v>
      </c>
      <c r="Y30" s="39">
        <v>37.450000000000003</v>
      </c>
      <c r="Z30" s="39">
        <v>62.49</v>
      </c>
      <c r="AA30" s="39">
        <v>136.91999999999999</v>
      </c>
      <c r="AB30" s="39">
        <v>151.16999999999999</v>
      </c>
      <c r="AC30" s="39">
        <v>177.64</v>
      </c>
      <c r="AD30" s="39" t="s">
        <v>4606</v>
      </c>
      <c r="AE30" s="39" t="s">
        <v>134</v>
      </c>
      <c r="AF30" s="39">
        <v>35</v>
      </c>
      <c r="AG30" s="42">
        <v>0.1106</v>
      </c>
      <c r="AH30" s="39">
        <v>1181</v>
      </c>
      <c r="AI30" s="42">
        <v>0.21479999999999999</v>
      </c>
      <c r="AJ30" s="39" t="s">
        <v>5087</v>
      </c>
      <c r="AK30" s="42">
        <v>0.38540000000000002</v>
      </c>
      <c r="AL30" s="39" t="s">
        <v>5088</v>
      </c>
      <c r="AM30" s="42">
        <v>4.2900000000000001E-2</v>
      </c>
      <c r="AN30" s="42">
        <v>1.9199999999999998E-2</v>
      </c>
      <c r="AO30" s="39">
        <v>75</v>
      </c>
      <c r="AP30" s="39">
        <v>33</v>
      </c>
      <c r="AQ30" s="39">
        <v>50</v>
      </c>
      <c r="AR30" s="39">
        <v>970</v>
      </c>
      <c r="AS30" s="39">
        <v>13</v>
      </c>
      <c r="AT30" s="39" t="s">
        <v>129</v>
      </c>
      <c r="AU30" s="39">
        <v>31</v>
      </c>
      <c r="AV30" s="39" t="s">
        <v>4650</v>
      </c>
      <c r="AW30" s="39">
        <v>861.42</v>
      </c>
      <c r="AX30" s="39">
        <v>866.58</v>
      </c>
      <c r="AY30" s="39">
        <v>871.17</v>
      </c>
      <c r="AZ30" s="39">
        <v>851.67</v>
      </c>
      <c r="BA30" s="39">
        <v>847.08</v>
      </c>
      <c r="BB30" s="39">
        <v>841.92</v>
      </c>
      <c r="BC30" s="39">
        <v>14</v>
      </c>
      <c r="BD30" s="39">
        <v>3</v>
      </c>
      <c r="BE30" s="39">
        <v>4</v>
      </c>
      <c r="BF30" s="39" t="s">
        <v>130</v>
      </c>
      <c r="BG30" s="39">
        <v>270.5</v>
      </c>
      <c r="BH30" s="39">
        <v>0.3</v>
      </c>
      <c r="BI30" s="39" t="s">
        <v>4651</v>
      </c>
      <c r="BJ30" s="39" t="s">
        <v>4639</v>
      </c>
      <c r="BK30" t="s">
        <v>5305</v>
      </c>
      <c r="BL30" s="39" t="s">
        <v>4809</v>
      </c>
    </row>
    <row r="31" spans="1:64" x14ac:dyDescent="0.35">
      <c r="A31" s="39" t="s">
        <v>526</v>
      </c>
      <c r="B31" s="39" t="str">
        <f>IFERROR(INDEX(added_new_stocks!$F$6:$H$2156,MATCH(A31,added_new_stocks!$F$6:$F$2143,0),3),"")</f>
        <v>Large</v>
      </c>
      <c r="C31" s="39">
        <v>98</v>
      </c>
      <c r="D31" s="39">
        <v>47</v>
      </c>
      <c r="G31" s="39" t="s">
        <v>4625</v>
      </c>
      <c r="H31" s="39" t="s">
        <v>5089</v>
      </c>
      <c r="I31" s="39" t="s">
        <v>4624</v>
      </c>
      <c r="J31" s="39" t="s">
        <v>5090</v>
      </c>
      <c r="K31" s="39" t="s">
        <v>4615</v>
      </c>
      <c r="L31" s="39" t="s">
        <v>5091</v>
      </c>
      <c r="M31" s="39" t="s">
        <v>4959</v>
      </c>
      <c r="N31" s="39">
        <v>4</v>
      </c>
      <c r="O31" s="39">
        <v>-25</v>
      </c>
      <c r="P31" s="39">
        <v>-21</v>
      </c>
      <c r="Q31" s="39" t="s">
        <v>5026</v>
      </c>
      <c r="R31" s="39">
        <v>-1.9</v>
      </c>
      <c r="S31" s="39">
        <v>-4.9000000000000004</v>
      </c>
      <c r="T31" s="39">
        <v>3.34</v>
      </c>
      <c r="U31" s="39">
        <v>20.07</v>
      </c>
      <c r="V31" s="39">
        <v>35.36</v>
      </c>
      <c r="W31" s="39">
        <v>23.74</v>
      </c>
      <c r="X31" s="39">
        <v>74.38</v>
      </c>
      <c r="Y31" s="39">
        <v>79.98</v>
      </c>
      <c r="Z31" s="39">
        <v>161.68</v>
      </c>
      <c r="AA31" s="39">
        <v>90.85</v>
      </c>
      <c r="AB31" s="39">
        <v>32.700000000000003</v>
      </c>
      <c r="AC31" s="39">
        <v>38.74</v>
      </c>
      <c r="AD31" s="39" t="s">
        <v>4606</v>
      </c>
      <c r="AE31" s="39" t="s">
        <v>134</v>
      </c>
      <c r="AF31" s="39">
        <v>28</v>
      </c>
      <c r="AG31" s="42">
        <v>4.6399999999999997E-2</v>
      </c>
      <c r="AH31" s="39">
        <v>144</v>
      </c>
      <c r="AI31" s="42">
        <v>7.7600000000000002E-2</v>
      </c>
      <c r="AJ31" s="39" t="s">
        <v>5061</v>
      </c>
      <c r="AK31" s="42">
        <v>0.63170000000000004</v>
      </c>
      <c r="AL31" s="39" t="s">
        <v>136</v>
      </c>
      <c r="AM31" s="42">
        <v>0.1007</v>
      </c>
      <c r="AN31" s="42">
        <v>0.1087</v>
      </c>
      <c r="AO31" s="39">
        <v>50</v>
      </c>
      <c r="AP31" s="39">
        <v>27</v>
      </c>
      <c r="AQ31" s="39">
        <v>63</v>
      </c>
      <c r="AR31" s="39">
        <v>69</v>
      </c>
      <c r="AS31" s="39">
        <v>-29</v>
      </c>
      <c r="AT31" s="39" t="s">
        <v>4625</v>
      </c>
      <c r="AU31" s="39">
        <v>20</v>
      </c>
      <c r="AV31" s="39" t="s">
        <v>4652</v>
      </c>
      <c r="AW31" s="39">
        <v>99.65</v>
      </c>
      <c r="AX31" s="39">
        <v>101.3</v>
      </c>
      <c r="AY31" s="39">
        <v>102.25</v>
      </c>
      <c r="AZ31" s="39">
        <v>97.05</v>
      </c>
      <c r="BA31" s="39">
        <v>96.1</v>
      </c>
      <c r="BB31" s="39">
        <v>94.45</v>
      </c>
      <c r="BC31" s="39">
        <v>10</v>
      </c>
      <c r="BD31" s="39">
        <v>4</v>
      </c>
      <c r="BE31" s="39">
        <v>3</v>
      </c>
      <c r="BF31" s="39" t="s">
        <v>130</v>
      </c>
      <c r="BG31" s="39">
        <v>40</v>
      </c>
      <c r="BH31" s="39">
        <v>0.4</v>
      </c>
      <c r="BI31" s="39" t="s">
        <v>4563</v>
      </c>
      <c r="BJ31" s="39" t="s">
        <v>4563</v>
      </c>
      <c r="BK31" t="s">
        <v>5306</v>
      </c>
      <c r="BL31" s="39" t="s">
        <v>4810</v>
      </c>
    </row>
    <row r="32" spans="1:64" x14ac:dyDescent="0.35">
      <c r="A32" s="39" t="s">
        <v>827</v>
      </c>
      <c r="B32" s="39" t="str">
        <f>IFERROR(INDEX(added_new_stocks!$F$6:$H$2156,MATCH(A32,added_new_stocks!$F$6:$F$2143,0),3),"")</f>
        <v>Mid</v>
      </c>
      <c r="C32" s="39">
        <v>478.75</v>
      </c>
      <c r="D32" s="39">
        <v>64</v>
      </c>
      <c r="G32" s="39" t="s">
        <v>4562</v>
      </c>
      <c r="H32" s="39" t="s">
        <v>5092</v>
      </c>
      <c r="I32" s="39" t="s">
        <v>4989</v>
      </c>
      <c r="J32" s="39" t="s">
        <v>5093</v>
      </c>
      <c r="K32" s="39" t="s">
        <v>133</v>
      </c>
      <c r="L32" s="39" t="s">
        <v>4998</v>
      </c>
      <c r="M32" s="39" t="s">
        <v>4959</v>
      </c>
      <c r="N32" s="39">
        <v>18</v>
      </c>
      <c r="O32" s="39">
        <v>0</v>
      </c>
      <c r="P32" s="39">
        <v>18</v>
      </c>
      <c r="Q32" s="39" t="s">
        <v>14</v>
      </c>
      <c r="R32" s="39">
        <v>0.51</v>
      </c>
      <c r="S32" s="39">
        <v>-1.88</v>
      </c>
      <c r="T32" s="39">
        <v>12.29</v>
      </c>
      <c r="U32" s="39">
        <v>25.64</v>
      </c>
      <c r="V32" s="39">
        <v>27.04</v>
      </c>
      <c r="W32" s="39">
        <v>9.48</v>
      </c>
      <c r="X32" s="39" t="s">
        <v>4538</v>
      </c>
      <c r="Y32" s="39" t="s">
        <v>4538</v>
      </c>
      <c r="Z32" s="39" t="s">
        <v>4538</v>
      </c>
      <c r="AA32" s="39" t="s">
        <v>4538</v>
      </c>
      <c r="AB32" s="39" t="s">
        <v>4538</v>
      </c>
      <c r="AC32" s="39" t="s">
        <v>4538</v>
      </c>
      <c r="AD32" s="39" t="s">
        <v>4606</v>
      </c>
      <c r="AE32" s="39" t="s">
        <v>134</v>
      </c>
      <c r="AF32" s="39">
        <v>14</v>
      </c>
      <c r="AG32" s="42">
        <v>8.2600000000000007E-2</v>
      </c>
      <c r="AH32" s="39">
        <v>46</v>
      </c>
      <c r="AI32" s="42">
        <v>5.4699999999999999E-2</v>
      </c>
      <c r="AJ32" s="39" t="s">
        <v>5094</v>
      </c>
      <c r="AK32" s="42">
        <v>0.34360000000000002</v>
      </c>
      <c r="AL32" s="39" t="s">
        <v>5022</v>
      </c>
      <c r="AM32" s="42">
        <v>4.8899999999999999E-2</v>
      </c>
      <c r="AN32" s="42">
        <v>2.8799999999999999E-2</v>
      </c>
      <c r="AO32" s="39">
        <v>65</v>
      </c>
      <c r="AP32" s="39">
        <v>11</v>
      </c>
      <c r="AQ32" s="39">
        <v>45</v>
      </c>
      <c r="AR32" s="39">
        <v>541</v>
      </c>
      <c r="AS32" s="39">
        <v>13</v>
      </c>
      <c r="AT32" s="39" t="s">
        <v>129</v>
      </c>
      <c r="AU32" s="39">
        <v>4</v>
      </c>
      <c r="AV32" s="39" t="s">
        <v>4653</v>
      </c>
      <c r="AW32" s="39">
        <v>484.67</v>
      </c>
      <c r="AX32" s="39">
        <v>490.63</v>
      </c>
      <c r="AY32" s="39">
        <v>495.47</v>
      </c>
      <c r="AZ32" s="39">
        <v>473.87</v>
      </c>
      <c r="BA32" s="39">
        <v>469.03</v>
      </c>
      <c r="BB32" s="39">
        <v>463.07</v>
      </c>
      <c r="BC32" s="39">
        <v>4</v>
      </c>
      <c r="BD32" s="39" t="s">
        <v>130</v>
      </c>
      <c r="BE32" s="39">
        <v>0.56000000000000005</v>
      </c>
      <c r="BF32" s="39">
        <v>-0.22</v>
      </c>
      <c r="BH32" s="39">
        <v>9</v>
      </c>
      <c r="BJ32" s="39" t="s">
        <v>4563</v>
      </c>
      <c r="BK32" t="s">
        <v>5307</v>
      </c>
      <c r="BL32" s="39" t="s">
        <v>4811</v>
      </c>
    </row>
    <row r="33" spans="1:64" x14ac:dyDescent="0.35">
      <c r="A33" s="39" t="s">
        <v>665</v>
      </c>
      <c r="B33" s="39" t="str">
        <f>IFERROR(INDEX(added_new_stocks!$F$6:$H$2156,MATCH(A33,added_new_stocks!$F$6:$F$2143,0),3),"")</f>
        <v>Mid</v>
      </c>
      <c r="C33" s="48">
        <v>6439.75</v>
      </c>
      <c r="D33" s="39">
        <v>48</v>
      </c>
      <c r="G33" s="39" t="s">
        <v>4625</v>
      </c>
      <c r="H33" s="39" t="s">
        <v>5095</v>
      </c>
      <c r="I33" s="39" t="s">
        <v>4989</v>
      </c>
      <c r="J33" s="39" t="s">
        <v>5096</v>
      </c>
      <c r="K33" s="39" t="s">
        <v>133</v>
      </c>
      <c r="L33" s="39" t="s">
        <v>5097</v>
      </c>
      <c r="M33" s="39" t="s">
        <v>4620</v>
      </c>
      <c r="N33" s="39">
        <v>3</v>
      </c>
      <c r="O33" s="39">
        <v>-30</v>
      </c>
      <c r="P33" s="39">
        <v>-27</v>
      </c>
      <c r="Q33" s="39" t="s">
        <v>5026</v>
      </c>
      <c r="R33" s="39">
        <v>1.1499999999999999</v>
      </c>
      <c r="S33" s="39">
        <v>3.85</v>
      </c>
      <c r="T33" s="39">
        <v>-12.37</v>
      </c>
      <c r="U33" s="39">
        <v>6.18</v>
      </c>
      <c r="V33" s="39">
        <v>4.33</v>
      </c>
      <c r="W33" s="39">
        <v>-16.7</v>
      </c>
      <c r="X33" s="39">
        <v>-25.3</v>
      </c>
      <c r="Y33" s="39">
        <v>11.55</v>
      </c>
      <c r="Z33" s="39">
        <v>240.82</v>
      </c>
      <c r="AA33" s="39">
        <v>178.4</v>
      </c>
      <c r="AB33" s="39">
        <v>78.23</v>
      </c>
      <c r="AC33" s="39">
        <v>175.13</v>
      </c>
      <c r="AD33" s="39" t="s">
        <v>4606</v>
      </c>
      <c r="AE33" s="39" t="s">
        <v>134</v>
      </c>
      <c r="AF33" s="39">
        <v>22</v>
      </c>
      <c r="AG33" s="42">
        <v>5.7799999999999997E-2</v>
      </c>
      <c r="AH33" s="39">
        <v>93</v>
      </c>
      <c r="AI33" s="42">
        <v>4.24E-2</v>
      </c>
      <c r="AJ33" s="39" t="s">
        <v>5098</v>
      </c>
      <c r="AK33" s="39" t="s">
        <v>5099</v>
      </c>
      <c r="AL33" s="39" t="s">
        <v>5100</v>
      </c>
      <c r="AM33" s="42">
        <v>2.75E-2</v>
      </c>
      <c r="AN33" s="42">
        <v>6.2100000000000002E-2</v>
      </c>
      <c r="AO33" s="39">
        <v>55</v>
      </c>
      <c r="AP33" s="39">
        <v>20</v>
      </c>
      <c r="AQ33" s="39">
        <v>44</v>
      </c>
      <c r="AR33" s="45">
        <v>7108</v>
      </c>
      <c r="AS33" s="39">
        <v>10</v>
      </c>
      <c r="AT33" s="39" t="s">
        <v>4562</v>
      </c>
      <c r="AU33" s="39">
        <v>5</v>
      </c>
      <c r="AV33" s="39" t="s">
        <v>4654</v>
      </c>
      <c r="AW33" s="39">
        <v>6486.73</v>
      </c>
      <c r="AX33" s="39">
        <v>6531.82</v>
      </c>
      <c r="AY33" s="39">
        <v>6595.13</v>
      </c>
      <c r="AZ33" s="39">
        <v>6378.33</v>
      </c>
      <c r="BA33" s="39">
        <v>6315.02</v>
      </c>
      <c r="BB33" s="39">
        <v>6269.93</v>
      </c>
      <c r="BC33" s="39">
        <v>4</v>
      </c>
      <c r="BD33" s="39">
        <v>7</v>
      </c>
      <c r="BE33" s="39">
        <v>3</v>
      </c>
      <c r="BF33" s="39" t="s">
        <v>130</v>
      </c>
      <c r="BG33" s="48">
        <v>1213.8</v>
      </c>
      <c r="BH33" s="39">
        <v>0.2</v>
      </c>
      <c r="BI33" s="39" t="s">
        <v>4651</v>
      </c>
      <c r="BJ33" s="39" t="s">
        <v>132</v>
      </c>
      <c r="BK33" t="s">
        <v>5308</v>
      </c>
      <c r="BL33" s="39" t="s">
        <v>4812</v>
      </c>
    </row>
    <row r="34" spans="1:64" x14ac:dyDescent="0.35">
      <c r="A34" s="39" t="s">
        <v>698</v>
      </c>
      <c r="B34" s="39" t="str">
        <f>IFERROR(INDEX(added_new_stocks!$F$6:$H$2156,MATCH(A34,added_new_stocks!$F$6:$F$2143,0),3),"")</f>
        <v>Mid</v>
      </c>
      <c r="C34" s="39">
        <v>748.8</v>
      </c>
      <c r="D34" s="39">
        <v>68</v>
      </c>
      <c r="G34" s="39" t="s">
        <v>4562</v>
      </c>
      <c r="H34" s="39" t="s">
        <v>5101</v>
      </c>
      <c r="I34" s="39" t="s">
        <v>4989</v>
      </c>
      <c r="J34" s="39" t="s">
        <v>5102</v>
      </c>
      <c r="K34" s="39" t="s">
        <v>133</v>
      </c>
      <c r="L34" s="39" t="s">
        <v>5103</v>
      </c>
      <c r="M34" s="39" t="s">
        <v>135</v>
      </c>
      <c r="N34" s="39">
        <v>14</v>
      </c>
      <c r="O34" s="39">
        <v>-2</v>
      </c>
      <c r="P34" s="39">
        <v>12</v>
      </c>
      <c r="Q34" s="39" t="s">
        <v>14</v>
      </c>
      <c r="R34" s="39">
        <v>0.67</v>
      </c>
      <c r="S34" s="39">
        <v>0.78</v>
      </c>
      <c r="T34" s="39">
        <v>-5.08</v>
      </c>
      <c r="U34" s="39">
        <v>4.67</v>
      </c>
      <c r="V34" s="39">
        <v>5.54</v>
      </c>
      <c r="W34" s="39">
        <v>25.58</v>
      </c>
      <c r="X34" s="39">
        <v>40.07</v>
      </c>
      <c r="Y34" s="39">
        <v>83.25</v>
      </c>
      <c r="Z34" s="39">
        <v>168.41</v>
      </c>
      <c r="AA34" s="39">
        <v>113.81</v>
      </c>
      <c r="AB34" s="39">
        <v>114.79</v>
      </c>
      <c r="AC34" s="39">
        <v>948.37</v>
      </c>
      <c r="AD34" s="39" t="s">
        <v>4606</v>
      </c>
      <c r="AE34" s="39" t="s">
        <v>134</v>
      </c>
      <c r="AF34" s="39">
        <v>23</v>
      </c>
      <c r="AG34" s="42">
        <v>0.23599999999999999</v>
      </c>
      <c r="AH34" s="39">
        <v>143</v>
      </c>
      <c r="AI34" s="42">
        <v>0.1106</v>
      </c>
      <c r="AJ34" s="39" t="s">
        <v>5104</v>
      </c>
      <c r="AK34" s="39" t="s">
        <v>5105</v>
      </c>
      <c r="AL34" s="39" t="s">
        <v>5000</v>
      </c>
      <c r="AM34" s="42">
        <v>7.6999999999999999E-2</v>
      </c>
      <c r="AN34" s="42">
        <v>0.20369999999999999</v>
      </c>
      <c r="AO34" s="39">
        <v>80</v>
      </c>
      <c r="AP34" s="39">
        <v>28</v>
      </c>
      <c r="AQ34" s="39">
        <v>50</v>
      </c>
      <c r="AR34" s="39">
        <v>832</v>
      </c>
      <c r="AS34" s="39">
        <v>11</v>
      </c>
      <c r="AT34" s="39" t="s">
        <v>129</v>
      </c>
      <c r="AU34" s="39">
        <v>20</v>
      </c>
      <c r="AV34" s="39" t="s">
        <v>4655</v>
      </c>
      <c r="AW34" s="39">
        <v>754.42</v>
      </c>
      <c r="AX34" s="39">
        <v>761.18</v>
      </c>
      <c r="AY34" s="39">
        <v>768.12</v>
      </c>
      <c r="AZ34" s="39">
        <v>740.72</v>
      </c>
      <c r="BA34" s="39">
        <v>733.78</v>
      </c>
      <c r="BB34" s="39">
        <v>727.02</v>
      </c>
      <c r="BC34" s="39">
        <v>10</v>
      </c>
      <c r="BD34" s="39">
        <v>2</v>
      </c>
      <c r="BE34" s="39">
        <v>3</v>
      </c>
      <c r="BF34" s="39" t="s">
        <v>130</v>
      </c>
      <c r="BG34" s="39">
        <v>182</v>
      </c>
      <c r="BH34" s="39">
        <v>0.2</v>
      </c>
      <c r="BI34" s="39" t="s">
        <v>4563</v>
      </c>
      <c r="BJ34" s="39" t="s">
        <v>4563</v>
      </c>
      <c r="BK34" t="s">
        <v>5309</v>
      </c>
      <c r="BL34" s="39" t="s">
        <v>4813</v>
      </c>
    </row>
    <row r="35" spans="1:64" x14ac:dyDescent="0.35">
      <c r="A35" s="39" t="s">
        <v>326</v>
      </c>
      <c r="B35" s="39" t="str">
        <f>IFERROR(INDEX(added_new_stocks!$F$6:$H$2156,MATCH(A35,added_new_stocks!$F$6:$F$2143,0),3),"")</f>
        <v>Large</v>
      </c>
      <c r="C35" s="48">
        <v>18263.349999999999</v>
      </c>
      <c r="D35" s="39">
        <v>65</v>
      </c>
      <c r="G35" s="39" t="s">
        <v>4562</v>
      </c>
      <c r="H35" s="39" t="s">
        <v>5106</v>
      </c>
      <c r="I35" s="39" t="s">
        <v>4989</v>
      </c>
      <c r="J35" s="39" t="s">
        <v>5107</v>
      </c>
      <c r="K35" s="39" t="s">
        <v>133</v>
      </c>
      <c r="L35" s="39" t="s">
        <v>5108</v>
      </c>
      <c r="M35" s="39" t="s">
        <v>4620</v>
      </c>
      <c r="N35" s="39">
        <v>11</v>
      </c>
      <c r="O35" s="39">
        <v>-1</v>
      </c>
      <c r="P35" s="39">
        <v>10</v>
      </c>
      <c r="Q35" s="39" t="s">
        <v>14</v>
      </c>
      <c r="R35" s="39">
        <v>0.22</v>
      </c>
      <c r="S35" s="39">
        <v>0.49</v>
      </c>
      <c r="T35" s="39">
        <v>-4.76</v>
      </c>
      <c r="U35" s="39">
        <v>-3.94</v>
      </c>
      <c r="V35" s="39">
        <v>1.4</v>
      </c>
      <c r="W35" s="39">
        <v>5.89</v>
      </c>
      <c r="X35" s="39">
        <v>3.73</v>
      </c>
      <c r="Y35" s="39">
        <v>30.64</v>
      </c>
      <c r="Z35" s="39">
        <v>32.299999999999997</v>
      </c>
      <c r="AA35" s="39">
        <v>32.729999999999997</v>
      </c>
      <c r="AB35" s="39">
        <v>-3.2</v>
      </c>
      <c r="AC35" s="39">
        <v>116.77</v>
      </c>
      <c r="AD35" s="39" t="s">
        <v>4606</v>
      </c>
      <c r="AE35" s="39" t="s">
        <v>134</v>
      </c>
      <c r="AF35" s="39">
        <v>132</v>
      </c>
      <c r="AG35" s="42">
        <v>5.6000000000000001E-2</v>
      </c>
      <c r="AH35" s="39">
        <v>171</v>
      </c>
      <c r="AI35" s="42">
        <v>3.8800000000000001E-2</v>
      </c>
      <c r="AJ35" s="39" t="s">
        <v>5109</v>
      </c>
      <c r="AK35" s="42">
        <v>0.67759999999999998</v>
      </c>
      <c r="AL35" s="39" t="s">
        <v>5110</v>
      </c>
      <c r="AM35" s="42">
        <v>2.98E-2</v>
      </c>
      <c r="AN35" s="42">
        <v>7.3200000000000001E-2</v>
      </c>
      <c r="AO35" s="39">
        <v>65</v>
      </c>
      <c r="AP35" s="39">
        <v>26</v>
      </c>
      <c r="AQ35" s="39">
        <v>44</v>
      </c>
      <c r="AR35" s="45">
        <v>20029</v>
      </c>
      <c r="AS35" s="39">
        <v>10</v>
      </c>
      <c r="AT35" s="39" t="s">
        <v>4562</v>
      </c>
      <c r="AU35" s="39">
        <v>6</v>
      </c>
      <c r="AV35" s="39" t="s">
        <v>4656</v>
      </c>
      <c r="AW35" s="39">
        <v>18358.62</v>
      </c>
      <c r="AX35" s="39">
        <v>18429.13</v>
      </c>
      <c r="AY35" s="39">
        <v>18548.27</v>
      </c>
      <c r="AZ35" s="39">
        <v>18168.97</v>
      </c>
      <c r="BA35" s="39">
        <v>18049.830000000002</v>
      </c>
      <c r="BB35" s="39">
        <v>17979.32</v>
      </c>
      <c r="BC35" s="39">
        <v>14</v>
      </c>
      <c r="BD35" s="39" t="s">
        <v>130</v>
      </c>
      <c r="BE35" s="39">
        <v>3</v>
      </c>
      <c r="BF35" s="39" t="s">
        <v>130</v>
      </c>
      <c r="BG35" s="48">
        <v>6534.5</v>
      </c>
      <c r="BH35" s="39">
        <v>0.4</v>
      </c>
      <c r="BI35" s="39" t="s">
        <v>4651</v>
      </c>
      <c r="BJ35" s="39" t="s">
        <v>4563</v>
      </c>
      <c r="BK35" t="s">
        <v>5310</v>
      </c>
      <c r="BL35" s="39" t="s">
        <v>4814</v>
      </c>
    </row>
    <row r="36" spans="1:64" x14ac:dyDescent="0.35">
      <c r="A36" s="39" t="s">
        <v>290</v>
      </c>
      <c r="B36" s="39" t="str">
        <f>IFERROR(INDEX(added_new_stocks!$F$6:$H$2156,MATCH(A36,added_new_stocks!$F$6:$F$2143,0),3),"")</f>
        <v>Large</v>
      </c>
      <c r="C36" s="39">
        <v>352.7</v>
      </c>
      <c r="D36" s="39">
        <v>77</v>
      </c>
      <c r="G36" s="39" t="s">
        <v>129</v>
      </c>
      <c r="H36" s="39" t="s">
        <v>5111</v>
      </c>
      <c r="I36" s="39" t="s">
        <v>4989</v>
      </c>
      <c r="J36" s="39" t="s">
        <v>5112</v>
      </c>
      <c r="K36" s="39" t="s">
        <v>133</v>
      </c>
      <c r="L36" s="39" t="s">
        <v>5113</v>
      </c>
      <c r="M36" s="39" t="s">
        <v>5047</v>
      </c>
      <c r="N36" s="39">
        <v>29</v>
      </c>
      <c r="O36" s="39">
        <v>-1</v>
      </c>
      <c r="P36" s="39">
        <v>28</v>
      </c>
      <c r="Q36" s="39" t="s">
        <v>5060</v>
      </c>
      <c r="R36" s="39">
        <v>-1.27</v>
      </c>
      <c r="S36" s="39">
        <v>-1.36</v>
      </c>
      <c r="T36" s="39">
        <v>-6.93</v>
      </c>
      <c r="U36" s="39">
        <v>-2.16</v>
      </c>
      <c r="V36" s="39">
        <v>6.33</v>
      </c>
      <c r="W36" s="39">
        <v>6.7</v>
      </c>
      <c r="X36" s="39">
        <v>1.61</v>
      </c>
      <c r="Y36" s="39">
        <v>-23.9</v>
      </c>
      <c r="Z36" s="39">
        <v>-12.31</v>
      </c>
      <c r="AA36" s="39">
        <v>0.38</v>
      </c>
      <c r="AB36" s="39">
        <v>-6.57</v>
      </c>
      <c r="AC36" s="39">
        <v>263.92</v>
      </c>
      <c r="AD36" s="39" t="s">
        <v>4606</v>
      </c>
      <c r="AE36" s="39" t="s">
        <v>134</v>
      </c>
      <c r="AF36" s="39">
        <v>193</v>
      </c>
      <c r="AG36" s="42">
        <v>9.9900000000000003E-2</v>
      </c>
      <c r="AH36" s="39">
        <v>608</v>
      </c>
      <c r="AI36" s="42">
        <v>0.1255</v>
      </c>
      <c r="AJ36" s="39" t="s">
        <v>5061</v>
      </c>
      <c r="AK36" s="42">
        <v>0.52980000000000005</v>
      </c>
      <c r="AL36" s="39" t="s">
        <v>5114</v>
      </c>
      <c r="AM36" s="42">
        <v>1.52E-2</v>
      </c>
      <c r="AN36" s="42">
        <v>7.8700000000000006E-2</v>
      </c>
      <c r="AO36" s="39">
        <v>70</v>
      </c>
      <c r="AP36" s="39">
        <v>87</v>
      </c>
      <c r="AQ36" s="39">
        <v>47</v>
      </c>
      <c r="AR36" s="39">
        <v>436</v>
      </c>
      <c r="AS36" s="39">
        <v>24</v>
      </c>
      <c r="AT36" s="39" t="s">
        <v>129</v>
      </c>
      <c r="AU36" s="39">
        <v>29</v>
      </c>
      <c r="AV36" s="39" t="s">
        <v>4657</v>
      </c>
      <c r="AW36" s="39">
        <v>356.82</v>
      </c>
      <c r="AX36" s="39">
        <v>360.73</v>
      </c>
      <c r="AY36" s="39">
        <v>363.12</v>
      </c>
      <c r="AZ36" s="39">
        <v>350.52</v>
      </c>
      <c r="BA36" s="39">
        <v>348.13</v>
      </c>
      <c r="BB36" s="39">
        <v>344.22</v>
      </c>
      <c r="BC36" s="39">
        <v>6</v>
      </c>
      <c r="BD36" s="39">
        <v>4</v>
      </c>
      <c r="BE36" s="39">
        <v>7</v>
      </c>
      <c r="BF36" s="39" t="s">
        <v>130</v>
      </c>
      <c r="BG36" s="39">
        <v>702.4</v>
      </c>
      <c r="BH36" s="39">
        <v>2</v>
      </c>
      <c r="BI36" s="39" t="s">
        <v>4563</v>
      </c>
      <c r="BJ36" s="39" t="s">
        <v>4563</v>
      </c>
      <c r="BK36" t="s">
        <v>5311</v>
      </c>
      <c r="BL36" s="39" t="s">
        <v>4815</v>
      </c>
    </row>
    <row r="37" spans="1:64" x14ac:dyDescent="0.35">
      <c r="A37" s="39" t="s">
        <v>910</v>
      </c>
      <c r="B37" s="39" t="str">
        <f>IFERROR(INDEX(added_new_stocks!$F$6:$H$2156,MATCH(A37,added_new_stocks!$F$6:$F$2143,0),3),"")</f>
        <v>Mid</v>
      </c>
      <c r="C37" s="39">
        <v>453.4</v>
      </c>
      <c r="D37" s="39">
        <v>71</v>
      </c>
      <c r="G37" s="39" t="s">
        <v>129</v>
      </c>
      <c r="H37" s="39" t="s">
        <v>5115</v>
      </c>
      <c r="I37" s="39" t="s">
        <v>4624</v>
      </c>
      <c r="J37" s="39" t="s">
        <v>5116</v>
      </c>
      <c r="K37" s="39" t="s">
        <v>133</v>
      </c>
      <c r="L37" s="39" t="s">
        <v>4998</v>
      </c>
      <c r="M37" s="39" t="s">
        <v>4959</v>
      </c>
      <c r="N37" s="39">
        <v>13</v>
      </c>
      <c r="O37" s="39">
        <v>-4</v>
      </c>
      <c r="P37" s="39">
        <v>9</v>
      </c>
      <c r="Q37" s="39" t="s">
        <v>14</v>
      </c>
      <c r="R37" s="39">
        <v>-3.56</v>
      </c>
      <c r="S37" s="39">
        <v>1.72</v>
      </c>
      <c r="T37" s="39">
        <v>15.59</v>
      </c>
      <c r="U37" s="39">
        <v>42.18</v>
      </c>
      <c r="V37" s="39">
        <v>55.81</v>
      </c>
      <c r="W37" s="39">
        <v>51.64</v>
      </c>
      <c r="X37" s="39">
        <v>35.53</v>
      </c>
      <c r="Y37" s="39">
        <v>7.53</v>
      </c>
      <c r="Z37" s="39">
        <v>164.76</v>
      </c>
      <c r="AA37" s="39">
        <v>644.5</v>
      </c>
      <c r="AB37" s="39">
        <v>52.56</v>
      </c>
      <c r="AC37" s="39">
        <v>226.19</v>
      </c>
      <c r="AD37" s="39" t="s">
        <v>4606</v>
      </c>
      <c r="AE37" s="39" t="s">
        <v>134</v>
      </c>
      <c r="AF37" s="39">
        <v>20</v>
      </c>
      <c r="AG37" s="42">
        <v>0.2122</v>
      </c>
      <c r="AH37" s="39">
        <v>148</v>
      </c>
      <c r="AI37" s="42">
        <v>0.11310000000000001</v>
      </c>
      <c r="AJ37" s="39" t="s">
        <v>5117</v>
      </c>
      <c r="AK37" s="42">
        <v>0.39150000000000001</v>
      </c>
      <c r="AL37" s="39" t="s">
        <v>5118</v>
      </c>
      <c r="AM37" s="42">
        <v>5.5300000000000002E-2</v>
      </c>
      <c r="AN37" s="42">
        <v>0.18990000000000001</v>
      </c>
      <c r="AO37" s="39">
        <v>55</v>
      </c>
      <c r="AP37" s="39">
        <v>28</v>
      </c>
      <c r="AQ37" s="39">
        <v>72</v>
      </c>
      <c r="AR37" s="39">
        <v>426</v>
      </c>
      <c r="AS37" s="39">
        <v>-6</v>
      </c>
      <c r="AT37" s="39" t="s">
        <v>129</v>
      </c>
      <c r="AU37" s="39">
        <v>11</v>
      </c>
      <c r="AV37" s="39" t="s">
        <v>4658</v>
      </c>
      <c r="AW37" s="39">
        <v>466.38</v>
      </c>
      <c r="AX37" s="39">
        <v>479.22</v>
      </c>
      <c r="AY37" s="39">
        <v>488.28</v>
      </c>
      <c r="AZ37" s="39">
        <v>444.48</v>
      </c>
      <c r="BA37" s="39">
        <v>435.42</v>
      </c>
      <c r="BB37" s="39">
        <v>422.58</v>
      </c>
      <c r="BC37" s="39">
        <v>10</v>
      </c>
      <c r="BD37" s="39">
        <v>1</v>
      </c>
      <c r="BE37" s="39">
        <v>5</v>
      </c>
      <c r="BF37" s="39" t="s">
        <v>130</v>
      </c>
      <c r="BG37" s="39">
        <v>159.1</v>
      </c>
      <c r="BH37" s="39">
        <v>0.4</v>
      </c>
      <c r="BI37" s="39" t="s">
        <v>4563</v>
      </c>
      <c r="BJ37" s="39" t="s">
        <v>4563</v>
      </c>
      <c r="BK37" t="s">
        <v>5312</v>
      </c>
      <c r="BL37" s="39" t="s">
        <v>4816</v>
      </c>
    </row>
    <row r="38" spans="1:64" x14ac:dyDescent="0.35">
      <c r="A38" s="39" t="s">
        <v>919</v>
      </c>
      <c r="B38" s="39" t="str">
        <f>IFERROR(INDEX(added_new_stocks!$F$6:$H$2156,MATCH(A38,added_new_stocks!$F$6:$F$2143,0),3),"")</f>
        <v>Mid</v>
      </c>
      <c r="C38" s="39">
        <v>328.05</v>
      </c>
      <c r="D38" s="39">
        <v>74</v>
      </c>
      <c r="G38" s="39" t="s">
        <v>129</v>
      </c>
      <c r="H38" s="39" t="s">
        <v>5119</v>
      </c>
      <c r="I38" s="39" t="s">
        <v>4624</v>
      </c>
      <c r="J38" s="39" t="s">
        <v>5120</v>
      </c>
      <c r="K38" s="39" t="s">
        <v>4615</v>
      </c>
      <c r="L38" s="39" t="s">
        <v>5121</v>
      </c>
      <c r="N38" s="39">
        <v>31</v>
      </c>
      <c r="O38" s="39">
        <v>-6</v>
      </c>
      <c r="P38" s="39">
        <v>25</v>
      </c>
      <c r="Q38" s="39" t="s">
        <v>5060</v>
      </c>
      <c r="R38" s="39">
        <v>-0.55000000000000004</v>
      </c>
      <c r="S38" s="39">
        <v>-1.2</v>
      </c>
      <c r="T38" s="39">
        <v>-0.08</v>
      </c>
      <c r="U38" s="39">
        <v>11.17</v>
      </c>
      <c r="V38" s="39">
        <v>11.75</v>
      </c>
      <c r="W38" s="39">
        <v>-1.65</v>
      </c>
      <c r="X38" s="39">
        <v>36.74</v>
      </c>
      <c r="Y38" s="39">
        <v>108.62</v>
      </c>
      <c r="Z38" s="39">
        <v>221.62</v>
      </c>
      <c r="AA38" s="39">
        <v>39.090000000000003</v>
      </c>
      <c r="AB38" s="39">
        <v>18.28</v>
      </c>
      <c r="AC38" s="39">
        <v>50.46</v>
      </c>
      <c r="AD38" s="39" t="s">
        <v>4606</v>
      </c>
      <c r="AE38" s="39" t="s">
        <v>134</v>
      </c>
      <c r="AF38" s="39">
        <v>29</v>
      </c>
      <c r="AG38" s="42">
        <v>4.6199999999999998E-2</v>
      </c>
      <c r="AH38" s="39">
        <v>238</v>
      </c>
      <c r="AI38" s="42">
        <v>8.9200000000000002E-2</v>
      </c>
      <c r="AJ38" s="39" t="s">
        <v>5061</v>
      </c>
      <c r="AK38" s="42">
        <v>0.62929999999999997</v>
      </c>
      <c r="AL38" s="39" t="s">
        <v>5122</v>
      </c>
      <c r="AM38" s="42">
        <v>8.5599999999999996E-2</v>
      </c>
      <c r="AN38" s="42">
        <v>0.1065</v>
      </c>
      <c r="AO38" s="39">
        <v>50</v>
      </c>
      <c r="AP38" s="39">
        <v>38</v>
      </c>
      <c r="AQ38" s="39">
        <v>51</v>
      </c>
      <c r="AR38" s="39">
        <v>835</v>
      </c>
      <c r="AS38" s="39">
        <v>15</v>
      </c>
      <c r="AT38" s="39" t="s">
        <v>129</v>
      </c>
      <c r="AU38" s="39">
        <v>13</v>
      </c>
      <c r="AV38" s="39" t="s">
        <v>4659</v>
      </c>
      <c r="AW38" s="39">
        <v>735.57</v>
      </c>
      <c r="AX38" s="39">
        <v>744.58</v>
      </c>
      <c r="AY38" s="39">
        <v>751.22</v>
      </c>
      <c r="AZ38" s="39">
        <v>719.92</v>
      </c>
      <c r="BA38" s="39">
        <v>713.28</v>
      </c>
      <c r="BB38" s="39">
        <v>704.27</v>
      </c>
      <c r="BC38" s="39">
        <v>9</v>
      </c>
      <c r="BD38" s="39">
        <v>4</v>
      </c>
      <c r="BE38" s="39">
        <v>4</v>
      </c>
      <c r="BF38" s="39" t="s">
        <v>130</v>
      </c>
      <c r="BG38" s="39">
        <v>545.29999999999995</v>
      </c>
      <c r="BH38" s="39">
        <v>0.8</v>
      </c>
      <c r="BI38" s="39" t="s">
        <v>4563</v>
      </c>
      <c r="BJ38" s="39" t="s">
        <v>4563</v>
      </c>
      <c r="BK38" t="s">
        <v>5313</v>
      </c>
      <c r="BL38" s="39" t="s">
        <v>4817</v>
      </c>
    </row>
    <row r="39" spans="1:64" x14ac:dyDescent="0.35">
      <c r="A39" s="39" t="s">
        <v>918</v>
      </c>
      <c r="B39" s="39" t="str">
        <f>IFERROR(INDEX(added_new_stocks!$F$6:$H$2156,MATCH(A39,added_new_stocks!$F$6:$F$2143,0),3),"")</f>
        <v>Mid</v>
      </c>
      <c r="C39" s="48">
        <v>1000.75</v>
      </c>
      <c r="D39" s="39">
        <v>52</v>
      </c>
      <c r="G39" s="39" t="s">
        <v>4562</v>
      </c>
      <c r="H39" s="39" t="s">
        <v>5123</v>
      </c>
      <c r="I39" s="39" t="s">
        <v>4989</v>
      </c>
      <c r="J39" s="39" t="s">
        <v>5124</v>
      </c>
      <c r="K39" s="39" t="s">
        <v>4615</v>
      </c>
      <c r="L39" s="39" t="s">
        <v>5008</v>
      </c>
      <c r="M39" s="39" t="s">
        <v>4620</v>
      </c>
      <c r="N39" s="39">
        <v>12</v>
      </c>
      <c r="O39" s="39">
        <v>-10</v>
      </c>
      <c r="P39" s="39">
        <v>2</v>
      </c>
      <c r="Q39" s="39" t="s">
        <v>4611</v>
      </c>
      <c r="R39" s="39">
        <v>-1.85</v>
      </c>
      <c r="S39" s="39">
        <v>-1.44</v>
      </c>
      <c r="T39" s="39">
        <v>7.56</v>
      </c>
      <c r="U39" s="39">
        <v>21.67</v>
      </c>
      <c r="V39" s="39">
        <v>55.95</v>
      </c>
      <c r="W39" s="39">
        <v>39.619999999999997</v>
      </c>
      <c r="X39" s="39">
        <v>15.26</v>
      </c>
      <c r="Y39" s="39">
        <v>26.93</v>
      </c>
      <c r="Z39" s="39">
        <v>216.74</v>
      </c>
      <c r="AA39" s="39">
        <v>142.63</v>
      </c>
      <c r="AB39" s="39">
        <v>138.91</v>
      </c>
      <c r="AC39" s="39">
        <v>929</v>
      </c>
      <c r="AD39" s="39" t="s">
        <v>4606</v>
      </c>
      <c r="AE39" s="39" t="s">
        <v>134</v>
      </c>
      <c r="AF39" s="39">
        <v>19</v>
      </c>
      <c r="AG39" s="42">
        <v>0.13689999999999999</v>
      </c>
      <c r="AH39" s="39">
        <v>115</v>
      </c>
      <c r="AI39" s="42">
        <v>8.0799999999999997E-2</v>
      </c>
      <c r="AJ39" s="39" t="s">
        <v>5125</v>
      </c>
      <c r="AK39" s="42">
        <v>0.33110000000000001</v>
      </c>
      <c r="AL39" s="39" t="s">
        <v>5126</v>
      </c>
      <c r="AM39" s="42">
        <v>5.0200000000000002E-2</v>
      </c>
      <c r="AN39" s="42">
        <v>0.17050000000000001</v>
      </c>
      <c r="AO39" s="39">
        <v>80</v>
      </c>
      <c r="AP39" s="39">
        <v>29</v>
      </c>
      <c r="AQ39" s="39">
        <v>63</v>
      </c>
      <c r="AR39" s="45">
        <v>1248</v>
      </c>
      <c r="AS39" s="39">
        <v>25</v>
      </c>
      <c r="AT39" s="39" t="s">
        <v>4633</v>
      </c>
      <c r="AU39" s="39">
        <v>2</v>
      </c>
      <c r="AV39" s="39" t="s">
        <v>4660</v>
      </c>
      <c r="AW39" s="39">
        <v>1017.63</v>
      </c>
      <c r="AX39" s="39">
        <v>1035.17</v>
      </c>
      <c r="AY39" s="39">
        <v>1047.93</v>
      </c>
      <c r="AZ39" s="39">
        <v>987.33</v>
      </c>
      <c r="BA39" s="39">
        <v>974.57</v>
      </c>
      <c r="BB39" s="39">
        <v>957.03</v>
      </c>
      <c r="BC39" s="39">
        <v>8</v>
      </c>
      <c r="BD39" s="39">
        <v>5</v>
      </c>
      <c r="BE39" s="39">
        <v>2</v>
      </c>
      <c r="BF39" s="39" t="s">
        <v>130</v>
      </c>
      <c r="BG39" s="39">
        <v>400.1</v>
      </c>
      <c r="BH39" s="39">
        <v>0.4</v>
      </c>
      <c r="BI39" s="39" t="s">
        <v>4565</v>
      </c>
      <c r="BJ39" s="39" t="s">
        <v>132</v>
      </c>
      <c r="BK39" t="s">
        <v>5314</v>
      </c>
      <c r="BL39" s="39" t="s">
        <v>4818</v>
      </c>
    </row>
    <row r="40" spans="1:64" x14ac:dyDescent="0.35">
      <c r="A40" s="39" t="s">
        <v>240</v>
      </c>
      <c r="B40" s="39" t="str">
        <f>IFERROR(INDEX(added_new_stocks!$F$6:$H$2156,MATCH(A40,added_new_stocks!$F$6:$F$2143,0),3),"")</f>
        <v>Large</v>
      </c>
      <c r="C40" s="39">
        <v>227.45</v>
      </c>
      <c r="D40" s="39">
        <v>75</v>
      </c>
      <c r="G40" s="39" t="s">
        <v>129</v>
      </c>
      <c r="H40" s="39" t="s">
        <v>5127</v>
      </c>
      <c r="I40" s="39" t="s">
        <v>4989</v>
      </c>
      <c r="J40" s="39" t="s">
        <v>5128</v>
      </c>
      <c r="K40" s="39" t="s">
        <v>4957</v>
      </c>
      <c r="L40" s="39" t="s">
        <v>5129</v>
      </c>
      <c r="M40" s="39" t="s">
        <v>4955</v>
      </c>
      <c r="N40" s="39">
        <v>5</v>
      </c>
      <c r="O40" s="39">
        <v>-5</v>
      </c>
      <c r="P40" s="39">
        <v>0</v>
      </c>
      <c r="Q40" s="39" t="s">
        <v>4611</v>
      </c>
      <c r="R40" s="39">
        <v>-2.09</v>
      </c>
      <c r="S40" s="39">
        <v>-3.19</v>
      </c>
      <c r="T40" s="39">
        <v>-0.37</v>
      </c>
      <c r="U40" s="39">
        <v>-5.09</v>
      </c>
      <c r="V40" s="39">
        <v>4.62</v>
      </c>
      <c r="W40" s="39">
        <v>1.02</v>
      </c>
      <c r="X40" s="39">
        <v>2.57</v>
      </c>
      <c r="Y40" s="39">
        <v>64.28</v>
      </c>
      <c r="Z40" s="39">
        <v>66.33</v>
      </c>
      <c r="AA40" s="39">
        <v>12.68</v>
      </c>
      <c r="AB40" s="39">
        <v>-19.11</v>
      </c>
      <c r="AC40" s="39">
        <v>-11.96</v>
      </c>
      <c r="AD40" s="39" t="s">
        <v>4606</v>
      </c>
      <c r="AE40" s="39" t="s">
        <v>134</v>
      </c>
      <c r="AF40" s="39">
        <v>32</v>
      </c>
      <c r="AG40" s="42">
        <v>9.7299999999999998E-2</v>
      </c>
      <c r="AH40" s="39">
        <v>517</v>
      </c>
      <c r="AI40" s="42">
        <v>9.2999999999999999E-2</v>
      </c>
      <c r="AJ40" s="39" t="s">
        <v>5130</v>
      </c>
      <c r="AK40" s="42">
        <v>0.63129999999999997</v>
      </c>
      <c r="AL40" s="39" t="s">
        <v>136</v>
      </c>
      <c r="AM40" s="43">
        <v>0.11</v>
      </c>
      <c r="AN40" s="42">
        <v>3.9E-2</v>
      </c>
      <c r="AO40" s="39">
        <v>70</v>
      </c>
      <c r="AP40" s="39">
        <v>70</v>
      </c>
      <c r="AQ40" s="39">
        <v>53</v>
      </c>
      <c r="AR40" s="39">
        <v>257</v>
      </c>
      <c r="AS40" s="39">
        <v>13</v>
      </c>
      <c r="AT40" s="39" t="s">
        <v>4562</v>
      </c>
      <c r="AU40" s="39">
        <v>21</v>
      </c>
      <c r="AV40" s="39" t="s">
        <v>4661</v>
      </c>
      <c r="AW40" s="39">
        <v>228.6</v>
      </c>
      <c r="AX40" s="39">
        <v>229.75</v>
      </c>
      <c r="AY40" s="39">
        <v>230.55</v>
      </c>
      <c r="AZ40" s="39">
        <v>226.65</v>
      </c>
      <c r="BA40" s="39">
        <v>225.85</v>
      </c>
      <c r="BB40" s="39">
        <v>224.7</v>
      </c>
      <c r="BC40" s="39">
        <v>12</v>
      </c>
      <c r="BD40" s="39">
        <v>4</v>
      </c>
      <c r="BE40" s="39">
        <v>6</v>
      </c>
      <c r="BF40" s="39" t="s">
        <v>130</v>
      </c>
      <c r="BG40" s="39">
        <v>306.3</v>
      </c>
      <c r="BH40" s="39">
        <v>1.3</v>
      </c>
      <c r="BI40" s="39" t="s">
        <v>4639</v>
      </c>
      <c r="BJ40" s="39" t="s">
        <v>4639</v>
      </c>
      <c r="BK40" t="s">
        <v>5315</v>
      </c>
      <c r="BL40" s="39" t="s">
        <v>4819</v>
      </c>
    </row>
    <row r="41" spans="1:64" x14ac:dyDescent="0.35">
      <c r="A41" s="39" t="s">
        <v>388</v>
      </c>
      <c r="B41" s="39" t="str">
        <f>IFERROR(INDEX(added_new_stocks!$F$6:$H$2156,MATCH(A41,added_new_stocks!$F$6:$F$2143,0),3),"")</f>
        <v>Large</v>
      </c>
      <c r="C41" s="48">
        <v>1996.6</v>
      </c>
      <c r="D41" s="39">
        <v>65</v>
      </c>
      <c r="G41" s="39" t="s">
        <v>4562</v>
      </c>
      <c r="H41" s="39" t="s">
        <v>5131</v>
      </c>
      <c r="I41" s="39" t="s">
        <v>4624</v>
      </c>
      <c r="J41" s="39" t="s">
        <v>5132</v>
      </c>
      <c r="K41" s="39" t="s">
        <v>133</v>
      </c>
      <c r="L41" s="39" t="s">
        <v>5133</v>
      </c>
      <c r="M41" s="39" t="s">
        <v>4959</v>
      </c>
      <c r="N41" s="39">
        <v>2</v>
      </c>
      <c r="O41" s="39">
        <v>0</v>
      </c>
      <c r="P41" s="39">
        <v>2</v>
      </c>
      <c r="Q41" s="39" t="s">
        <v>4611</v>
      </c>
      <c r="R41" s="39">
        <v>-0.46</v>
      </c>
      <c r="S41" s="39">
        <v>1.73</v>
      </c>
      <c r="T41" s="39">
        <v>8.52</v>
      </c>
      <c r="U41" s="39">
        <v>22.07</v>
      </c>
      <c r="V41" s="39">
        <v>37.21</v>
      </c>
      <c r="W41" s="39">
        <v>29.96</v>
      </c>
      <c r="X41" s="39">
        <v>27.49</v>
      </c>
      <c r="Y41" s="39">
        <v>19.649999999999999</v>
      </c>
      <c r="Z41" s="39">
        <v>39.47</v>
      </c>
      <c r="AA41" s="39">
        <v>66.650000000000006</v>
      </c>
      <c r="AB41" s="39">
        <v>74.73</v>
      </c>
      <c r="AC41" s="39">
        <v>202.42</v>
      </c>
      <c r="AD41" s="39" t="s">
        <v>4606</v>
      </c>
      <c r="AE41" s="39" t="s">
        <v>134</v>
      </c>
      <c r="AF41" s="39">
        <v>29</v>
      </c>
      <c r="AG41" s="42">
        <v>2.1600000000000001E-2</v>
      </c>
      <c r="AH41" s="39">
        <v>649</v>
      </c>
      <c r="AI41" s="42">
        <v>0.218</v>
      </c>
      <c r="AJ41" s="39" t="s">
        <v>5134</v>
      </c>
      <c r="AK41" s="42">
        <v>0.40060000000000001</v>
      </c>
      <c r="AL41" s="39" t="s">
        <v>136</v>
      </c>
      <c r="AM41" s="42">
        <v>3.4099999999999998E-2</v>
      </c>
      <c r="AN41" s="42">
        <v>0.17319999999999999</v>
      </c>
      <c r="AO41" s="39">
        <v>80</v>
      </c>
      <c r="AP41" s="39">
        <v>12</v>
      </c>
      <c r="AQ41" s="39">
        <v>63</v>
      </c>
      <c r="AR41" s="45">
        <v>1869</v>
      </c>
      <c r="AS41" s="39">
        <v>-6</v>
      </c>
      <c r="AT41" s="39" t="s">
        <v>4625</v>
      </c>
      <c r="AU41" s="39">
        <v>29</v>
      </c>
      <c r="AV41" s="39" t="s">
        <v>4662</v>
      </c>
      <c r="AW41" s="39">
        <v>2012.18</v>
      </c>
      <c r="AX41" s="39">
        <v>2027.77</v>
      </c>
      <c r="AY41" s="39">
        <v>2040.53</v>
      </c>
      <c r="AZ41" s="39">
        <v>1983.83</v>
      </c>
      <c r="BA41" s="39">
        <v>1971.07</v>
      </c>
      <c r="BB41" s="39">
        <v>1955.48</v>
      </c>
      <c r="BC41" s="39">
        <v>5</v>
      </c>
      <c r="BD41" s="39">
        <v>3</v>
      </c>
      <c r="BE41" s="39">
        <v>4</v>
      </c>
      <c r="BF41" s="39">
        <v>1</v>
      </c>
      <c r="BG41" s="39">
        <v>240.8</v>
      </c>
      <c r="BH41" s="39">
        <v>0.1</v>
      </c>
      <c r="BI41" s="39" t="s">
        <v>4563</v>
      </c>
      <c r="BJ41" s="39" t="s">
        <v>132</v>
      </c>
      <c r="BK41" t="s">
        <v>5316</v>
      </c>
      <c r="BL41" s="39" t="s">
        <v>4820</v>
      </c>
    </row>
    <row r="42" spans="1:64" x14ac:dyDescent="0.35">
      <c r="A42" s="39" t="s">
        <v>430</v>
      </c>
      <c r="B42" s="39" t="str">
        <f>IFERROR(INDEX(added_new_stocks!$F$6:$H$2156,MATCH(A42,added_new_stocks!$F$6:$F$2143,0),3),"")</f>
        <v>Large</v>
      </c>
      <c r="C42" s="39">
        <v>654.45000000000005</v>
      </c>
      <c r="D42" s="39">
        <v>50</v>
      </c>
      <c r="G42" s="39" t="s">
        <v>4562</v>
      </c>
      <c r="H42" s="39" t="s">
        <v>5135</v>
      </c>
      <c r="I42" s="39" t="s">
        <v>4989</v>
      </c>
      <c r="J42" s="39" t="s">
        <v>5136</v>
      </c>
      <c r="K42" s="39" t="s">
        <v>133</v>
      </c>
      <c r="L42" s="39" t="s">
        <v>5137</v>
      </c>
      <c r="M42" s="39" t="s">
        <v>4959</v>
      </c>
      <c r="N42" s="39">
        <v>2</v>
      </c>
      <c r="O42" s="39">
        <v>-13</v>
      </c>
      <c r="P42" s="39">
        <v>-11</v>
      </c>
      <c r="Q42" s="39" t="s">
        <v>4605</v>
      </c>
      <c r="R42" s="39">
        <v>-1.01</v>
      </c>
      <c r="S42" s="39">
        <v>-3.37</v>
      </c>
      <c r="T42" s="39">
        <v>-3.86</v>
      </c>
      <c r="U42" s="39">
        <v>3.6</v>
      </c>
      <c r="V42" s="39">
        <v>7.79</v>
      </c>
      <c r="W42" s="39">
        <v>-11.57</v>
      </c>
      <c r="X42" s="39">
        <v>-7.01</v>
      </c>
      <c r="Y42" s="39">
        <v>-2.8</v>
      </c>
      <c r="Z42" s="39">
        <v>66.91</v>
      </c>
      <c r="AA42" s="39">
        <v>39.659999999999997</v>
      </c>
      <c r="AB42" s="39">
        <v>27.83</v>
      </c>
      <c r="AC42" s="39">
        <v>186.99</v>
      </c>
      <c r="AD42" s="39" t="s">
        <v>4606</v>
      </c>
      <c r="AE42" s="39" t="s">
        <v>134</v>
      </c>
      <c r="AF42" s="39">
        <v>29</v>
      </c>
      <c r="AG42" s="42">
        <v>0.12230000000000001</v>
      </c>
      <c r="AH42" s="39">
        <v>576</v>
      </c>
      <c r="AI42" s="42">
        <v>0.21579999999999999</v>
      </c>
      <c r="AJ42" s="39" t="s">
        <v>5138</v>
      </c>
      <c r="AK42" s="42">
        <v>0.54800000000000004</v>
      </c>
      <c r="AL42" s="39" t="s">
        <v>5139</v>
      </c>
      <c r="AM42" s="42">
        <v>2.46E-2</v>
      </c>
      <c r="AN42" s="42">
        <v>2.4500000000000001E-2</v>
      </c>
      <c r="AO42" s="39">
        <v>75</v>
      </c>
      <c r="AP42" s="39">
        <v>28</v>
      </c>
      <c r="AQ42" s="39">
        <v>47</v>
      </c>
      <c r="AR42" s="39">
        <v>705</v>
      </c>
      <c r="AS42" s="39">
        <v>8</v>
      </c>
      <c r="AT42" s="39" t="s">
        <v>4562</v>
      </c>
      <c r="AU42" s="39">
        <v>25</v>
      </c>
      <c r="AV42" s="39" t="s">
        <v>4663</v>
      </c>
      <c r="AW42" s="39">
        <v>661.43</v>
      </c>
      <c r="AX42" s="39">
        <v>668.12</v>
      </c>
      <c r="AY42" s="39">
        <v>672.83</v>
      </c>
      <c r="AZ42" s="39">
        <v>650.03</v>
      </c>
      <c r="BA42" s="39">
        <v>645.32000000000005</v>
      </c>
      <c r="BB42" s="39">
        <v>638.63</v>
      </c>
      <c r="BC42" s="39">
        <v>8</v>
      </c>
      <c r="BD42" s="39">
        <v>6</v>
      </c>
      <c r="BE42" s="39">
        <v>2</v>
      </c>
      <c r="BF42" s="39" t="s">
        <v>130</v>
      </c>
      <c r="BG42" s="39">
        <v>277.60000000000002</v>
      </c>
      <c r="BH42" s="39">
        <v>0.4</v>
      </c>
      <c r="BI42" s="39" t="s">
        <v>4651</v>
      </c>
      <c r="BJ42" s="39" t="s">
        <v>4639</v>
      </c>
      <c r="BK42" t="s">
        <v>5317</v>
      </c>
      <c r="BL42" s="39" t="s">
        <v>4821</v>
      </c>
    </row>
    <row r="43" spans="1:64" x14ac:dyDescent="0.35">
      <c r="A43" s="39" t="s">
        <v>510</v>
      </c>
      <c r="B43" s="39" t="str">
        <f>IFERROR(INDEX(added_new_stocks!$F$6:$H$2156,MATCH(A43,added_new_stocks!$F$6:$F$2143,0),3),"")</f>
        <v>Large</v>
      </c>
      <c r="C43" s="48">
        <v>1069.6500000000001</v>
      </c>
      <c r="D43" s="39">
        <v>77</v>
      </c>
      <c r="G43" s="39" t="s">
        <v>129</v>
      </c>
      <c r="H43" s="39" t="s">
        <v>5140</v>
      </c>
      <c r="I43" s="39" t="s">
        <v>4624</v>
      </c>
      <c r="J43" s="39" t="s">
        <v>5141</v>
      </c>
      <c r="K43" s="39" t="s">
        <v>4957</v>
      </c>
      <c r="L43" s="39" t="s">
        <v>5142</v>
      </c>
      <c r="M43" s="39" t="s">
        <v>135</v>
      </c>
      <c r="N43" s="39">
        <v>6</v>
      </c>
      <c r="O43" s="39">
        <v>-4</v>
      </c>
      <c r="P43" s="39">
        <v>2</v>
      </c>
      <c r="Q43" s="39" t="s">
        <v>4611</v>
      </c>
      <c r="R43" s="39" t="s">
        <v>4538</v>
      </c>
      <c r="S43" s="39">
        <v>0.48</v>
      </c>
      <c r="T43" s="39">
        <v>11.83</v>
      </c>
      <c r="U43" s="39">
        <v>14.37</v>
      </c>
      <c r="V43" s="39">
        <v>18.079999999999998</v>
      </c>
      <c r="W43" s="39">
        <v>21.13</v>
      </c>
      <c r="X43" s="39">
        <v>1.84</v>
      </c>
      <c r="Y43" s="39">
        <v>26.08</v>
      </c>
      <c r="Z43" s="39">
        <v>46.55</v>
      </c>
      <c r="AA43" s="39">
        <v>212.26</v>
      </c>
      <c r="AB43" s="39">
        <v>161.66</v>
      </c>
      <c r="AC43" s="39">
        <v>526.26</v>
      </c>
      <c r="AD43" s="39" t="s">
        <v>4606</v>
      </c>
      <c r="AE43" s="39">
        <v>0.01</v>
      </c>
      <c r="AF43" s="39">
        <v>30</v>
      </c>
      <c r="AG43" s="42">
        <v>0.17380000000000001</v>
      </c>
      <c r="AH43" s="39">
        <v>232</v>
      </c>
      <c r="AI43" s="42">
        <v>7.5499999999999998E-2</v>
      </c>
      <c r="AJ43" s="39" t="s">
        <v>5143</v>
      </c>
      <c r="AK43" s="39" t="s">
        <v>5144</v>
      </c>
      <c r="AL43" s="39" t="s">
        <v>5145</v>
      </c>
      <c r="AM43" s="42">
        <v>4.7800000000000002E-2</v>
      </c>
      <c r="AN43" s="42">
        <v>9.7199999999999995E-2</v>
      </c>
      <c r="AO43" s="39">
        <v>50</v>
      </c>
      <c r="AP43" s="39">
        <v>10</v>
      </c>
      <c r="AQ43" s="39">
        <v>68</v>
      </c>
      <c r="AS43" s="39" t="s">
        <v>4564</v>
      </c>
      <c r="AW43" s="39">
        <v>46.6</v>
      </c>
      <c r="AX43" s="39">
        <v>47.56</v>
      </c>
      <c r="AY43" s="39">
        <v>48.76</v>
      </c>
      <c r="AZ43" s="39">
        <v>44.44</v>
      </c>
      <c r="BA43" s="39">
        <v>43.24</v>
      </c>
      <c r="BB43" s="39">
        <v>42.28</v>
      </c>
      <c r="BC43" s="39" t="s">
        <v>130</v>
      </c>
      <c r="BD43" s="39">
        <v>-2.48</v>
      </c>
      <c r="BE43" s="39">
        <v>-1.83</v>
      </c>
      <c r="BF43" s="39">
        <v>7.0000000000000007E-2</v>
      </c>
      <c r="BG43" s="39">
        <v>5</v>
      </c>
      <c r="BH43" s="39">
        <v>7</v>
      </c>
      <c r="BI43" s="39" t="s">
        <v>131</v>
      </c>
      <c r="BJ43" s="39" t="s">
        <v>131</v>
      </c>
      <c r="BK43" t="s">
        <v>5318</v>
      </c>
      <c r="BL43" s="39" t="s">
        <v>4822</v>
      </c>
    </row>
    <row r="44" spans="1:64" x14ac:dyDescent="0.35">
      <c r="A44" s="39" t="s">
        <v>930</v>
      </c>
      <c r="B44" s="39" t="str">
        <f>IFERROR(INDEX(added_new_stocks!$F$6:$H$2156,MATCH(A44,added_new_stocks!$F$6:$F$2143,0),3),"")</f>
        <v>Mid</v>
      </c>
      <c r="C44" s="48">
        <v>4811.05</v>
      </c>
      <c r="D44" s="39">
        <v>71</v>
      </c>
      <c r="G44" s="39" t="s">
        <v>129</v>
      </c>
      <c r="H44" s="39" t="s">
        <v>5146</v>
      </c>
      <c r="I44" s="39" t="s">
        <v>4624</v>
      </c>
      <c r="J44" s="39" t="s">
        <v>5147</v>
      </c>
      <c r="K44" s="39" t="s">
        <v>133</v>
      </c>
      <c r="L44" s="39" t="s">
        <v>4998</v>
      </c>
      <c r="M44" s="39" t="s">
        <v>4959</v>
      </c>
      <c r="N44" s="39">
        <v>20</v>
      </c>
      <c r="O44" s="39">
        <v>-12</v>
      </c>
      <c r="P44" s="39">
        <v>8</v>
      </c>
      <c r="Q44" s="39" t="s">
        <v>14</v>
      </c>
      <c r="R44" s="39">
        <v>-1.78</v>
      </c>
      <c r="S44" s="39">
        <v>1.21</v>
      </c>
      <c r="T44" s="39">
        <v>8.39</v>
      </c>
      <c r="U44" s="39">
        <v>34.75</v>
      </c>
      <c r="V44" s="39">
        <v>36.82</v>
      </c>
      <c r="W44" s="39">
        <v>37.19</v>
      </c>
      <c r="X44" s="39">
        <v>72.66</v>
      </c>
      <c r="Y44" s="39">
        <v>148.08000000000001</v>
      </c>
      <c r="Z44" s="39" t="s">
        <v>4538</v>
      </c>
      <c r="AA44" s="39" t="s">
        <v>4538</v>
      </c>
      <c r="AB44" s="39" t="s">
        <v>4538</v>
      </c>
      <c r="AC44" s="39" t="s">
        <v>4538</v>
      </c>
      <c r="AD44" s="39" t="s">
        <v>4606</v>
      </c>
      <c r="AE44" s="39" t="s">
        <v>134</v>
      </c>
      <c r="AF44" s="39">
        <v>15</v>
      </c>
      <c r="AG44" s="42">
        <v>0.13200000000000001</v>
      </c>
      <c r="AH44" s="39">
        <v>100</v>
      </c>
      <c r="AI44" s="42">
        <v>0.121</v>
      </c>
      <c r="AJ44" s="39" t="s">
        <v>5148</v>
      </c>
      <c r="AK44" s="42">
        <v>0.497</v>
      </c>
      <c r="AL44" s="39" t="s">
        <v>5149</v>
      </c>
      <c r="AM44" s="42">
        <v>4.7899999999999998E-2</v>
      </c>
      <c r="AN44" s="42">
        <v>7.9500000000000001E-2</v>
      </c>
      <c r="AO44" s="39">
        <v>60</v>
      </c>
      <c r="AP44" s="39">
        <v>30</v>
      </c>
      <c r="AQ44" s="39">
        <v>62</v>
      </c>
      <c r="AR44" s="45">
        <v>5245</v>
      </c>
      <c r="AS44" s="39">
        <v>9</v>
      </c>
      <c r="AT44" s="39" t="s">
        <v>129</v>
      </c>
      <c r="AU44" s="39">
        <v>8</v>
      </c>
      <c r="AV44" s="39" t="s">
        <v>4664</v>
      </c>
      <c r="AW44" s="39">
        <v>4933.03</v>
      </c>
      <c r="AX44" s="39">
        <v>5060.37</v>
      </c>
      <c r="AY44" s="39">
        <v>5140.78</v>
      </c>
      <c r="AZ44" s="39">
        <v>4725.28</v>
      </c>
      <c r="BA44" s="39">
        <v>4644.87</v>
      </c>
      <c r="BB44" s="39">
        <v>4517.53</v>
      </c>
      <c r="BC44" s="39">
        <v>12</v>
      </c>
      <c r="BD44" s="39">
        <v>3</v>
      </c>
      <c r="BE44" s="39">
        <v>3</v>
      </c>
      <c r="BF44" s="39" t="s">
        <v>130</v>
      </c>
      <c r="BG44" s="48">
        <v>1389.6</v>
      </c>
      <c r="BH44" s="39">
        <v>0.3</v>
      </c>
      <c r="BI44" s="39" t="s">
        <v>131</v>
      </c>
      <c r="BJ44" s="39" t="s">
        <v>132</v>
      </c>
      <c r="BK44" t="s">
        <v>5319</v>
      </c>
      <c r="BL44" s="39" t="s">
        <v>4823</v>
      </c>
    </row>
    <row r="45" spans="1:64" x14ac:dyDescent="0.35">
      <c r="A45" s="39" t="s">
        <v>671</v>
      </c>
      <c r="B45" s="39" t="str">
        <f>IFERROR(INDEX(added_new_stocks!$F$6:$H$2156,MATCH(A45,added_new_stocks!$F$6:$F$2143,0),3),"")</f>
        <v>Mid</v>
      </c>
      <c r="C45" s="48">
        <v>1369.05</v>
      </c>
      <c r="D45" s="39">
        <v>70</v>
      </c>
      <c r="G45" s="39" t="s">
        <v>129</v>
      </c>
      <c r="H45" s="39" t="s">
        <v>5150</v>
      </c>
      <c r="I45" s="39" t="s">
        <v>4989</v>
      </c>
      <c r="J45" s="39" t="s">
        <v>5151</v>
      </c>
      <c r="K45" s="39" t="s">
        <v>4615</v>
      </c>
      <c r="L45" s="39" t="s">
        <v>5152</v>
      </c>
      <c r="M45" s="39" t="s">
        <v>4959</v>
      </c>
      <c r="N45" s="39">
        <v>31</v>
      </c>
      <c r="O45" s="39">
        <v>-3</v>
      </c>
      <c r="P45" s="39">
        <v>28</v>
      </c>
      <c r="Q45" s="39" t="s">
        <v>5060</v>
      </c>
      <c r="R45" s="39">
        <v>-2.48</v>
      </c>
      <c r="S45" s="39">
        <v>-1.96</v>
      </c>
      <c r="T45" s="39">
        <v>4.5999999999999996</v>
      </c>
      <c r="U45" s="39">
        <v>15.81</v>
      </c>
      <c r="V45" s="39">
        <v>43.55</v>
      </c>
      <c r="W45" s="39">
        <v>49.79</v>
      </c>
      <c r="X45" s="39">
        <v>34.49</v>
      </c>
      <c r="Y45" s="39">
        <v>113.66</v>
      </c>
      <c r="Z45" s="39">
        <v>126.12</v>
      </c>
      <c r="AA45" s="39">
        <v>166.09</v>
      </c>
      <c r="AB45" s="39" t="s">
        <v>4538</v>
      </c>
      <c r="AC45" s="39" t="s">
        <v>4538</v>
      </c>
      <c r="AD45" s="39" t="s">
        <v>4606</v>
      </c>
      <c r="AE45" s="39" t="s">
        <v>134</v>
      </c>
      <c r="AF45" s="39">
        <v>20</v>
      </c>
      <c r="AG45" s="42">
        <v>0.1027</v>
      </c>
      <c r="AH45" s="39">
        <v>134</v>
      </c>
      <c r="AI45" s="42">
        <v>9.5600000000000004E-2</v>
      </c>
      <c r="AJ45" s="39" t="s">
        <v>5153</v>
      </c>
      <c r="AK45" s="42">
        <v>0.66769999999999996</v>
      </c>
      <c r="AL45" s="39" t="s">
        <v>5154</v>
      </c>
      <c r="AM45" s="42">
        <v>5.6599999999999998E-2</v>
      </c>
      <c r="AN45" s="42">
        <v>4.5699999999999998E-2</v>
      </c>
      <c r="AO45" s="39">
        <v>55</v>
      </c>
      <c r="AP45" s="39">
        <v>33</v>
      </c>
      <c r="AQ45" s="39">
        <v>63</v>
      </c>
      <c r="AR45" s="45">
        <v>1541</v>
      </c>
      <c r="AS45" s="39">
        <v>13</v>
      </c>
      <c r="AT45" s="39" t="s">
        <v>129</v>
      </c>
      <c r="AU45" s="39">
        <v>14</v>
      </c>
      <c r="AV45" s="39" t="s">
        <v>4665</v>
      </c>
      <c r="AW45" s="39">
        <v>1399.42</v>
      </c>
      <c r="AX45" s="39">
        <v>1430.38</v>
      </c>
      <c r="AY45" s="39">
        <v>1447.32</v>
      </c>
      <c r="AZ45" s="39">
        <v>1351.52</v>
      </c>
      <c r="BA45" s="39">
        <v>1334.58</v>
      </c>
      <c r="BB45" s="39">
        <v>1303.6199999999999</v>
      </c>
      <c r="BC45" s="39">
        <v>14</v>
      </c>
      <c r="BD45" s="39" t="s">
        <v>130</v>
      </c>
      <c r="BE45" s="39">
        <v>4</v>
      </c>
      <c r="BF45" s="39" t="s">
        <v>130</v>
      </c>
      <c r="BG45" s="39">
        <v>684</v>
      </c>
      <c r="BH45" s="39">
        <v>0.5</v>
      </c>
      <c r="BI45" s="39" t="s">
        <v>131</v>
      </c>
      <c r="BJ45" s="39" t="s">
        <v>132</v>
      </c>
      <c r="BK45" t="s">
        <v>5320</v>
      </c>
      <c r="BL45" s="39" t="s">
        <v>4824</v>
      </c>
    </row>
    <row r="46" spans="1:64" x14ac:dyDescent="0.35">
      <c r="A46" s="39" t="s">
        <v>744</v>
      </c>
      <c r="B46" s="39" t="str">
        <f>IFERROR(INDEX(added_new_stocks!$F$6:$H$2156,MATCH(A46,added_new_stocks!$F$6:$F$2143,0),3),"")</f>
        <v>Mid</v>
      </c>
      <c r="C46" s="48">
        <v>1543.4</v>
      </c>
      <c r="D46" s="39">
        <v>64</v>
      </c>
      <c r="G46" s="39" t="s">
        <v>4562</v>
      </c>
      <c r="H46" s="39" t="s">
        <v>5155</v>
      </c>
      <c r="I46" s="39" t="s">
        <v>4624</v>
      </c>
      <c r="J46" s="39" t="s">
        <v>5156</v>
      </c>
      <c r="K46" s="39" t="s">
        <v>133</v>
      </c>
      <c r="L46" s="39" t="s">
        <v>5157</v>
      </c>
      <c r="M46" s="39" t="s">
        <v>4959</v>
      </c>
      <c r="N46" s="39">
        <v>20</v>
      </c>
      <c r="O46" s="39">
        <v>-9</v>
      </c>
      <c r="P46" s="39">
        <v>11</v>
      </c>
      <c r="Q46" s="39" t="s">
        <v>14</v>
      </c>
      <c r="R46" s="39">
        <v>-0.08</v>
      </c>
      <c r="S46" s="39">
        <v>-0.02</v>
      </c>
      <c r="T46" s="39">
        <v>5.89</v>
      </c>
      <c r="U46" s="39">
        <v>19.760000000000002</v>
      </c>
      <c r="V46" s="39">
        <v>67.180000000000007</v>
      </c>
      <c r="W46" s="39">
        <v>90.36</v>
      </c>
      <c r="X46" s="39">
        <v>85.15</v>
      </c>
      <c r="Y46" s="39">
        <v>64.02</v>
      </c>
      <c r="Z46" s="39">
        <v>286.95999999999998</v>
      </c>
      <c r="AA46" s="39">
        <v>258.39</v>
      </c>
      <c r="AB46" s="39">
        <v>108.89</v>
      </c>
      <c r="AC46" s="39">
        <v>767.57</v>
      </c>
      <c r="AD46" s="39" t="s">
        <v>4974</v>
      </c>
      <c r="AE46" s="39" t="s">
        <v>134</v>
      </c>
      <c r="AF46" s="39">
        <v>20</v>
      </c>
      <c r="AG46" s="42">
        <v>0.2036</v>
      </c>
      <c r="AH46" s="39">
        <v>262</v>
      </c>
      <c r="AI46" s="42">
        <v>0.36559999999999998</v>
      </c>
      <c r="AJ46" s="39" t="s">
        <v>5158</v>
      </c>
      <c r="AK46" s="42">
        <v>0.12659999999999999</v>
      </c>
      <c r="AL46" s="39" t="s">
        <v>5159</v>
      </c>
      <c r="AM46" s="42">
        <v>8.7099999999999997E-2</v>
      </c>
      <c r="AN46" s="42">
        <v>0.1148</v>
      </c>
      <c r="AO46" s="39">
        <v>45</v>
      </c>
      <c r="AP46" s="39">
        <v>29</v>
      </c>
      <c r="AQ46" s="39">
        <v>64</v>
      </c>
      <c r="AR46" s="45">
        <v>1473</v>
      </c>
      <c r="AS46" s="39">
        <v>-4</v>
      </c>
      <c r="AT46" s="39" t="s">
        <v>129</v>
      </c>
      <c r="AU46" s="39">
        <v>16</v>
      </c>
      <c r="AV46" s="39" t="s">
        <v>4629</v>
      </c>
      <c r="AW46" s="39">
        <v>1565.6</v>
      </c>
      <c r="AX46" s="39">
        <v>1589.3</v>
      </c>
      <c r="AY46" s="39">
        <v>1619.6</v>
      </c>
      <c r="AZ46" s="39">
        <v>1511.6</v>
      </c>
      <c r="BA46" s="39">
        <v>1481.3</v>
      </c>
      <c r="BB46" s="39">
        <v>1457.6</v>
      </c>
      <c r="BC46" s="39">
        <v>10</v>
      </c>
      <c r="BD46" s="39">
        <v>5</v>
      </c>
      <c r="BE46" s="39">
        <v>7</v>
      </c>
      <c r="BF46" s="39" t="s">
        <v>130</v>
      </c>
      <c r="BG46" s="39">
        <v>600.70000000000005</v>
      </c>
      <c r="BH46" s="39">
        <v>0.4</v>
      </c>
      <c r="BI46" s="39" t="s">
        <v>131</v>
      </c>
      <c r="BJ46" s="39" t="s">
        <v>4563</v>
      </c>
      <c r="BK46" t="s">
        <v>5321</v>
      </c>
      <c r="BL46" s="39" t="s">
        <v>4825</v>
      </c>
    </row>
    <row r="47" spans="1:64" x14ac:dyDescent="0.35">
      <c r="A47" s="39" t="s">
        <v>1315</v>
      </c>
      <c r="B47" s="39" t="str">
        <f>IFERROR(INDEX(added_new_stocks!$F$6:$H$2156,MATCH(A47,added_new_stocks!$F$6:$F$2143,0),3),"")</f>
        <v>Small</v>
      </c>
      <c r="C47" s="39">
        <v>172.75</v>
      </c>
      <c r="D47" s="39">
        <v>74</v>
      </c>
      <c r="G47" s="39" t="s">
        <v>129</v>
      </c>
      <c r="H47" s="39" t="s">
        <v>5160</v>
      </c>
      <c r="I47" s="39" t="s">
        <v>4624</v>
      </c>
      <c r="J47" s="39" t="s">
        <v>5161</v>
      </c>
      <c r="K47" s="39" t="s">
        <v>4615</v>
      </c>
      <c r="L47" s="39" t="s">
        <v>5162</v>
      </c>
      <c r="M47" s="39" t="s">
        <v>4955</v>
      </c>
      <c r="N47" s="39">
        <v>21</v>
      </c>
      <c r="O47" s="39">
        <v>-4</v>
      </c>
      <c r="P47" s="39">
        <v>17</v>
      </c>
      <c r="Q47" s="39" t="s">
        <v>14</v>
      </c>
      <c r="R47" s="39">
        <v>0.06</v>
      </c>
      <c r="S47" s="39">
        <v>-0.69</v>
      </c>
      <c r="T47" s="39">
        <v>17.239999999999998</v>
      </c>
      <c r="U47" s="39">
        <v>49.31</v>
      </c>
      <c r="V47" s="39">
        <v>63.74</v>
      </c>
      <c r="W47" s="39">
        <v>49.44</v>
      </c>
      <c r="X47" s="39">
        <v>83.58</v>
      </c>
      <c r="Y47" s="39">
        <v>152.19</v>
      </c>
      <c r="Z47" s="39">
        <v>201.48</v>
      </c>
      <c r="AA47" s="39">
        <v>685.23</v>
      </c>
      <c r="AB47" s="39">
        <v>196.82</v>
      </c>
      <c r="AC47" s="39">
        <v>2760.1</v>
      </c>
      <c r="AD47" s="39" t="s">
        <v>4606</v>
      </c>
      <c r="AE47" s="39" t="s">
        <v>134</v>
      </c>
      <c r="AF47" s="39">
        <v>1</v>
      </c>
      <c r="AG47" s="42">
        <v>2.8400000000000002E-2</v>
      </c>
      <c r="AH47" s="39">
        <v>101</v>
      </c>
      <c r="AI47" s="42">
        <v>6.4799999999999996E-2</v>
      </c>
      <c r="AJ47" s="39" t="s">
        <v>5163</v>
      </c>
      <c r="AK47" s="43">
        <v>0</v>
      </c>
      <c r="AL47" s="39" t="s">
        <v>5164</v>
      </c>
      <c r="AM47" s="42">
        <v>9.2200000000000004E-2</v>
      </c>
      <c r="AN47" s="42">
        <v>0.22700000000000001</v>
      </c>
      <c r="AO47" s="39">
        <v>80</v>
      </c>
      <c r="AP47" s="39">
        <v>61</v>
      </c>
      <c r="AQ47" s="39">
        <v>66</v>
      </c>
      <c r="AR47" s="39">
        <v>120</v>
      </c>
      <c r="AS47" s="39">
        <v>-31</v>
      </c>
      <c r="AT47" s="39" t="s">
        <v>4633</v>
      </c>
      <c r="AU47" s="39">
        <v>1</v>
      </c>
      <c r="AV47" s="39" t="s">
        <v>4666</v>
      </c>
      <c r="AW47" s="39">
        <v>175.83</v>
      </c>
      <c r="AX47" s="39">
        <v>178.72</v>
      </c>
      <c r="AY47" s="39">
        <v>181.38</v>
      </c>
      <c r="AZ47" s="39">
        <v>170.28</v>
      </c>
      <c r="BA47" s="39">
        <v>167.62</v>
      </c>
      <c r="BB47" s="39">
        <v>164.73</v>
      </c>
      <c r="BC47" s="39">
        <v>13</v>
      </c>
      <c r="BD47" s="39">
        <v>3</v>
      </c>
      <c r="BE47" s="39">
        <v>4</v>
      </c>
      <c r="BF47" s="39" t="s">
        <v>130</v>
      </c>
      <c r="BG47" s="39">
        <v>153.30000000000001</v>
      </c>
      <c r="BH47" s="39">
        <v>0.9</v>
      </c>
      <c r="BI47" s="39" t="s">
        <v>4563</v>
      </c>
      <c r="BJ47" s="39" t="s">
        <v>131</v>
      </c>
      <c r="BK47" t="s">
        <v>5322</v>
      </c>
      <c r="BL47" s="39" t="s">
        <v>4826</v>
      </c>
    </row>
    <row r="48" spans="1:64" x14ac:dyDescent="0.35">
      <c r="A48" s="39" t="s">
        <v>270</v>
      </c>
      <c r="B48" s="39" t="str">
        <f>IFERROR(INDEX(added_new_stocks!$F$6:$H$2156,MATCH(A48,added_new_stocks!$F$6:$F$2143,0),3),"")</f>
        <v>Large</v>
      </c>
      <c r="C48" s="39">
        <v>565.5</v>
      </c>
      <c r="D48" s="39">
        <v>58</v>
      </c>
      <c r="G48" s="39" t="s">
        <v>4562</v>
      </c>
      <c r="H48" s="39" t="s">
        <v>5165</v>
      </c>
      <c r="I48" s="39" t="s">
        <v>4989</v>
      </c>
      <c r="J48" s="39" t="s">
        <v>5166</v>
      </c>
      <c r="K48" s="39" t="s">
        <v>133</v>
      </c>
      <c r="L48" s="39" t="s">
        <v>5167</v>
      </c>
      <c r="M48" s="39" t="s">
        <v>4959</v>
      </c>
      <c r="N48" s="39">
        <v>3</v>
      </c>
      <c r="O48" s="39">
        <v>-6</v>
      </c>
      <c r="P48" s="39">
        <v>-3</v>
      </c>
      <c r="Q48" s="39" t="s">
        <v>4611</v>
      </c>
      <c r="R48" s="39">
        <v>0.73</v>
      </c>
      <c r="S48" s="39">
        <v>0.39</v>
      </c>
      <c r="T48" s="39">
        <v>-1.92</v>
      </c>
      <c r="U48" s="39">
        <v>8.16</v>
      </c>
      <c r="V48" s="39">
        <v>5.51</v>
      </c>
      <c r="W48" s="39">
        <v>0.73</v>
      </c>
      <c r="X48" s="39">
        <v>-4.9000000000000004</v>
      </c>
      <c r="Y48" s="39">
        <v>-5.32</v>
      </c>
      <c r="Z48" s="39">
        <v>13.81</v>
      </c>
      <c r="AA48" s="39">
        <v>32.08</v>
      </c>
      <c r="AB48" s="39">
        <v>24.16</v>
      </c>
      <c r="AC48" s="39">
        <v>232.55</v>
      </c>
      <c r="AD48" s="39" t="s">
        <v>4606</v>
      </c>
      <c r="AE48" s="39" t="s">
        <v>134</v>
      </c>
      <c r="AF48" s="39">
        <v>31</v>
      </c>
      <c r="AG48" s="42">
        <v>3.3700000000000001E-2</v>
      </c>
      <c r="AH48" s="39">
        <v>753</v>
      </c>
      <c r="AI48" s="42">
        <v>0.19389999999999999</v>
      </c>
      <c r="AJ48" s="39" t="s">
        <v>5168</v>
      </c>
      <c r="AK48" s="39" t="s">
        <v>5169</v>
      </c>
      <c r="AL48" s="39" t="s">
        <v>5170</v>
      </c>
      <c r="AM48" s="42">
        <v>2.23E-2</v>
      </c>
      <c r="AN48" s="42">
        <v>4.2999999999999997E-2</v>
      </c>
      <c r="AO48" s="39">
        <v>35</v>
      </c>
      <c r="AP48" s="39">
        <v>12</v>
      </c>
      <c r="AQ48" s="39">
        <v>48</v>
      </c>
      <c r="AR48" s="39">
        <v>614</v>
      </c>
      <c r="AS48" s="39">
        <v>9</v>
      </c>
      <c r="AT48" s="39" t="s">
        <v>129</v>
      </c>
      <c r="AU48" s="39">
        <v>38</v>
      </c>
      <c r="AV48" s="39" t="s">
        <v>4667</v>
      </c>
      <c r="AW48" s="39">
        <v>569.53</v>
      </c>
      <c r="AX48" s="39">
        <v>573.57000000000005</v>
      </c>
      <c r="AY48" s="39">
        <v>579.17999999999995</v>
      </c>
      <c r="AZ48" s="39">
        <v>559.88</v>
      </c>
      <c r="BA48" s="39">
        <v>554.27</v>
      </c>
      <c r="BB48" s="39">
        <v>550.23</v>
      </c>
      <c r="BC48" s="39">
        <v>5</v>
      </c>
      <c r="BD48" s="39">
        <v>7</v>
      </c>
      <c r="BE48" s="39">
        <v>4</v>
      </c>
      <c r="BF48" s="39">
        <v>1</v>
      </c>
      <c r="BG48" s="39">
        <v>108.2</v>
      </c>
      <c r="BH48" s="39">
        <v>0.2</v>
      </c>
      <c r="BI48" s="39" t="s">
        <v>4563</v>
      </c>
      <c r="BJ48" s="39" t="s">
        <v>4563</v>
      </c>
      <c r="BK48" t="s">
        <v>5323</v>
      </c>
      <c r="BL48" s="39" t="s">
        <v>4827</v>
      </c>
    </row>
    <row r="49" spans="1:64" x14ac:dyDescent="0.35">
      <c r="A49" s="39" t="s">
        <v>414</v>
      </c>
      <c r="B49" s="39" t="str">
        <f>IFERROR(INDEX(added_new_stocks!$F$6:$H$2156,MATCH(A49,added_new_stocks!$F$6:$F$2143,0),3),"")</f>
        <v>Large</v>
      </c>
      <c r="C49" s="48">
        <v>1897.9</v>
      </c>
      <c r="D49" s="39">
        <v>37</v>
      </c>
      <c r="G49" s="39" t="s">
        <v>4625</v>
      </c>
      <c r="H49" s="39" t="s">
        <v>5171</v>
      </c>
      <c r="I49" s="39" t="s">
        <v>4996</v>
      </c>
      <c r="J49" s="39" t="s">
        <v>5172</v>
      </c>
      <c r="K49" s="39" t="s">
        <v>4615</v>
      </c>
      <c r="L49" s="39" t="s">
        <v>5173</v>
      </c>
      <c r="M49" s="39" t="s">
        <v>135</v>
      </c>
      <c r="N49" s="39">
        <v>2</v>
      </c>
      <c r="O49" s="39">
        <v>-13</v>
      </c>
      <c r="P49" s="39">
        <v>-11</v>
      </c>
      <c r="Q49" s="39" t="s">
        <v>4605</v>
      </c>
      <c r="R49" s="39">
        <v>-0.3</v>
      </c>
      <c r="S49" s="39">
        <v>-4.66</v>
      </c>
      <c r="T49" s="39">
        <v>-6.76</v>
      </c>
      <c r="U49" s="39">
        <v>-7.99</v>
      </c>
      <c r="V49" s="39">
        <v>-2.37</v>
      </c>
      <c r="W49" s="39">
        <v>2</v>
      </c>
      <c r="X49" s="39">
        <v>13.95</v>
      </c>
      <c r="Y49" s="39">
        <v>-0.37</v>
      </c>
      <c r="Z49" s="39">
        <v>140.59</v>
      </c>
      <c r="AA49" s="39">
        <v>91.05</v>
      </c>
      <c r="AB49" s="39" t="s">
        <v>4538</v>
      </c>
      <c r="AC49" s="39" t="s">
        <v>4538</v>
      </c>
      <c r="AD49" s="39" t="s">
        <v>4606</v>
      </c>
      <c r="AE49" s="39" t="s">
        <v>134</v>
      </c>
      <c r="AF49" s="39">
        <v>27</v>
      </c>
      <c r="AG49" s="42">
        <v>6.7699999999999996E-2</v>
      </c>
      <c r="AH49" s="39">
        <v>246</v>
      </c>
      <c r="AI49" s="42">
        <v>0.13869999999999999</v>
      </c>
      <c r="AJ49" s="39" t="s">
        <v>5174</v>
      </c>
      <c r="AK49" s="42">
        <v>0.2077</v>
      </c>
      <c r="AL49" s="39" t="s">
        <v>5175</v>
      </c>
      <c r="AM49" s="42">
        <v>1.6799999999999999E-2</v>
      </c>
      <c r="AN49" s="42">
        <v>0.1041</v>
      </c>
      <c r="AO49" s="39">
        <v>60</v>
      </c>
      <c r="AP49" s="39">
        <v>36</v>
      </c>
      <c r="AQ49" s="39">
        <v>44</v>
      </c>
      <c r="AR49" s="45">
        <v>2201</v>
      </c>
      <c r="AS49" s="39">
        <v>16</v>
      </c>
      <c r="AT49" s="39" t="s">
        <v>129</v>
      </c>
      <c r="AU49" s="39">
        <v>31</v>
      </c>
      <c r="AV49" s="39" t="s">
        <v>4668</v>
      </c>
      <c r="AW49" s="39">
        <v>1915.47</v>
      </c>
      <c r="AX49" s="39">
        <v>1932.98</v>
      </c>
      <c r="AY49" s="39">
        <v>1954.07</v>
      </c>
      <c r="AZ49" s="39">
        <v>1876.87</v>
      </c>
      <c r="BA49" s="39">
        <v>1855.78</v>
      </c>
      <c r="BB49" s="39">
        <v>1838.27</v>
      </c>
      <c r="BC49" s="39">
        <v>4</v>
      </c>
      <c r="BD49" s="39">
        <v>7</v>
      </c>
      <c r="BE49" s="39">
        <v>1</v>
      </c>
      <c r="BF49" s="39" t="s">
        <v>130</v>
      </c>
      <c r="BG49" s="48">
        <v>1001.2</v>
      </c>
      <c r="BH49" s="39">
        <v>0.5</v>
      </c>
      <c r="BI49" s="39" t="s">
        <v>131</v>
      </c>
      <c r="BJ49" s="39" t="s">
        <v>4563</v>
      </c>
      <c r="BK49" t="s">
        <v>5324</v>
      </c>
      <c r="BL49" s="39" t="s">
        <v>4828</v>
      </c>
    </row>
    <row r="50" spans="1:64" x14ac:dyDescent="0.35">
      <c r="A50" s="39" t="s">
        <v>1091</v>
      </c>
      <c r="B50" s="39" t="str">
        <f>IFERROR(INDEX(added_new_stocks!$F$6:$H$2156,MATCH(A50,added_new_stocks!$F$6:$F$2143,0),3),"")</f>
        <v>Small</v>
      </c>
      <c r="C50" s="39">
        <v>180.65</v>
      </c>
      <c r="D50" s="39">
        <v>40</v>
      </c>
      <c r="G50" s="39" t="s">
        <v>4625</v>
      </c>
      <c r="H50" s="39" t="s">
        <v>5176</v>
      </c>
      <c r="I50" s="39" t="s">
        <v>4976</v>
      </c>
      <c r="J50" s="39" t="s">
        <v>5177</v>
      </c>
      <c r="K50" s="39" t="s">
        <v>4615</v>
      </c>
      <c r="L50" s="39" t="s">
        <v>5178</v>
      </c>
      <c r="M50" s="39" t="s">
        <v>135</v>
      </c>
      <c r="N50" s="39">
        <v>5</v>
      </c>
      <c r="O50" s="39">
        <v>0</v>
      </c>
      <c r="P50" s="39">
        <v>5</v>
      </c>
      <c r="Q50" s="39" t="s">
        <v>4611</v>
      </c>
      <c r="R50" s="39">
        <v>-0.99</v>
      </c>
      <c r="S50" s="39">
        <v>-1.34</v>
      </c>
      <c r="T50" s="39">
        <v>-5.49</v>
      </c>
      <c r="U50" s="39">
        <v>-18.63</v>
      </c>
      <c r="V50" s="39">
        <v>-10.94</v>
      </c>
      <c r="W50" s="39">
        <v>-15.03</v>
      </c>
      <c r="X50" s="39">
        <v>-10.35</v>
      </c>
      <c r="Y50" s="39">
        <v>1.86</v>
      </c>
      <c r="Z50" s="39">
        <v>55.8</v>
      </c>
      <c r="AA50" s="39">
        <v>14.66</v>
      </c>
      <c r="AB50" s="39">
        <v>-30.93</v>
      </c>
      <c r="AC50" s="39">
        <v>195.18</v>
      </c>
      <c r="AD50" s="39" t="s">
        <v>5015</v>
      </c>
      <c r="AE50" s="39" t="s">
        <v>134</v>
      </c>
      <c r="AF50" s="39">
        <v>46</v>
      </c>
      <c r="AG50" s="42">
        <v>0.1792</v>
      </c>
      <c r="AH50" s="39">
        <v>74</v>
      </c>
      <c r="AI50" s="42">
        <v>6.6799999999999998E-2</v>
      </c>
      <c r="AJ50" s="39" t="s">
        <v>5179</v>
      </c>
      <c r="AK50" s="42">
        <v>0.10979999999999999</v>
      </c>
      <c r="AL50" s="39" t="s">
        <v>5180</v>
      </c>
      <c r="AM50" s="42">
        <v>4.2200000000000001E-2</v>
      </c>
      <c r="AN50" s="42">
        <v>0.32779999999999998</v>
      </c>
      <c r="AO50" s="39">
        <v>75</v>
      </c>
      <c r="AP50" s="39">
        <v>47</v>
      </c>
      <c r="AQ50" s="39">
        <v>48</v>
      </c>
      <c r="AS50" s="39" t="s">
        <v>4564</v>
      </c>
      <c r="AW50" s="39">
        <v>182.5</v>
      </c>
      <c r="AX50" s="39">
        <v>184.3</v>
      </c>
      <c r="AY50" s="39">
        <v>185.4</v>
      </c>
      <c r="AZ50" s="39">
        <v>179.6</v>
      </c>
      <c r="BA50" s="39">
        <v>178.5</v>
      </c>
      <c r="BB50" s="39">
        <v>176.7</v>
      </c>
      <c r="BC50" s="39">
        <v>3</v>
      </c>
      <c r="BD50" s="39">
        <v>4</v>
      </c>
      <c r="BE50" s="39">
        <v>1</v>
      </c>
      <c r="BF50" s="39">
        <v>0.8</v>
      </c>
      <c r="BG50" s="39">
        <v>12</v>
      </c>
      <c r="BH50" s="39">
        <v>137.80000000000001</v>
      </c>
      <c r="BI50" s="39" t="s">
        <v>4639</v>
      </c>
      <c r="BJ50" s="39" t="s">
        <v>4563</v>
      </c>
      <c r="BK50" t="s">
        <v>5325</v>
      </c>
      <c r="BL50" s="39" t="s">
        <v>4829</v>
      </c>
    </row>
    <row r="51" spans="1:64" x14ac:dyDescent="0.35">
      <c r="A51" s="39" t="s">
        <v>1351</v>
      </c>
      <c r="B51" s="39" t="str">
        <f>IFERROR(INDEX(added_new_stocks!$F$6:$H$2156,MATCH(A51,added_new_stocks!$F$6:$F$2143,0),3),"")</f>
        <v>Small</v>
      </c>
      <c r="C51" s="39">
        <v>771.35</v>
      </c>
      <c r="D51" s="39">
        <v>57</v>
      </c>
      <c r="G51" s="39" t="s">
        <v>4562</v>
      </c>
      <c r="H51" s="39" t="s">
        <v>5181</v>
      </c>
      <c r="I51" s="39" t="s">
        <v>4989</v>
      </c>
      <c r="J51" s="39" t="s">
        <v>5182</v>
      </c>
      <c r="K51" s="39" t="s">
        <v>133</v>
      </c>
      <c r="L51" s="39" t="s">
        <v>5183</v>
      </c>
      <c r="M51" s="39" t="s">
        <v>5047</v>
      </c>
      <c r="N51" s="39">
        <v>1</v>
      </c>
      <c r="O51" s="39">
        <v>-11</v>
      </c>
      <c r="P51" s="39">
        <v>-10</v>
      </c>
      <c r="Q51" s="39" t="s">
        <v>4605</v>
      </c>
      <c r="R51" s="39">
        <v>-1.37</v>
      </c>
      <c r="S51" s="39">
        <v>-0.09</v>
      </c>
      <c r="T51" s="39">
        <v>-0.85</v>
      </c>
      <c r="U51" s="39">
        <v>14.33</v>
      </c>
      <c r="V51" s="39">
        <v>13.5</v>
      </c>
      <c r="W51" s="39">
        <v>8.68</v>
      </c>
      <c r="X51" s="39">
        <v>8.5299999999999994</v>
      </c>
      <c r="Y51" s="39">
        <v>-13.63</v>
      </c>
      <c r="Z51" s="39">
        <v>-4.3</v>
      </c>
      <c r="AA51" s="39">
        <v>136.65</v>
      </c>
      <c r="AB51" s="39">
        <v>41.38</v>
      </c>
      <c r="AC51" s="39">
        <v>447.83</v>
      </c>
      <c r="AD51" s="39" t="s">
        <v>4606</v>
      </c>
      <c r="AE51" s="39" t="s">
        <v>134</v>
      </c>
      <c r="AF51" s="39">
        <v>5</v>
      </c>
      <c r="AG51" s="42">
        <v>0.1401</v>
      </c>
      <c r="AH51" s="39">
        <v>54</v>
      </c>
      <c r="AI51" s="42">
        <v>3.5499999999999997E-2</v>
      </c>
      <c r="AJ51" s="39" t="s">
        <v>5184</v>
      </c>
      <c r="AK51" s="39" t="s">
        <v>5185</v>
      </c>
      <c r="AL51" s="39" t="s">
        <v>5186</v>
      </c>
      <c r="AM51" s="42">
        <v>9.0300000000000005E-2</v>
      </c>
      <c r="AN51" s="42">
        <v>7.1900000000000006E-2</v>
      </c>
      <c r="AO51" s="39">
        <v>65</v>
      </c>
      <c r="AP51" s="39">
        <v>41</v>
      </c>
      <c r="AQ51" s="39">
        <v>63</v>
      </c>
      <c r="AR51" s="39">
        <v>934</v>
      </c>
      <c r="AS51" s="39">
        <v>21</v>
      </c>
      <c r="AT51" s="39" t="s">
        <v>4633</v>
      </c>
      <c r="AU51" s="39">
        <v>8</v>
      </c>
      <c r="AV51" s="39" t="s">
        <v>4669</v>
      </c>
      <c r="AW51" s="39">
        <v>785.92</v>
      </c>
      <c r="AX51" s="39">
        <v>801.58</v>
      </c>
      <c r="AY51" s="39">
        <v>813.27</v>
      </c>
      <c r="AZ51" s="39">
        <v>758.57</v>
      </c>
      <c r="BA51" s="39">
        <v>746.88</v>
      </c>
      <c r="BB51" s="39">
        <v>731.22</v>
      </c>
      <c r="BC51" s="39">
        <v>7</v>
      </c>
      <c r="BD51" s="39">
        <v>5</v>
      </c>
      <c r="BE51" s="39">
        <v>5</v>
      </c>
      <c r="BF51" s="39" t="s">
        <v>130</v>
      </c>
      <c r="BG51" s="39">
        <v>499.8</v>
      </c>
      <c r="BH51" s="39">
        <v>0.6</v>
      </c>
      <c r="BI51" s="39" t="s">
        <v>4565</v>
      </c>
      <c r="BJ51" s="39" t="s">
        <v>4565</v>
      </c>
      <c r="BK51" t="s">
        <v>5326</v>
      </c>
      <c r="BL51" s="39" t="s">
        <v>4830</v>
      </c>
    </row>
    <row r="52" spans="1:64" x14ac:dyDescent="0.35">
      <c r="A52" s="39" t="s">
        <v>281</v>
      </c>
      <c r="B52" s="39" t="str">
        <f>IFERROR(INDEX(added_new_stocks!$F$6:$H$2156,MATCH(A52,added_new_stocks!$F$6:$F$2143,0),3),"")</f>
        <v>Large</v>
      </c>
      <c r="C52" s="39">
        <v>473.7</v>
      </c>
      <c r="D52" s="39">
        <v>57</v>
      </c>
      <c r="G52" s="39" t="s">
        <v>4562</v>
      </c>
      <c r="H52" s="39" t="s">
        <v>5187</v>
      </c>
      <c r="I52" s="39" t="s">
        <v>4989</v>
      </c>
      <c r="J52" s="39" t="s">
        <v>5188</v>
      </c>
      <c r="K52" s="39" t="s">
        <v>4615</v>
      </c>
      <c r="L52" s="39" t="s">
        <v>5189</v>
      </c>
      <c r="M52" s="39" t="s">
        <v>4959</v>
      </c>
      <c r="N52" s="39">
        <v>8</v>
      </c>
      <c r="O52" s="39">
        <v>-2</v>
      </c>
      <c r="P52" s="39">
        <v>6</v>
      </c>
      <c r="Q52" s="39" t="s">
        <v>14</v>
      </c>
      <c r="R52" s="39">
        <v>-0.8</v>
      </c>
      <c r="S52" s="39">
        <v>-1.68</v>
      </c>
      <c r="T52" s="39">
        <v>-4.22</v>
      </c>
      <c r="U52" s="39">
        <v>2.92</v>
      </c>
      <c r="V52" s="39">
        <v>29.92</v>
      </c>
      <c r="W52" s="39">
        <v>26.27</v>
      </c>
      <c r="X52" s="39">
        <v>21.73</v>
      </c>
      <c r="Y52" s="39">
        <v>44.75</v>
      </c>
      <c r="Z52" s="39">
        <v>201.62</v>
      </c>
      <c r="AA52" s="39">
        <v>166.57</v>
      </c>
      <c r="AB52" s="39">
        <v>125.46</v>
      </c>
      <c r="AC52" s="39">
        <v>225.46</v>
      </c>
      <c r="AD52" s="39" t="s">
        <v>4606</v>
      </c>
      <c r="AE52" s="39" t="s">
        <v>134</v>
      </c>
      <c r="AF52" s="39">
        <v>27</v>
      </c>
      <c r="AG52" s="42">
        <v>3.44E-2</v>
      </c>
      <c r="AH52" s="39">
        <v>631</v>
      </c>
      <c r="AI52" s="42">
        <v>0.153</v>
      </c>
      <c r="AJ52" s="39" t="s">
        <v>5190</v>
      </c>
      <c r="AK52" s="42">
        <v>0.61529999999999996</v>
      </c>
      <c r="AL52" s="39" t="s">
        <v>5191</v>
      </c>
      <c r="AM52" s="42">
        <v>2.3699999999999999E-2</v>
      </c>
      <c r="AN52" s="42">
        <v>4.0800000000000003E-2</v>
      </c>
      <c r="AO52" s="39">
        <v>85</v>
      </c>
      <c r="AP52" s="39">
        <v>21</v>
      </c>
      <c r="AQ52" s="39">
        <v>53</v>
      </c>
      <c r="AR52" s="39">
        <v>525</v>
      </c>
      <c r="AS52" s="39">
        <v>11</v>
      </c>
      <c r="AT52" s="39" t="s">
        <v>129</v>
      </c>
      <c r="AU52" s="39">
        <v>18</v>
      </c>
      <c r="AV52" s="39" t="s">
        <v>4670</v>
      </c>
      <c r="AW52" s="39">
        <v>477.2</v>
      </c>
      <c r="AX52" s="39">
        <v>480.35</v>
      </c>
      <c r="AY52" s="39">
        <v>482.7</v>
      </c>
      <c r="AZ52" s="39">
        <v>471.7</v>
      </c>
      <c r="BA52" s="39">
        <v>469.35</v>
      </c>
      <c r="BB52" s="39">
        <v>466.2</v>
      </c>
      <c r="BC52" s="39">
        <v>8</v>
      </c>
      <c r="BD52" s="39">
        <v>3</v>
      </c>
      <c r="BE52" s="39">
        <v>4</v>
      </c>
      <c r="BF52" s="39">
        <v>1</v>
      </c>
      <c r="BG52" s="39">
        <v>170.2</v>
      </c>
      <c r="BH52" s="39">
        <v>0.4</v>
      </c>
      <c r="BI52" s="39" t="s">
        <v>4563</v>
      </c>
      <c r="BJ52" s="39" t="s">
        <v>4563</v>
      </c>
      <c r="BK52" t="s">
        <v>5327</v>
      </c>
      <c r="BL52" s="39" t="s">
        <v>4831</v>
      </c>
    </row>
    <row r="53" spans="1:64" x14ac:dyDescent="0.35">
      <c r="A53" s="39" t="s">
        <v>287</v>
      </c>
      <c r="B53" s="39" t="str">
        <f>IFERROR(INDEX(added_new_stocks!$F$6:$H$2156,MATCH(A53,added_new_stocks!$F$6:$F$2143,0),3),"")</f>
        <v>Large</v>
      </c>
      <c r="C53" s="48">
        <v>5872.1</v>
      </c>
      <c r="D53" s="39">
        <v>84</v>
      </c>
      <c r="E53" s="39" t="s">
        <v>4987</v>
      </c>
      <c r="F53" s="39" t="s">
        <v>5192</v>
      </c>
      <c r="G53" s="39" t="s">
        <v>4633</v>
      </c>
      <c r="H53" s="39" t="s">
        <v>5193</v>
      </c>
      <c r="I53" s="39" t="s">
        <v>4624</v>
      </c>
      <c r="J53" s="39" t="s">
        <v>5194</v>
      </c>
      <c r="K53" s="39" t="s">
        <v>133</v>
      </c>
      <c r="L53" s="39" t="s">
        <v>5195</v>
      </c>
      <c r="M53" s="39" t="s">
        <v>5047</v>
      </c>
      <c r="N53" s="39">
        <v>25</v>
      </c>
      <c r="O53" s="39">
        <v>-1</v>
      </c>
      <c r="P53" s="39">
        <v>24</v>
      </c>
      <c r="Q53" s="39" t="s">
        <v>5060</v>
      </c>
      <c r="R53" s="39">
        <v>-0.14000000000000001</v>
      </c>
      <c r="S53" s="39">
        <v>0.98</v>
      </c>
      <c r="T53" s="39">
        <v>13.13</v>
      </c>
      <c r="U53" s="39">
        <v>32.82</v>
      </c>
      <c r="V53" s="39">
        <v>30.19</v>
      </c>
      <c r="W53" s="39">
        <v>38.68</v>
      </c>
      <c r="X53" s="39">
        <v>38.97</v>
      </c>
      <c r="Y53" s="39">
        <v>25.32</v>
      </c>
      <c r="Z53" s="39">
        <v>30.37</v>
      </c>
      <c r="AA53" s="39">
        <v>135.56</v>
      </c>
      <c r="AB53" s="39">
        <v>148.47</v>
      </c>
      <c r="AC53" s="39">
        <v>171</v>
      </c>
      <c r="AD53" s="39" t="s">
        <v>4974</v>
      </c>
      <c r="AE53" s="39" t="s">
        <v>134</v>
      </c>
      <c r="AF53" s="39">
        <v>37</v>
      </c>
      <c r="AG53" s="42">
        <v>9.3100000000000002E-2</v>
      </c>
      <c r="AH53" s="39">
        <v>752</v>
      </c>
      <c r="AI53" s="43">
        <v>0.27</v>
      </c>
      <c r="AJ53" s="39" t="s">
        <v>5196</v>
      </c>
      <c r="AK53" s="42">
        <v>0.20619999999999999</v>
      </c>
      <c r="AL53" s="39" t="s">
        <v>5197</v>
      </c>
      <c r="AM53" s="42">
        <v>0.12540000000000001</v>
      </c>
      <c r="AN53" s="42">
        <v>7.5200000000000003E-2</v>
      </c>
      <c r="AO53" s="39">
        <v>75</v>
      </c>
      <c r="AP53" s="39">
        <v>42</v>
      </c>
      <c r="AQ53" s="39">
        <v>66</v>
      </c>
      <c r="AR53" s="45">
        <v>5492</v>
      </c>
      <c r="AS53" s="39">
        <v>-7</v>
      </c>
      <c r="AT53" s="39" t="s">
        <v>4562</v>
      </c>
      <c r="AU53" s="39">
        <v>39</v>
      </c>
      <c r="AV53" s="39" t="s">
        <v>4671</v>
      </c>
      <c r="AW53" s="39">
        <v>5956.1</v>
      </c>
      <c r="AX53" s="39">
        <v>6037.75</v>
      </c>
      <c r="AY53" s="39">
        <v>6095.5</v>
      </c>
      <c r="AZ53" s="39">
        <v>5816.7</v>
      </c>
      <c r="BA53" s="39">
        <v>5758.95</v>
      </c>
      <c r="BB53" s="39">
        <v>5677.3</v>
      </c>
      <c r="BC53" s="39">
        <v>12</v>
      </c>
      <c r="BD53" s="39">
        <v>2</v>
      </c>
      <c r="BE53" s="39">
        <v>9</v>
      </c>
      <c r="BF53" s="39">
        <v>1</v>
      </c>
      <c r="BG53" s="48">
        <v>2985.7</v>
      </c>
      <c r="BH53" s="39">
        <v>0.5</v>
      </c>
      <c r="BI53" s="39" t="s">
        <v>4639</v>
      </c>
      <c r="BJ53" s="39" t="s">
        <v>4563</v>
      </c>
      <c r="BK53" t="s">
        <v>5328</v>
      </c>
      <c r="BL53" s="39" t="s">
        <v>4832</v>
      </c>
    </row>
    <row r="54" spans="1:64" x14ac:dyDescent="0.35">
      <c r="A54" s="39" t="s">
        <v>640</v>
      </c>
      <c r="B54" s="39" t="str">
        <f>IFERROR(INDEX(added_new_stocks!$F$6:$H$2156,MATCH(A54,added_new_stocks!$F$6:$F$2143,0),3),"")</f>
        <v>Mid</v>
      </c>
      <c r="C54" s="39">
        <v>528.95000000000005</v>
      </c>
      <c r="D54" s="39">
        <v>67</v>
      </c>
      <c r="G54" s="39" t="s">
        <v>4562</v>
      </c>
      <c r="H54" s="39" t="s">
        <v>5198</v>
      </c>
      <c r="I54" s="39" t="s">
        <v>4624</v>
      </c>
      <c r="J54" s="39" t="s">
        <v>5199</v>
      </c>
      <c r="K54" s="39" t="s">
        <v>133</v>
      </c>
      <c r="L54" s="39" t="s">
        <v>5200</v>
      </c>
      <c r="M54" s="39" t="s">
        <v>4620</v>
      </c>
      <c r="N54" s="39">
        <v>6</v>
      </c>
      <c r="O54" s="39">
        <v>-6</v>
      </c>
      <c r="P54" s="39">
        <v>0</v>
      </c>
      <c r="Q54" s="39" t="s">
        <v>4611</v>
      </c>
      <c r="R54" s="39">
        <v>3.9</v>
      </c>
      <c r="S54" s="39">
        <v>1.78</v>
      </c>
      <c r="T54" s="39">
        <v>28.42</v>
      </c>
      <c r="U54" s="39">
        <v>35.630000000000003</v>
      </c>
      <c r="V54" s="39">
        <v>35.020000000000003</v>
      </c>
      <c r="W54" s="39">
        <v>24.4</v>
      </c>
      <c r="X54" s="39">
        <v>13.59</v>
      </c>
      <c r="Y54" s="39">
        <v>-11.25</v>
      </c>
      <c r="Z54" s="39">
        <v>55.53</v>
      </c>
      <c r="AA54" s="39">
        <v>75.7</v>
      </c>
      <c r="AB54" s="39">
        <v>-7.82</v>
      </c>
      <c r="AC54" s="39">
        <v>138.47999999999999</v>
      </c>
      <c r="AD54" s="39" t="s">
        <v>4606</v>
      </c>
      <c r="AE54" s="39">
        <v>33.29</v>
      </c>
      <c r="AF54" s="39">
        <v>21</v>
      </c>
      <c r="AG54" s="42">
        <v>0.2366</v>
      </c>
      <c r="AH54" s="39">
        <v>201</v>
      </c>
      <c r="AI54" s="42">
        <v>0.1145</v>
      </c>
      <c r="AJ54" s="39" t="s">
        <v>5201</v>
      </c>
      <c r="AK54" s="42">
        <v>0.24079999999999999</v>
      </c>
      <c r="AL54" s="39" t="s">
        <v>5202</v>
      </c>
      <c r="AM54" s="42">
        <v>5.8999999999999997E-2</v>
      </c>
      <c r="AN54" s="42">
        <v>3.5999999999999997E-2</v>
      </c>
      <c r="AO54" s="39">
        <v>60</v>
      </c>
      <c r="AP54" s="39">
        <v>20</v>
      </c>
      <c r="AQ54" s="39">
        <v>65</v>
      </c>
      <c r="AR54" s="39">
        <v>522</v>
      </c>
      <c r="AS54" s="39">
        <v>-1</v>
      </c>
      <c r="AT54" s="39" t="s">
        <v>129</v>
      </c>
      <c r="AU54" s="39">
        <v>23</v>
      </c>
      <c r="AV54" s="39" t="s">
        <v>4672</v>
      </c>
      <c r="AW54" s="39">
        <v>539.17999999999995</v>
      </c>
      <c r="AX54" s="39">
        <v>549.77</v>
      </c>
      <c r="AY54" s="39">
        <v>565.58000000000004</v>
      </c>
      <c r="AZ54" s="39">
        <v>512.78</v>
      </c>
      <c r="BA54" s="39">
        <v>496.97</v>
      </c>
      <c r="BB54" s="39">
        <v>486.38</v>
      </c>
      <c r="BC54" s="39">
        <v>11</v>
      </c>
      <c r="BD54" s="39">
        <v>4</v>
      </c>
      <c r="BE54" s="39">
        <v>7</v>
      </c>
      <c r="BF54" s="39">
        <v>1</v>
      </c>
      <c r="BG54" s="39">
        <v>137.80000000000001</v>
      </c>
      <c r="BH54" s="39">
        <v>0.3</v>
      </c>
      <c r="BI54" s="39" t="s">
        <v>4563</v>
      </c>
      <c r="BJ54" s="39" t="s">
        <v>4563</v>
      </c>
      <c r="BK54" t="s">
        <v>5329</v>
      </c>
      <c r="BL54" s="39" t="s">
        <v>4833</v>
      </c>
    </row>
    <row r="55" spans="1:64" x14ac:dyDescent="0.35">
      <c r="A55" s="39" t="s">
        <v>1167</v>
      </c>
      <c r="B55" s="39" t="str">
        <f>IFERROR(INDEX(added_new_stocks!$F$6:$H$2156,MATCH(A55,added_new_stocks!$F$6:$F$2143,0),3),"")</f>
        <v>Small</v>
      </c>
      <c r="C55" s="39">
        <v>153</v>
      </c>
      <c r="D55" s="39">
        <v>72</v>
      </c>
      <c r="G55" s="39" t="s">
        <v>129</v>
      </c>
      <c r="H55" s="39" t="s">
        <v>5203</v>
      </c>
      <c r="I55" s="39" t="s">
        <v>4624</v>
      </c>
      <c r="J55" s="39" t="s">
        <v>5204</v>
      </c>
      <c r="K55" s="39" t="s">
        <v>133</v>
      </c>
      <c r="L55" s="39" t="s">
        <v>5205</v>
      </c>
      <c r="M55" s="39" t="s">
        <v>4620</v>
      </c>
      <c r="N55" s="39">
        <v>16</v>
      </c>
      <c r="O55" s="39">
        <v>-4</v>
      </c>
      <c r="P55" s="39">
        <v>12</v>
      </c>
      <c r="Q55" s="39" t="s">
        <v>14</v>
      </c>
      <c r="R55" s="39">
        <v>1.83</v>
      </c>
      <c r="S55" s="39">
        <v>1.32</v>
      </c>
      <c r="T55" s="39">
        <v>16.260000000000002</v>
      </c>
      <c r="U55" s="39">
        <v>57.86</v>
      </c>
      <c r="V55" s="39">
        <v>100.79</v>
      </c>
      <c r="W55" s="39">
        <v>93.92</v>
      </c>
      <c r="X55" s="39">
        <v>125.83</v>
      </c>
      <c r="Y55" s="39">
        <v>114.89</v>
      </c>
      <c r="Z55" s="39">
        <v>123.03</v>
      </c>
      <c r="AA55" s="39">
        <v>46.41</v>
      </c>
      <c r="AB55" s="39">
        <v>25.1</v>
      </c>
      <c r="AC55" s="39">
        <v>136.84</v>
      </c>
      <c r="AD55" s="39" t="s">
        <v>4606</v>
      </c>
      <c r="AE55" s="39" t="s">
        <v>134</v>
      </c>
      <c r="AF55" s="39">
        <v>11</v>
      </c>
      <c r="AG55" s="42">
        <v>0.10580000000000001</v>
      </c>
      <c r="AH55" s="39">
        <v>112</v>
      </c>
      <c r="AI55" s="42">
        <v>7.6999999999999999E-2</v>
      </c>
      <c r="AJ55" s="39" t="s">
        <v>5061</v>
      </c>
      <c r="AK55" s="42">
        <v>0.51319999999999999</v>
      </c>
      <c r="AL55" s="39" t="s">
        <v>5206</v>
      </c>
      <c r="AM55" s="42">
        <v>6.4399999999999999E-2</v>
      </c>
      <c r="AN55" s="42">
        <v>0.188</v>
      </c>
      <c r="AO55" s="39">
        <v>75</v>
      </c>
      <c r="AP55" s="39">
        <v>38</v>
      </c>
      <c r="AQ55" s="39">
        <v>69</v>
      </c>
      <c r="AR55" s="39">
        <v>155</v>
      </c>
      <c r="AS55" s="39">
        <v>1</v>
      </c>
      <c r="AT55" s="39" t="s">
        <v>129</v>
      </c>
      <c r="AU55" s="39">
        <v>7</v>
      </c>
      <c r="AV55" s="39" t="s">
        <v>4673</v>
      </c>
      <c r="AW55" s="39">
        <v>155.82</v>
      </c>
      <c r="AX55" s="39">
        <v>158.72999999999999</v>
      </c>
      <c r="AY55" s="39">
        <v>161.62</v>
      </c>
      <c r="AZ55" s="39">
        <v>150.02000000000001</v>
      </c>
      <c r="BA55" s="39">
        <v>147.13</v>
      </c>
      <c r="BB55" s="39">
        <v>144.22</v>
      </c>
      <c r="BC55" s="39">
        <v>9</v>
      </c>
      <c r="BD55" s="39">
        <v>3</v>
      </c>
      <c r="BE55" s="39">
        <v>8</v>
      </c>
      <c r="BF55" s="39" t="s">
        <v>130</v>
      </c>
      <c r="BG55" s="39">
        <v>76.599999999999994</v>
      </c>
      <c r="BH55" s="39">
        <v>0.5</v>
      </c>
      <c r="BI55" s="39" t="s">
        <v>4563</v>
      </c>
      <c r="BJ55" s="39" t="s">
        <v>4563</v>
      </c>
      <c r="BK55" t="s">
        <v>5330</v>
      </c>
      <c r="BL55" s="39" t="s">
        <v>4834</v>
      </c>
    </row>
    <row r="56" spans="1:64" x14ac:dyDescent="0.35">
      <c r="A56" s="39" t="s">
        <v>518</v>
      </c>
      <c r="B56" s="39" t="str">
        <f>IFERROR(INDEX(added_new_stocks!$F$6:$H$2156,MATCH(A56,added_new_stocks!$F$6:$F$2143,0),3),"")</f>
        <v>Large</v>
      </c>
      <c r="C56" s="48">
        <v>2849.3</v>
      </c>
      <c r="D56" s="39">
        <v>71</v>
      </c>
      <c r="G56" s="39" t="s">
        <v>129</v>
      </c>
      <c r="H56" s="39" t="s">
        <v>5207</v>
      </c>
      <c r="I56" s="39" t="s">
        <v>4624</v>
      </c>
      <c r="J56" s="39" t="s">
        <v>5208</v>
      </c>
      <c r="K56" s="39" t="s">
        <v>133</v>
      </c>
      <c r="L56" s="39" t="s">
        <v>5209</v>
      </c>
      <c r="M56" s="39" t="s">
        <v>4959</v>
      </c>
      <c r="N56" s="39">
        <v>20</v>
      </c>
      <c r="O56" s="39">
        <v>-4</v>
      </c>
      <c r="P56" s="39">
        <v>16</v>
      </c>
      <c r="Q56" s="39" t="s">
        <v>14</v>
      </c>
      <c r="R56" s="39">
        <v>2.0499999999999998</v>
      </c>
      <c r="S56" s="39">
        <v>10.55</v>
      </c>
      <c r="T56" s="39">
        <v>21.55</v>
      </c>
      <c r="U56" s="39">
        <v>36.64</v>
      </c>
      <c r="V56" s="39">
        <v>36.31</v>
      </c>
      <c r="W56" s="39">
        <v>33.26</v>
      </c>
      <c r="X56" s="39">
        <v>58</v>
      </c>
      <c r="Y56" s="39">
        <v>131.81</v>
      </c>
      <c r="Z56" s="39">
        <v>146.51</v>
      </c>
      <c r="AA56" s="39">
        <v>510.13</v>
      </c>
      <c r="AB56" s="39">
        <v>227.64</v>
      </c>
      <c r="AC56" s="39">
        <v>3099.66</v>
      </c>
      <c r="AD56" s="39" t="s">
        <v>4606</v>
      </c>
      <c r="AE56" s="39" t="s">
        <v>134</v>
      </c>
      <c r="AF56" s="39">
        <v>30</v>
      </c>
      <c r="AG56" s="42">
        <v>8.1299999999999997E-2</v>
      </c>
      <c r="AH56" s="39">
        <v>158</v>
      </c>
      <c r="AI56" s="42">
        <v>5.6000000000000001E-2</v>
      </c>
      <c r="AJ56" s="39" t="s">
        <v>5210</v>
      </c>
      <c r="AK56" s="42">
        <v>0.53500000000000003</v>
      </c>
      <c r="AL56" s="39" t="s">
        <v>5211</v>
      </c>
      <c r="AM56" s="42">
        <v>1.6899999999999998E-2</v>
      </c>
      <c r="AN56" s="42">
        <v>0.1178</v>
      </c>
      <c r="AO56" s="39">
        <v>50</v>
      </c>
      <c r="AP56" s="39">
        <v>23</v>
      </c>
      <c r="AQ56" s="39">
        <v>66</v>
      </c>
      <c r="AR56" s="45">
        <v>2316</v>
      </c>
      <c r="AS56" s="39">
        <v>-19</v>
      </c>
      <c r="AT56" s="39" t="s">
        <v>4625</v>
      </c>
      <c r="AU56" s="39">
        <v>21</v>
      </c>
      <c r="AV56" s="39" t="s">
        <v>4674</v>
      </c>
      <c r="AW56" s="39">
        <v>2889.75</v>
      </c>
      <c r="AX56" s="39">
        <v>2928.4</v>
      </c>
      <c r="AY56" s="39">
        <v>2982.45</v>
      </c>
      <c r="AZ56" s="39">
        <v>2797.05</v>
      </c>
      <c r="BA56" s="39">
        <v>2743</v>
      </c>
      <c r="BB56" s="39">
        <v>2704.35</v>
      </c>
      <c r="BC56" s="39">
        <v>13</v>
      </c>
      <c r="BD56" s="39">
        <v>4</v>
      </c>
      <c r="BE56" s="39">
        <v>6</v>
      </c>
      <c r="BF56" s="39">
        <v>1</v>
      </c>
      <c r="BG56" s="48">
        <v>1088.7</v>
      </c>
      <c r="BH56" s="39">
        <v>0.4</v>
      </c>
      <c r="BI56" s="39" t="s">
        <v>4639</v>
      </c>
      <c r="BJ56" s="39" t="s">
        <v>4563</v>
      </c>
      <c r="BK56" t="s">
        <v>5331</v>
      </c>
      <c r="BL56" s="39" t="s">
        <v>4835</v>
      </c>
    </row>
    <row r="57" spans="1:64" x14ac:dyDescent="0.35">
      <c r="A57" s="39" t="s">
        <v>659</v>
      </c>
      <c r="B57" s="39" t="str">
        <f>IFERROR(INDEX(added_new_stocks!$F$6:$H$2156,MATCH(A57,added_new_stocks!$F$6:$F$2143,0),3),"")</f>
        <v>Mid</v>
      </c>
      <c r="C57" s="39">
        <v>267.85000000000002</v>
      </c>
      <c r="D57" s="39">
        <v>58</v>
      </c>
      <c r="G57" s="39" t="s">
        <v>4562</v>
      </c>
      <c r="H57" s="39" t="s">
        <v>5212</v>
      </c>
      <c r="I57" s="39" t="s">
        <v>4624</v>
      </c>
      <c r="J57" s="39" t="s">
        <v>5213</v>
      </c>
      <c r="K57" s="39" t="s">
        <v>133</v>
      </c>
      <c r="L57" s="39" t="s">
        <v>5214</v>
      </c>
      <c r="N57" s="39">
        <v>3</v>
      </c>
      <c r="O57" s="39">
        <v>-13</v>
      </c>
      <c r="P57" s="39">
        <v>-10</v>
      </c>
      <c r="Q57" s="39" t="s">
        <v>4605</v>
      </c>
      <c r="R57" s="39">
        <v>0.54</v>
      </c>
      <c r="S57" s="39">
        <v>-0.48</v>
      </c>
      <c r="T57" s="39">
        <v>8.16</v>
      </c>
      <c r="U57" s="39">
        <v>30.25</v>
      </c>
      <c r="V57" s="39">
        <v>48.35</v>
      </c>
      <c r="W57" s="39">
        <v>48.6</v>
      </c>
      <c r="X57" s="39">
        <v>63.27</v>
      </c>
      <c r="Y57" s="39">
        <v>64.33</v>
      </c>
      <c r="Z57" s="39">
        <v>58.44</v>
      </c>
      <c r="AA57" s="39">
        <v>49.76</v>
      </c>
      <c r="AB57" s="39">
        <v>-8.02</v>
      </c>
      <c r="AC57" s="39">
        <v>104.62</v>
      </c>
      <c r="AD57" s="39" t="s">
        <v>4606</v>
      </c>
      <c r="AE57" s="39" t="s">
        <v>134</v>
      </c>
      <c r="AF57" s="39">
        <v>27</v>
      </c>
      <c r="AG57" s="42">
        <v>0.1232</v>
      </c>
      <c r="AH57" s="39">
        <v>197</v>
      </c>
      <c r="AI57" s="42">
        <v>0.12859999999999999</v>
      </c>
      <c r="AJ57" s="39" t="s">
        <v>5215</v>
      </c>
      <c r="AK57" s="42">
        <v>0.45989999999999998</v>
      </c>
      <c r="AL57" s="39" t="s">
        <v>5216</v>
      </c>
      <c r="AM57" s="42">
        <v>4.6899999999999997E-2</v>
      </c>
      <c r="AN57" s="42">
        <v>0.1444</v>
      </c>
      <c r="AO57" s="39">
        <v>60</v>
      </c>
      <c r="AP57" s="39">
        <v>40</v>
      </c>
      <c r="AQ57" s="39">
        <v>61</v>
      </c>
      <c r="AR57" s="39">
        <v>249</v>
      </c>
      <c r="AS57" s="39">
        <v>-7</v>
      </c>
      <c r="AT57" s="39" t="s">
        <v>4562</v>
      </c>
      <c r="AU57" s="39">
        <v>18</v>
      </c>
      <c r="AV57" s="39" t="s">
        <v>4675</v>
      </c>
      <c r="AW57" s="39">
        <v>270.18</v>
      </c>
      <c r="AX57" s="39">
        <v>272.62</v>
      </c>
      <c r="AY57" s="39">
        <v>275.63</v>
      </c>
      <c r="AZ57" s="39">
        <v>264.73</v>
      </c>
      <c r="BA57" s="39">
        <v>261.72000000000003</v>
      </c>
      <c r="BB57" s="39">
        <v>259.27999999999997</v>
      </c>
      <c r="BC57" s="39">
        <v>9</v>
      </c>
      <c r="BD57" s="39">
        <v>3</v>
      </c>
      <c r="BE57" s="39">
        <v>6</v>
      </c>
      <c r="BF57" s="39" t="s">
        <v>130</v>
      </c>
      <c r="BG57" s="39">
        <v>171.2</v>
      </c>
      <c r="BH57" s="39">
        <v>0.6</v>
      </c>
      <c r="BI57" s="39" t="s">
        <v>4563</v>
      </c>
      <c r="BJ57" s="39" t="s">
        <v>4563</v>
      </c>
      <c r="BK57" t="s">
        <v>5332</v>
      </c>
      <c r="BL57" s="39" t="s">
        <v>4836</v>
      </c>
    </row>
    <row r="58" spans="1:64" x14ac:dyDescent="0.35">
      <c r="A58" s="39" t="s">
        <v>495</v>
      </c>
      <c r="B58" s="39" t="str">
        <f>IFERROR(INDEX(added_new_stocks!$F$6:$H$2156,MATCH(A58,added_new_stocks!$F$6:$F$2143,0),3),"")</f>
        <v>Large</v>
      </c>
      <c r="C58" s="39">
        <v>134.15</v>
      </c>
      <c r="D58" s="39">
        <v>61</v>
      </c>
      <c r="G58" s="39" t="s">
        <v>4562</v>
      </c>
      <c r="H58" s="39" t="s">
        <v>5217</v>
      </c>
      <c r="I58" s="39" t="s">
        <v>4996</v>
      </c>
      <c r="J58" s="39" t="s">
        <v>5218</v>
      </c>
      <c r="K58" s="39" t="s">
        <v>133</v>
      </c>
      <c r="L58" s="39" t="s">
        <v>5219</v>
      </c>
      <c r="M58" s="39" t="s">
        <v>5047</v>
      </c>
      <c r="N58" s="39">
        <v>17</v>
      </c>
      <c r="O58" s="39">
        <v>-3</v>
      </c>
      <c r="P58" s="39">
        <v>14</v>
      </c>
      <c r="Q58" s="39" t="s">
        <v>14</v>
      </c>
      <c r="R58" s="39">
        <v>-0.3</v>
      </c>
      <c r="S58" s="39">
        <v>0.71</v>
      </c>
      <c r="T58" s="39">
        <v>-0.48</v>
      </c>
      <c r="U58" s="39">
        <v>5.88</v>
      </c>
      <c r="V58" s="39">
        <v>5.59</v>
      </c>
      <c r="W58" s="39">
        <v>-3.45</v>
      </c>
      <c r="X58" s="39">
        <v>20.96</v>
      </c>
      <c r="Y58" s="39">
        <v>61.04</v>
      </c>
      <c r="Z58" s="39">
        <v>150.75</v>
      </c>
      <c r="AA58" s="39">
        <v>57.36</v>
      </c>
      <c r="AB58" s="39">
        <v>55.36</v>
      </c>
      <c r="AC58" s="39">
        <v>333.09</v>
      </c>
      <c r="AD58" s="39" t="s">
        <v>5220</v>
      </c>
      <c r="AE58" s="39" t="s">
        <v>134</v>
      </c>
      <c r="AF58" s="39">
        <v>41</v>
      </c>
      <c r="AG58" s="42">
        <v>0.34910000000000002</v>
      </c>
      <c r="AH58" s="39">
        <v>340</v>
      </c>
      <c r="AI58" s="42">
        <v>0.2802</v>
      </c>
      <c r="AL58" s="39" t="s">
        <v>5221</v>
      </c>
      <c r="AM58" s="42">
        <v>4.4900000000000002E-2</v>
      </c>
      <c r="AN58" s="42">
        <v>0.2016</v>
      </c>
      <c r="AO58" s="39">
        <v>55</v>
      </c>
      <c r="AP58" s="39">
        <v>60</v>
      </c>
      <c r="AQ58" s="39">
        <v>51</v>
      </c>
      <c r="AR58" s="39">
        <v>162</v>
      </c>
      <c r="AS58" s="39">
        <v>20</v>
      </c>
      <c r="AT58" s="39" t="s">
        <v>129</v>
      </c>
      <c r="AU58" s="39">
        <v>26</v>
      </c>
      <c r="AV58" s="39" t="s">
        <v>4676</v>
      </c>
      <c r="AW58" s="39">
        <v>135.05000000000001</v>
      </c>
      <c r="AX58" s="39">
        <v>135.94999999999999</v>
      </c>
      <c r="AY58" s="39">
        <v>137</v>
      </c>
      <c r="AZ58" s="39">
        <v>133.1</v>
      </c>
      <c r="BA58" s="39">
        <v>132.05000000000001</v>
      </c>
      <c r="BB58" s="39">
        <v>131.15</v>
      </c>
      <c r="BC58" s="39">
        <v>10</v>
      </c>
      <c r="BD58" s="39">
        <v>5</v>
      </c>
      <c r="BE58" s="39">
        <v>7</v>
      </c>
      <c r="BF58" s="39" t="s">
        <v>130</v>
      </c>
      <c r="BG58" s="39">
        <v>184.7</v>
      </c>
      <c r="BH58" s="39">
        <v>1.4</v>
      </c>
      <c r="BI58" s="39" t="s">
        <v>4563</v>
      </c>
      <c r="BJ58" s="39" t="s">
        <v>4563</v>
      </c>
      <c r="BK58" t="s">
        <v>5333</v>
      </c>
      <c r="BL58" s="39" t="s">
        <v>4837</v>
      </c>
    </row>
    <row r="59" spans="1:64" x14ac:dyDescent="0.35">
      <c r="A59" s="39" t="s">
        <v>589</v>
      </c>
      <c r="B59" s="39" t="str">
        <f>IFERROR(INDEX(added_new_stocks!$F$6:$H$2156,MATCH(A59,added_new_stocks!$F$6:$F$2143,0),3),"")</f>
        <v>Mid</v>
      </c>
      <c r="C59" s="39">
        <v>316.2</v>
      </c>
      <c r="D59" s="39">
        <v>58</v>
      </c>
      <c r="G59" s="39" t="s">
        <v>4562</v>
      </c>
      <c r="H59" s="39" t="s">
        <v>5222</v>
      </c>
      <c r="I59" s="39" t="s">
        <v>4989</v>
      </c>
      <c r="J59" s="39" t="s">
        <v>5223</v>
      </c>
      <c r="K59" s="39" t="s">
        <v>4615</v>
      </c>
      <c r="L59" s="39" t="s">
        <v>5224</v>
      </c>
      <c r="M59" s="39" t="s">
        <v>5047</v>
      </c>
      <c r="N59" s="39">
        <v>7</v>
      </c>
      <c r="O59" s="39">
        <v>-6</v>
      </c>
      <c r="P59" s="39">
        <v>1</v>
      </c>
      <c r="Q59" s="39" t="s">
        <v>4611</v>
      </c>
      <c r="R59" s="39">
        <v>-0.5</v>
      </c>
      <c r="S59" s="39">
        <v>-0.69</v>
      </c>
      <c r="T59" s="39">
        <v>-3.1</v>
      </c>
      <c r="U59" s="39">
        <v>11.5</v>
      </c>
      <c r="V59" s="39">
        <v>17.7</v>
      </c>
      <c r="W59" s="39">
        <v>10.5</v>
      </c>
      <c r="X59" s="39">
        <v>8.4499999999999993</v>
      </c>
      <c r="Y59" s="39">
        <v>18.34</v>
      </c>
      <c r="Z59" s="39">
        <v>124.41</v>
      </c>
      <c r="AA59" s="39">
        <v>151.94999999999999</v>
      </c>
      <c r="AB59" s="39">
        <v>110.52</v>
      </c>
      <c r="AC59" s="39">
        <v>227.5</v>
      </c>
      <c r="AD59" s="39" t="s">
        <v>4606</v>
      </c>
      <c r="AE59" s="39" t="s">
        <v>134</v>
      </c>
      <c r="AF59" s="39">
        <v>19</v>
      </c>
      <c r="AG59" s="42">
        <v>0.18490000000000001</v>
      </c>
      <c r="AH59" s="39">
        <v>232</v>
      </c>
      <c r="AI59" s="42">
        <v>0.30030000000000001</v>
      </c>
      <c r="AJ59" s="39" t="s">
        <v>5225</v>
      </c>
      <c r="AK59" s="42">
        <v>0.31169999999999998</v>
      </c>
      <c r="AL59" s="39" t="s">
        <v>5226</v>
      </c>
      <c r="AM59" s="42">
        <v>4.5900000000000003E-2</v>
      </c>
      <c r="AN59" s="42">
        <v>0.1181</v>
      </c>
      <c r="AO59" s="39" t="s">
        <v>130</v>
      </c>
      <c r="AP59" s="39">
        <v>32</v>
      </c>
      <c r="AQ59" s="39">
        <v>50</v>
      </c>
      <c r="AR59" s="39">
        <v>376</v>
      </c>
      <c r="AS59" s="39">
        <v>19</v>
      </c>
      <c r="AT59" s="39" t="s">
        <v>129</v>
      </c>
      <c r="AU59" s="39">
        <v>11</v>
      </c>
      <c r="AV59" s="39" t="s">
        <v>4677</v>
      </c>
      <c r="AW59" s="39">
        <v>323.33</v>
      </c>
      <c r="AX59" s="39">
        <v>330.47</v>
      </c>
      <c r="AY59" s="39">
        <v>334.88</v>
      </c>
      <c r="AZ59" s="39">
        <v>311.77999999999997</v>
      </c>
      <c r="BA59" s="39">
        <v>307.37</v>
      </c>
      <c r="BB59" s="39">
        <v>300.23</v>
      </c>
      <c r="BC59" s="39">
        <v>8</v>
      </c>
      <c r="BD59" s="39">
        <v>3</v>
      </c>
      <c r="BE59" s="39">
        <v>3</v>
      </c>
      <c r="BF59" s="39">
        <v>1</v>
      </c>
      <c r="BG59" s="39">
        <v>136</v>
      </c>
      <c r="BH59" s="39">
        <v>0.4</v>
      </c>
      <c r="BI59" s="39" t="s">
        <v>4563</v>
      </c>
      <c r="BJ59" s="39" t="s">
        <v>4563</v>
      </c>
      <c r="BK59" t="s">
        <v>5334</v>
      </c>
      <c r="BL59" s="39" t="s">
        <v>4838</v>
      </c>
    </row>
    <row r="60" spans="1:64" x14ac:dyDescent="0.35">
      <c r="A60" s="39" t="s">
        <v>310</v>
      </c>
      <c r="B60" s="39" t="str">
        <f>IFERROR(INDEX(added_new_stocks!$F$6:$H$2156,MATCH(A60,added_new_stocks!$F$6:$F$2143,0),3),"")</f>
        <v>Large</v>
      </c>
      <c r="C60" s="39">
        <v>112.55</v>
      </c>
      <c r="D60" s="39">
        <v>64</v>
      </c>
      <c r="G60" s="39" t="s">
        <v>4562</v>
      </c>
      <c r="H60" s="39" t="s">
        <v>5227</v>
      </c>
      <c r="I60" s="39" t="s">
        <v>4624</v>
      </c>
      <c r="J60" s="39" t="s">
        <v>5228</v>
      </c>
      <c r="K60" s="39" t="s">
        <v>133</v>
      </c>
      <c r="L60" s="39" t="s">
        <v>5229</v>
      </c>
      <c r="M60" s="39" t="s">
        <v>5047</v>
      </c>
      <c r="N60" s="39">
        <v>5</v>
      </c>
      <c r="O60" s="39">
        <v>-17</v>
      </c>
      <c r="P60" s="39">
        <v>-12</v>
      </c>
      <c r="Q60" s="39" t="s">
        <v>4605</v>
      </c>
      <c r="R60" s="39">
        <v>-0.66</v>
      </c>
      <c r="S60" s="39">
        <v>-2.76</v>
      </c>
      <c r="T60" s="39">
        <v>3.35</v>
      </c>
      <c r="U60" s="39">
        <v>5.93</v>
      </c>
      <c r="V60" s="39">
        <v>17.239999999999998</v>
      </c>
      <c r="W60" s="39">
        <v>17.12</v>
      </c>
      <c r="X60" s="39">
        <v>25.71</v>
      </c>
      <c r="Y60" s="39">
        <v>17.079999999999998</v>
      </c>
      <c r="Z60" s="39">
        <v>75.8</v>
      </c>
      <c r="AA60" s="39">
        <v>31.53</v>
      </c>
      <c r="AB60" s="39">
        <v>-11.93</v>
      </c>
      <c r="AC60" s="39">
        <v>103.3</v>
      </c>
      <c r="AD60" s="39" t="s">
        <v>4606</v>
      </c>
      <c r="AE60" s="39" t="s">
        <v>134</v>
      </c>
      <c r="AF60" s="39">
        <v>30</v>
      </c>
      <c r="AG60" s="42">
        <v>8.3199999999999996E-2</v>
      </c>
      <c r="AH60" s="39">
        <v>676</v>
      </c>
      <c r="AI60" s="42">
        <v>0.16089999999999999</v>
      </c>
      <c r="AJ60" s="39" t="s">
        <v>5061</v>
      </c>
      <c r="AK60" s="42">
        <v>0.51910000000000001</v>
      </c>
      <c r="AL60" s="39" t="s">
        <v>5170</v>
      </c>
      <c r="AM60" s="42">
        <v>8.1600000000000006E-2</v>
      </c>
      <c r="AN60" s="42">
        <v>5.0500000000000003E-2</v>
      </c>
      <c r="AO60" s="39">
        <v>45</v>
      </c>
      <c r="AP60" s="39">
        <v>60</v>
      </c>
      <c r="AQ60" s="39">
        <v>60</v>
      </c>
      <c r="AR60" s="39">
        <v>129</v>
      </c>
      <c r="AS60" s="39">
        <v>14</v>
      </c>
      <c r="AT60" s="39" t="s">
        <v>129</v>
      </c>
      <c r="AU60" s="39">
        <v>31</v>
      </c>
      <c r="AV60" s="39" t="s">
        <v>4678</v>
      </c>
      <c r="AW60" s="39">
        <v>113.97</v>
      </c>
      <c r="AX60" s="39">
        <v>115.33</v>
      </c>
      <c r="AY60" s="39">
        <v>116.57</v>
      </c>
      <c r="AZ60" s="39">
        <v>111.37</v>
      </c>
      <c r="BA60" s="39">
        <v>110.13</v>
      </c>
      <c r="BB60" s="39">
        <v>108.77</v>
      </c>
      <c r="BC60" s="39">
        <v>4</v>
      </c>
      <c r="BD60" s="39">
        <v>5</v>
      </c>
      <c r="BE60" s="39">
        <v>4</v>
      </c>
      <c r="BF60" s="39" t="s">
        <v>130</v>
      </c>
      <c r="BG60" s="39">
        <v>118.7</v>
      </c>
      <c r="BH60" s="39">
        <v>1.1000000000000001</v>
      </c>
      <c r="BI60" s="39" t="s">
        <v>132</v>
      </c>
      <c r="BJ60" s="39" t="s">
        <v>4639</v>
      </c>
      <c r="BK60" t="s">
        <v>5335</v>
      </c>
      <c r="BL60" s="39" t="s">
        <v>4839</v>
      </c>
    </row>
    <row r="61" spans="1:64" x14ac:dyDescent="0.35">
      <c r="A61" s="39" t="s">
        <v>861</v>
      </c>
      <c r="B61" s="39" t="str">
        <f>IFERROR(INDEX(added_new_stocks!$F$6:$H$2156,MATCH(A61,added_new_stocks!$F$6:$F$2143,0),3),"")</f>
        <v>Mid</v>
      </c>
      <c r="C61" s="48">
        <v>2662.55</v>
      </c>
      <c r="D61" s="39">
        <v>41</v>
      </c>
      <c r="G61" s="39" t="s">
        <v>4625</v>
      </c>
      <c r="H61" s="39" t="s">
        <v>5230</v>
      </c>
      <c r="I61" s="39" t="s">
        <v>4989</v>
      </c>
      <c r="J61" s="39" t="s">
        <v>5231</v>
      </c>
      <c r="K61" s="39" t="s">
        <v>133</v>
      </c>
      <c r="L61" s="39" t="s">
        <v>5232</v>
      </c>
      <c r="M61" s="39" t="s">
        <v>4620</v>
      </c>
      <c r="N61" s="39">
        <v>6</v>
      </c>
      <c r="O61" s="39">
        <v>-13</v>
      </c>
      <c r="P61" s="39">
        <v>-7</v>
      </c>
      <c r="Q61" s="39" t="s">
        <v>4605</v>
      </c>
      <c r="R61" s="39">
        <v>0.41</v>
      </c>
      <c r="S61" s="39">
        <v>-1.68</v>
      </c>
      <c r="T61" s="39">
        <v>2.1800000000000002</v>
      </c>
      <c r="U61" s="39">
        <v>0.13</v>
      </c>
      <c r="V61" s="39">
        <v>10.59</v>
      </c>
      <c r="W61" s="39">
        <v>8.2100000000000009</v>
      </c>
      <c r="X61" s="39">
        <v>-16.55</v>
      </c>
      <c r="Y61" s="39">
        <v>-11.2</v>
      </c>
      <c r="Z61" s="39">
        <v>41.61</v>
      </c>
      <c r="AA61" s="39">
        <v>111.41</v>
      </c>
      <c r="AB61" s="39">
        <v>123.13</v>
      </c>
      <c r="AC61" s="39" t="s">
        <v>4538</v>
      </c>
      <c r="AD61" s="39" t="s">
        <v>4606</v>
      </c>
      <c r="AE61" s="39" t="s">
        <v>134</v>
      </c>
      <c r="AF61" s="39">
        <v>11</v>
      </c>
      <c r="AG61" s="42">
        <v>0.11700000000000001</v>
      </c>
      <c r="AH61" s="39">
        <v>80</v>
      </c>
      <c r="AI61" s="42">
        <v>2.9899999999999999E-2</v>
      </c>
      <c r="AJ61" s="39" t="s">
        <v>5233</v>
      </c>
      <c r="AK61" s="42">
        <v>0.1192</v>
      </c>
      <c r="AL61" s="39" t="s">
        <v>5118</v>
      </c>
      <c r="AM61" s="42">
        <v>7.6700000000000004E-2</v>
      </c>
      <c r="AN61" s="42">
        <v>9.69E-2</v>
      </c>
      <c r="AO61" s="39">
        <v>90</v>
      </c>
      <c r="AP61" s="39">
        <v>36</v>
      </c>
      <c r="AQ61" s="39">
        <v>46</v>
      </c>
      <c r="AR61" s="45">
        <v>3042</v>
      </c>
      <c r="AS61" s="39">
        <v>14</v>
      </c>
      <c r="AT61" s="39" t="s">
        <v>129</v>
      </c>
      <c r="AU61" s="39">
        <v>8</v>
      </c>
      <c r="AV61" s="39" t="s">
        <v>4679</v>
      </c>
      <c r="AW61" s="39">
        <v>2690.52</v>
      </c>
      <c r="AX61" s="39">
        <v>2713.78</v>
      </c>
      <c r="AY61" s="39">
        <v>2746.02</v>
      </c>
      <c r="AZ61" s="39">
        <v>2635.02</v>
      </c>
      <c r="BA61" s="39">
        <v>2602.7800000000002</v>
      </c>
      <c r="BB61" s="39">
        <v>2579.52</v>
      </c>
      <c r="BC61" s="39">
        <v>4</v>
      </c>
      <c r="BD61" s="39">
        <v>7</v>
      </c>
      <c r="BE61" s="39">
        <v>2</v>
      </c>
      <c r="BF61" s="39" t="s">
        <v>130</v>
      </c>
      <c r="BG61" s="48">
        <v>1095.0999999999999</v>
      </c>
      <c r="BH61" s="39">
        <v>0.4</v>
      </c>
      <c r="BI61" s="39" t="s">
        <v>131</v>
      </c>
      <c r="BJ61" s="39" t="s">
        <v>4563</v>
      </c>
      <c r="BK61" t="s">
        <v>5336</v>
      </c>
      <c r="BL61" s="39" t="s">
        <v>4840</v>
      </c>
    </row>
    <row r="62" spans="1:64" x14ac:dyDescent="0.35">
      <c r="A62" s="39" t="s">
        <v>978</v>
      </c>
      <c r="B62" s="39" t="str">
        <f>IFERROR(INDEX(added_new_stocks!$F$6:$H$2156,MATCH(A62,added_new_stocks!$F$6:$F$2143,0),3),"")</f>
        <v>Mid</v>
      </c>
      <c r="C62" s="48">
        <v>3166.95</v>
      </c>
      <c r="D62" s="39">
        <v>50</v>
      </c>
      <c r="G62" s="39" t="s">
        <v>4562</v>
      </c>
      <c r="H62" s="39" t="s">
        <v>5234</v>
      </c>
      <c r="I62" s="39" t="s">
        <v>4989</v>
      </c>
      <c r="J62" s="39" t="s">
        <v>5235</v>
      </c>
      <c r="K62" s="39" t="s">
        <v>133</v>
      </c>
      <c r="L62" s="39" t="s">
        <v>5236</v>
      </c>
      <c r="M62" s="39" t="s">
        <v>4959</v>
      </c>
      <c r="N62" s="39">
        <v>5</v>
      </c>
      <c r="O62" s="39">
        <v>-12</v>
      </c>
      <c r="P62" s="39">
        <v>-7</v>
      </c>
      <c r="Q62" s="39" t="s">
        <v>4605</v>
      </c>
      <c r="R62" s="39">
        <v>-1.21</v>
      </c>
      <c r="S62" s="39">
        <v>-0.12</v>
      </c>
      <c r="T62" s="39">
        <v>1.26</v>
      </c>
      <c r="U62" s="39">
        <v>6.34</v>
      </c>
      <c r="V62" s="39">
        <v>8.57</v>
      </c>
      <c r="W62" s="39">
        <v>1.58</v>
      </c>
      <c r="X62" s="39">
        <v>3.5</v>
      </c>
      <c r="Y62" s="39">
        <v>-3.54</v>
      </c>
      <c r="Z62" s="39">
        <v>64.12</v>
      </c>
      <c r="AA62" s="39">
        <v>212.68</v>
      </c>
      <c r="AB62" s="39">
        <v>153.57</v>
      </c>
      <c r="AC62" s="39">
        <v>7777.99</v>
      </c>
      <c r="AD62" s="39" t="s">
        <v>4606</v>
      </c>
      <c r="AE62" s="39" t="s">
        <v>134</v>
      </c>
      <c r="AF62" s="39">
        <v>8</v>
      </c>
      <c r="AG62" s="42">
        <v>6.8400000000000002E-2</v>
      </c>
      <c r="AH62" s="39">
        <v>75</v>
      </c>
      <c r="AI62" s="42">
        <v>8.6199999999999999E-2</v>
      </c>
      <c r="AJ62" s="39" t="s">
        <v>5237</v>
      </c>
      <c r="AK62" s="42">
        <v>0.17510000000000001</v>
      </c>
      <c r="AL62" s="39" t="s">
        <v>5238</v>
      </c>
      <c r="AM62" s="42">
        <v>4.5699999999999998E-2</v>
      </c>
      <c r="AN62" s="42">
        <v>0.2387</v>
      </c>
      <c r="AO62" s="39">
        <v>65</v>
      </c>
      <c r="AP62" s="39">
        <v>21</v>
      </c>
      <c r="AQ62" s="39">
        <v>55</v>
      </c>
      <c r="AR62" s="45">
        <v>3800</v>
      </c>
      <c r="AS62" s="39">
        <v>20</v>
      </c>
      <c r="AT62" s="39" t="s">
        <v>4633</v>
      </c>
      <c r="AU62" s="39">
        <v>1</v>
      </c>
      <c r="AV62" s="39" t="s">
        <v>4680</v>
      </c>
      <c r="AW62" s="39">
        <v>3204.75</v>
      </c>
      <c r="AX62" s="39">
        <v>3238.55</v>
      </c>
      <c r="AY62" s="39">
        <v>3267.15</v>
      </c>
      <c r="AZ62" s="39">
        <v>3142.35</v>
      </c>
      <c r="BA62" s="39">
        <v>3113.75</v>
      </c>
      <c r="BB62" s="39">
        <v>3079.95</v>
      </c>
      <c r="BC62" s="39">
        <v>5</v>
      </c>
      <c r="BD62" s="39">
        <v>1</v>
      </c>
      <c r="BE62" s="39" t="s">
        <v>130</v>
      </c>
      <c r="BF62" s="39">
        <v>-0.74</v>
      </c>
      <c r="BG62" s="39">
        <v>8</v>
      </c>
      <c r="BH62" s="48">
        <v>1014.7</v>
      </c>
      <c r="BI62" s="39" t="s">
        <v>131</v>
      </c>
      <c r="BJ62" s="39" t="s">
        <v>131</v>
      </c>
      <c r="BK62" t="s">
        <v>5337</v>
      </c>
      <c r="BL62" s="39" t="s">
        <v>4841</v>
      </c>
    </row>
    <row r="63" spans="1:64" x14ac:dyDescent="0.35">
      <c r="A63" s="39" t="s">
        <v>821</v>
      </c>
      <c r="B63" s="39" t="str">
        <f>IFERROR(INDEX(added_new_stocks!$F$6:$H$2156,MATCH(A63,added_new_stocks!$F$6:$F$2143,0),3),"")</f>
        <v>Mid</v>
      </c>
      <c r="C63" s="39">
        <v>779</v>
      </c>
      <c r="D63" s="39">
        <v>72</v>
      </c>
      <c r="G63" s="39" t="s">
        <v>129</v>
      </c>
      <c r="H63" s="39" t="s">
        <v>5239</v>
      </c>
      <c r="I63" s="39" t="s">
        <v>4624</v>
      </c>
      <c r="J63" s="39" t="s">
        <v>5240</v>
      </c>
      <c r="K63" s="39" t="s">
        <v>4615</v>
      </c>
      <c r="L63" s="39" t="s">
        <v>5241</v>
      </c>
      <c r="M63" s="39" t="s">
        <v>4955</v>
      </c>
      <c r="N63" s="39">
        <v>27</v>
      </c>
      <c r="O63" s="39">
        <v>-5</v>
      </c>
      <c r="P63" s="39">
        <v>22</v>
      </c>
      <c r="Q63" s="39" t="s">
        <v>5060</v>
      </c>
      <c r="R63" s="39">
        <v>1</v>
      </c>
      <c r="S63" s="39">
        <v>1.98</v>
      </c>
      <c r="T63" s="39">
        <v>-0.55000000000000004</v>
      </c>
      <c r="U63" s="39">
        <v>14.06</v>
      </c>
      <c r="V63" s="39">
        <v>32.35</v>
      </c>
      <c r="W63" s="39">
        <v>16.16</v>
      </c>
      <c r="X63" s="39">
        <v>50.42</v>
      </c>
      <c r="Y63" s="39">
        <v>157.99</v>
      </c>
      <c r="Z63" s="39">
        <v>196.82</v>
      </c>
      <c r="AA63" s="39">
        <v>230.15</v>
      </c>
      <c r="AB63" s="39">
        <v>156.84</v>
      </c>
      <c r="AC63" s="39">
        <v>217.57</v>
      </c>
      <c r="AD63" s="39" t="s">
        <v>4606</v>
      </c>
      <c r="AE63" s="39" t="s">
        <v>134</v>
      </c>
      <c r="AF63" s="39">
        <v>12</v>
      </c>
      <c r="AG63" s="42">
        <v>0.1595</v>
      </c>
      <c r="AH63" s="39">
        <v>208</v>
      </c>
      <c r="AI63" s="42">
        <v>0.26169999999999999</v>
      </c>
      <c r="AJ63" s="39" t="s">
        <v>5242</v>
      </c>
      <c r="AK63" s="39" t="s">
        <v>5243</v>
      </c>
      <c r="AL63" s="39" t="s">
        <v>5244</v>
      </c>
      <c r="AM63" s="42">
        <v>7.3700000000000002E-2</v>
      </c>
      <c r="AN63" s="42">
        <v>0.22500000000000001</v>
      </c>
      <c r="AO63" s="39">
        <v>95</v>
      </c>
      <c r="AP63" s="39">
        <v>79</v>
      </c>
      <c r="AQ63" s="39">
        <v>60</v>
      </c>
      <c r="AR63" s="39">
        <v>941</v>
      </c>
      <c r="AS63" s="39">
        <v>21</v>
      </c>
      <c r="AT63" s="39" t="s">
        <v>4633</v>
      </c>
      <c r="AU63" s="39">
        <v>2</v>
      </c>
      <c r="AV63" s="39" t="s">
        <v>4681</v>
      </c>
      <c r="AW63" s="39">
        <v>797.78</v>
      </c>
      <c r="AX63" s="39">
        <v>816.12</v>
      </c>
      <c r="AY63" s="39">
        <v>827.73</v>
      </c>
      <c r="AZ63" s="39">
        <v>767.83</v>
      </c>
      <c r="BA63" s="39">
        <v>756.22</v>
      </c>
      <c r="BB63" s="39">
        <v>737.88</v>
      </c>
      <c r="BC63" s="39">
        <v>2</v>
      </c>
      <c r="BD63" s="39">
        <v>7</v>
      </c>
      <c r="BE63" s="39">
        <v>1</v>
      </c>
      <c r="BF63" s="39">
        <v>-0.59</v>
      </c>
      <c r="BG63" s="39">
        <v>12</v>
      </c>
      <c r="BH63" s="48">
        <v>1748.1</v>
      </c>
      <c r="BI63" s="39" t="s">
        <v>4565</v>
      </c>
      <c r="BJ63" s="39" t="s">
        <v>4651</v>
      </c>
      <c r="BK63" t="s">
        <v>5338</v>
      </c>
      <c r="BL63" s="39" t="s">
        <v>4842</v>
      </c>
    </row>
    <row r="64" spans="1:64" x14ac:dyDescent="0.35">
      <c r="A64" s="39" t="s">
        <v>563</v>
      </c>
      <c r="B64" s="39" t="str">
        <f>IFERROR(INDEX(added_new_stocks!$F$6:$H$2156,MATCH(A64,added_new_stocks!$F$6:$F$2143,0),3),"")</f>
        <v>Large</v>
      </c>
      <c r="C64" s="48">
        <v>1568.05</v>
      </c>
      <c r="D64" s="39">
        <v>28</v>
      </c>
      <c r="G64" s="39" t="s">
        <v>4963</v>
      </c>
      <c r="H64" s="39" t="s">
        <v>5245</v>
      </c>
      <c r="I64" s="39" t="s">
        <v>4996</v>
      </c>
      <c r="J64" s="39" t="s">
        <v>5246</v>
      </c>
      <c r="K64" s="39" t="s">
        <v>4615</v>
      </c>
      <c r="L64" s="39" t="s">
        <v>5008</v>
      </c>
      <c r="M64" s="39" t="s">
        <v>4620</v>
      </c>
      <c r="N64" s="39">
        <v>2</v>
      </c>
      <c r="O64" s="39">
        <v>-8</v>
      </c>
      <c r="P64" s="39">
        <v>-6</v>
      </c>
      <c r="Q64" s="39" t="s">
        <v>4605</v>
      </c>
      <c r="R64" s="39">
        <v>-2.84</v>
      </c>
      <c r="S64" s="39">
        <v>-4.95</v>
      </c>
      <c r="T64" s="39">
        <v>34.950000000000003</v>
      </c>
      <c r="U64" s="39">
        <v>17.149999999999999</v>
      </c>
      <c r="V64" s="39">
        <v>19.71</v>
      </c>
      <c r="W64" s="39">
        <v>-0.52</v>
      </c>
      <c r="X64" s="39">
        <v>-34.64</v>
      </c>
      <c r="Y64" s="39">
        <v>-61.49</v>
      </c>
      <c r="Z64" s="39" t="s">
        <v>4538</v>
      </c>
      <c r="AA64" s="39" t="s">
        <v>4538</v>
      </c>
      <c r="AB64" s="39" t="s">
        <v>4538</v>
      </c>
      <c r="AC64" s="39" t="s">
        <v>4538</v>
      </c>
      <c r="AD64" s="39" t="s">
        <v>4606</v>
      </c>
      <c r="AE64" s="39" t="s">
        <v>134</v>
      </c>
      <c r="AF64" s="39">
        <v>15</v>
      </c>
      <c r="AG64" s="42">
        <v>0.20480000000000001</v>
      </c>
      <c r="AH64" s="39">
        <v>76</v>
      </c>
      <c r="AI64" s="42">
        <v>2.8000000000000001E-2</v>
      </c>
      <c r="AJ64" s="39" t="s">
        <v>5247</v>
      </c>
      <c r="AK64" s="42">
        <v>0.5786</v>
      </c>
      <c r="AL64" s="39" t="s">
        <v>5248</v>
      </c>
      <c r="AM64" s="42">
        <v>5.0799999999999998E-2</v>
      </c>
      <c r="AN64" s="42">
        <v>5.6099999999999997E-2</v>
      </c>
      <c r="AO64" s="39">
        <v>50</v>
      </c>
      <c r="AP64" s="39">
        <v>24</v>
      </c>
      <c r="AQ64" s="39">
        <v>58</v>
      </c>
      <c r="AR64" s="45">
        <v>1513</v>
      </c>
      <c r="AS64" s="39">
        <v>-4</v>
      </c>
      <c r="AT64" s="39" t="s">
        <v>4562</v>
      </c>
      <c r="AU64" s="39">
        <v>15</v>
      </c>
      <c r="AV64" s="39" t="s">
        <v>4682</v>
      </c>
      <c r="AW64" s="39">
        <v>1626.08</v>
      </c>
      <c r="AX64" s="39">
        <v>1683.47</v>
      </c>
      <c r="AY64" s="39">
        <v>1735.68</v>
      </c>
      <c r="AZ64" s="39">
        <v>1516.48</v>
      </c>
      <c r="BA64" s="39">
        <v>1464.27</v>
      </c>
      <c r="BB64" s="39">
        <v>1406.88</v>
      </c>
      <c r="BC64" s="39">
        <v>6</v>
      </c>
      <c r="BD64" s="39">
        <v>4</v>
      </c>
      <c r="BE64" s="39">
        <v>3</v>
      </c>
      <c r="BF64" s="39" t="s">
        <v>130</v>
      </c>
      <c r="BG64" s="39">
        <v>700.9</v>
      </c>
      <c r="BH64" s="39">
        <v>0.4</v>
      </c>
      <c r="BI64" s="39" t="s">
        <v>131</v>
      </c>
      <c r="BJ64" s="39" t="s">
        <v>4563</v>
      </c>
      <c r="BK64" t="s">
        <v>5339</v>
      </c>
      <c r="BL64" s="39" t="s">
        <v>4843</v>
      </c>
    </row>
    <row r="65" spans="1:64" x14ac:dyDescent="0.35">
      <c r="A65" s="39" t="s">
        <v>545</v>
      </c>
      <c r="B65" s="39" t="str">
        <f>IFERROR(INDEX(added_new_stocks!$F$6:$H$2156,MATCH(A65,added_new_stocks!$F$6:$F$2143,0),3),"")</f>
        <v>Large</v>
      </c>
      <c r="C65" s="48">
        <v>1409.3</v>
      </c>
      <c r="D65" s="39">
        <v>51</v>
      </c>
      <c r="G65" s="39" t="s">
        <v>4562</v>
      </c>
      <c r="H65" s="39" t="s">
        <v>5249</v>
      </c>
      <c r="I65" s="39" t="s">
        <v>4989</v>
      </c>
      <c r="J65" s="39" t="s">
        <v>5250</v>
      </c>
      <c r="K65" s="39" t="s">
        <v>133</v>
      </c>
      <c r="L65" s="39" t="s">
        <v>5251</v>
      </c>
      <c r="M65" s="39" t="s">
        <v>4620</v>
      </c>
      <c r="N65" s="39">
        <v>2</v>
      </c>
      <c r="O65" s="39">
        <v>-20</v>
      </c>
      <c r="P65" s="39">
        <v>-18</v>
      </c>
      <c r="Q65" s="39" t="s">
        <v>4605</v>
      </c>
      <c r="R65" s="39">
        <v>0.17</v>
      </c>
      <c r="S65" s="39">
        <v>-2.25</v>
      </c>
      <c r="T65" s="39">
        <v>-0.28000000000000003</v>
      </c>
      <c r="U65" s="39">
        <v>10.130000000000001</v>
      </c>
      <c r="V65" s="39">
        <v>13.49</v>
      </c>
      <c r="W65" s="39">
        <v>6.85</v>
      </c>
      <c r="X65" s="39">
        <v>-4.6900000000000004</v>
      </c>
      <c r="Y65" s="39">
        <v>-10.57</v>
      </c>
      <c r="Z65" s="39">
        <v>-6.28</v>
      </c>
      <c r="AA65" s="39">
        <v>16.16</v>
      </c>
      <c r="AB65" s="39">
        <v>-14.68</v>
      </c>
      <c r="AC65" s="39">
        <v>24.94</v>
      </c>
      <c r="AD65" s="39" t="s">
        <v>4606</v>
      </c>
      <c r="AE65" s="39" t="s">
        <v>134</v>
      </c>
      <c r="AF65" s="39">
        <v>23</v>
      </c>
      <c r="AG65" s="42">
        <v>4.2500000000000003E-2</v>
      </c>
      <c r="AH65" s="39">
        <v>137</v>
      </c>
      <c r="AI65" s="42">
        <v>2.41E-2</v>
      </c>
      <c r="AJ65" s="39" t="s">
        <v>5252</v>
      </c>
      <c r="AK65" s="42">
        <v>0.3599</v>
      </c>
      <c r="AL65" s="39" t="s">
        <v>136</v>
      </c>
      <c r="AM65" s="42">
        <v>3.3599999999999998E-2</v>
      </c>
      <c r="AN65" s="42">
        <v>0.1057</v>
      </c>
      <c r="AO65" s="39">
        <v>55</v>
      </c>
      <c r="AP65" s="39">
        <v>16</v>
      </c>
      <c r="AQ65" s="39">
        <v>57</v>
      </c>
      <c r="AR65" s="45">
        <v>1425</v>
      </c>
      <c r="AS65" s="39">
        <v>1</v>
      </c>
      <c r="AT65" s="39" t="s">
        <v>4562</v>
      </c>
      <c r="AU65" s="39">
        <v>6</v>
      </c>
      <c r="AV65" s="39" t="s">
        <v>4683</v>
      </c>
      <c r="AW65" s="39">
        <v>1420.1</v>
      </c>
      <c r="AX65" s="39">
        <v>1430</v>
      </c>
      <c r="AY65" s="39">
        <v>1441.95</v>
      </c>
      <c r="AZ65" s="39">
        <v>1398.25</v>
      </c>
      <c r="BA65" s="39">
        <v>1386.3</v>
      </c>
      <c r="BB65" s="39">
        <v>1376.4</v>
      </c>
      <c r="BC65" s="39">
        <v>6</v>
      </c>
      <c r="BD65" s="39">
        <v>7</v>
      </c>
      <c r="BE65" s="39">
        <v>4</v>
      </c>
      <c r="BF65" s="39" t="s">
        <v>130</v>
      </c>
      <c r="BG65" s="39">
        <v>291.8</v>
      </c>
      <c r="BH65" s="39">
        <v>0.2</v>
      </c>
      <c r="BI65" s="39" t="s">
        <v>4565</v>
      </c>
      <c r="BJ65" s="39" t="s">
        <v>132</v>
      </c>
      <c r="BK65" t="s">
        <v>5340</v>
      </c>
      <c r="BL65" s="39" t="s">
        <v>4844</v>
      </c>
    </row>
    <row r="66" spans="1:64" x14ac:dyDescent="0.35">
      <c r="A66" s="39" t="s">
        <v>797</v>
      </c>
      <c r="B66" s="39" t="str">
        <f>IFERROR(INDEX(added_new_stocks!$F$6:$H$2156,MATCH(A66,added_new_stocks!$F$6:$F$2143,0),3),"")</f>
        <v>Mid</v>
      </c>
      <c r="C66" s="48">
        <v>1225.5999999999999</v>
      </c>
      <c r="D66" s="39">
        <v>50</v>
      </c>
      <c r="G66" s="39" t="s">
        <v>4562</v>
      </c>
      <c r="H66" s="39" t="s">
        <v>5253</v>
      </c>
      <c r="I66" s="39" t="s">
        <v>4989</v>
      </c>
      <c r="J66" s="39" t="s">
        <v>5254</v>
      </c>
      <c r="K66" s="39" t="s">
        <v>4615</v>
      </c>
      <c r="L66" s="39" t="s">
        <v>5008</v>
      </c>
      <c r="M66" s="39" t="s">
        <v>5047</v>
      </c>
      <c r="N66" s="39">
        <v>3</v>
      </c>
      <c r="O66" s="39">
        <v>-10</v>
      </c>
      <c r="P66" s="39">
        <v>-7</v>
      </c>
      <c r="Q66" s="39" t="s">
        <v>4605</v>
      </c>
      <c r="R66" s="39">
        <v>-1</v>
      </c>
      <c r="S66" s="39">
        <v>-4.5199999999999996</v>
      </c>
      <c r="T66" s="39">
        <v>-6.49</v>
      </c>
      <c r="U66" s="39">
        <v>13.49</v>
      </c>
      <c r="V66" s="39">
        <v>6.7</v>
      </c>
      <c r="W66" s="39">
        <v>7.62</v>
      </c>
      <c r="X66" s="39">
        <v>-11.73</v>
      </c>
      <c r="Y66" s="39">
        <v>-23.41</v>
      </c>
      <c r="Z66" s="39" t="s">
        <v>4538</v>
      </c>
      <c r="AA66" s="39" t="s">
        <v>4538</v>
      </c>
      <c r="AB66" s="39" t="s">
        <v>4538</v>
      </c>
      <c r="AC66" s="39" t="s">
        <v>4538</v>
      </c>
      <c r="AD66" s="39" t="s">
        <v>4606</v>
      </c>
      <c r="AE66" s="39" t="s">
        <v>134</v>
      </c>
      <c r="AF66" s="39">
        <v>12</v>
      </c>
      <c r="AG66" s="42">
        <v>0.15820000000000001</v>
      </c>
      <c r="AH66" s="39">
        <v>27</v>
      </c>
      <c r="AI66" s="42">
        <v>5.8999999999999999E-3</v>
      </c>
      <c r="AJ66" s="39" t="s">
        <v>5255</v>
      </c>
      <c r="AK66" s="42">
        <v>0.31830000000000003</v>
      </c>
      <c r="AL66" s="39" t="s">
        <v>5256</v>
      </c>
      <c r="AM66" s="42">
        <v>8.6400000000000005E-2</v>
      </c>
      <c r="AN66" s="42">
        <v>1.7500000000000002E-2</v>
      </c>
      <c r="AO66" s="39">
        <v>75</v>
      </c>
      <c r="AP66" s="39">
        <v>57</v>
      </c>
      <c r="AQ66" s="39">
        <v>50</v>
      </c>
      <c r="AR66" s="45">
        <v>1463</v>
      </c>
      <c r="AS66" s="39">
        <v>19</v>
      </c>
      <c r="AT66" s="39" t="s">
        <v>129</v>
      </c>
      <c r="AU66" s="39">
        <v>14</v>
      </c>
      <c r="AV66" s="39" t="s">
        <v>4684</v>
      </c>
      <c r="AW66" s="39">
        <v>1240.57</v>
      </c>
      <c r="AX66" s="39">
        <v>1256.6300000000001</v>
      </c>
      <c r="AY66" s="39">
        <v>1271.32</v>
      </c>
      <c r="AZ66" s="39">
        <v>1209.82</v>
      </c>
      <c r="BA66" s="39">
        <v>1195.1300000000001</v>
      </c>
      <c r="BB66" s="39">
        <v>1179.07</v>
      </c>
      <c r="BC66" s="39">
        <v>5</v>
      </c>
      <c r="BD66" s="39">
        <v>4</v>
      </c>
      <c r="BE66" s="39">
        <v>4</v>
      </c>
      <c r="BF66" s="39" t="s">
        <v>130</v>
      </c>
      <c r="BG66" s="48">
        <v>1431.7</v>
      </c>
      <c r="BH66" s="39">
        <v>1.2</v>
      </c>
      <c r="BI66" s="39" t="s">
        <v>4651</v>
      </c>
      <c r="BJ66" s="39" t="s">
        <v>4563</v>
      </c>
      <c r="BK66" t="s">
        <v>5341</v>
      </c>
      <c r="BL66" s="39" t="s">
        <v>4845</v>
      </c>
    </row>
    <row r="67" spans="1:64" x14ac:dyDescent="0.35">
      <c r="A67" s="39" t="s">
        <v>593</v>
      </c>
      <c r="B67" s="39" t="str">
        <f>IFERROR(INDEX(added_new_stocks!$F$6:$H$2156,MATCH(A67,added_new_stocks!$F$6:$F$2143,0),3),"")</f>
        <v>Mid</v>
      </c>
      <c r="C67" s="48">
        <v>1181.3</v>
      </c>
      <c r="D67" s="39">
        <v>72</v>
      </c>
      <c r="G67" s="39" t="s">
        <v>129</v>
      </c>
      <c r="H67" s="39" t="s">
        <v>5257</v>
      </c>
      <c r="I67" s="39" t="s">
        <v>4624</v>
      </c>
      <c r="J67" s="39" t="s">
        <v>5258</v>
      </c>
      <c r="K67" s="39" t="s">
        <v>133</v>
      </c>
      <c r="L67" s="39" t="s">
        <v>5259</v>
      </c>
      <c r="M67" s="39" t="s">
        <v>4620</v>
      </c>
      <c r="N67" s="39">
        <v>11</v>
      </c>
      <c r="O67" s="39">
        <v>0</v>
      </c>
      <c r="P67" s="39">
        <v>11</v>
      </c>
      <c r="Q67" s="39" t="s">
        <v>14</v>
      </c>
      <c r="R67" s="39">
        <v>2.69</v>
      </c>
      <c r="S67" s="39">
        <v>8.7200000000000006</v>
      </c>
      <c r="T67" s="39">
        <v>21.97</v>
      </c>
      <c r="U67" s="39">
        <v>33.04</v>
      </c>
      <c r="V67" s="39">
        <v>32.69</v>
      </c>
      <c r="W67" s="39">
        <v>29.17</v>
      </c>
      <c r="X67" s="39">
        <v>6.77</v>
      </c>
      <c r="Y67" s="39">
        <v>29.2</v>
      </c>
      <c r="Z67" s="39">
        <v>105.81</v>
      </c>
      <c r="AA67" s="39">
        <v>157.04</v>
      </c>
      <c r="AB67" s="39">
        <v>123.52</v>
      </c>
      <c r="AC67" s="39">
        <v>1673.01</v>
      </c>
      <c r="AD67" s="39" t="s">
        <v>4606</v>
      </c>
      <c r="AE67" s="39" t="s">
        <v>134</v>
      </c>
      <c r="AF67" s="39">
        <v>21</v>
      </c>
      <c r="AG67" s="42">
        <v>8.1900000000000001E-2</v>
      </c>
      <c r="AH67" s="39">
        <v>47</v>
      </c>
      <c r="AI67" s="42">
        <v>4.07E-2</v>
      </c>
      <c r="AJ67" s="39" t="s">
        <v>5260</v>
      </c>
      <c r="AK67" s="42">
        <v>0.54820000000000002</v>
      </c>
      <c r="AL67" s="39" t="s">
        <v>5261</v>
      </c>
      <c r="AM67" s="42">
        <v>5.8599999999999999E-2</v>
      </c>
      <c r="AN67" s="42">
        <v>8.0600000000000005E-2</v>
      </c>
      <c r="AO67" s="39">
        <v>55</v>
      </c>
      <c r="AP67" s="39">
        <v>12</v>
      </c>
      <c r="AQ67" s="39">
        <v>68</v>
      </c>
      <c r="AR67" s="45">
        <v>1000</v>
      </c>
      <c r="AS67" s="39">
        <v>-15</v>
      </c>
      <c r="AT67" s="39" t="s">
        <v>4562</v>
      </c>
      <c r="AU67" s="39">
        <v>1</v>
      </c>
      <c r="AV67" s="39" t="s">
        <v>4685</v>
      </c>
      <c r="AW67" s="39">
        <v>1201.4000000000001</v>
      </c>
      <c r="AX67" s="39">
        <v>1221.5</v>
      </c>
      <c r="AY67" s="39">
        <v>1256.6500000000001</v>
      </c>
      <c r="AZ67" s="39">
        <v>1146.1500000000001</v>
      </c>
      <c r="BA67" s="39">
        <v>1111</v>
      </c>
      <c r="BB67" s="39">
        <v>1090.9000000000001</v>
      </c>
      <c r="BC67" s="39">
        <v>8</v>
      </c>
      <c r="BD67" s="39">
        <v>4</v>
      </c>
      <c r="BE67" s="39">
        <v>3</v>
      </c>
      <c r="BF67" s="39" t="s">
        <v>130</v>
      </c>
      <c r="BG67" s="39">
        <v>112.6</v>
      </c>
      <c r="BH67" s="39">
        <v>0.1</v>
      </c>
      <c r="BI67" s="39" t="s">
        <v>4563</v>
      </c>
      <c r="BJ67" s="39" t="s">
        <v>132</v>
      </c>
      <c r="BK67" t="s">
        <v>5342</v>
      </c>
      <c r="BL67" s="39" t="s">
        <v>4846</v>
      </c>
    </row>
    <row r="68" spans="1:64" x14ac:dyDescent="0.35">
      <c r="A68" s="39" t="s">
        <v>292</v>
      </c>
      <c r="B68" s="39" t="str">
        <f>IFERROR(INDEX(added_new_stocks!$F$6:$H$2156,MATCH(A68,added_new_stocks!$F$6:$F$2143,0),3),"")</f>
        <v>Large</v>
      </c>
      <c r="C68" s="48">
        <v>1284.7</v>
      </c>
      <c r="D68" s="39">
        <v>60</v>
      </c>
      <c r="G68" s="39" t="s">
        <v>4562</v>
      </c>
      <c r="H68" s="39" t="s">
        <v>5262</v>
      </c>
      <c r="I68" s="39" t="s">
        <v>4989</v>
      </c>
      <c r="J68" s="39" t="s">
        <v>5263</v>
      </c>
      <c r="K68" s="39" t="s">
        <v>133</v>
      </c>
      <c r="L68" s="39" t="s">
        <v>5264</v>
      </c>
      <c r="M68" s="39" t="s">
        <v>4620</v>
      </c>
      <c r="N68" s="39">
        <v>2</v>
      </c>
      <c r="O68" s="39">
        <v>-6</v>
      </c>
      <c r="P68" s="39">
        <v>-4</v>
      </c>
      <c r="Q68" s="39" t="s">
        <v>4611</v>
      </c>
      <c r="R68" s="39">
        <v>-0.84</v>
      </c>
      <c r="S68" s="39">
        <v>-1.2</v>
      </c>
      <c r="T68" s="39">
        <v>-3.7</v>
      </c>
      <c r="U68" s="39">
        <v>1.65</v>
      </c>
      <c r="V68" s="39">
        <v>4.66</v>
      </c>
      <c r="W68" s="39">
        <v>16.82</v>
      </c>
      <c r="X68" s="39">
        <v>-5.38</v>
      </c>
      <c r="Y68" s="39">
        <v>4.1100000000000003</v>
      </c>
      <c r="Z68" s="39">
        <v>105.11</v>
      </c>
      <c r="AA68" s="39">
        <v>97.45</v>
      </c>
      <c r="AB68" s="39">
        <v>89.25</v>
      </c>
      <c r="AC68" s="39">
        <v>962.7</v>
      </c>
      <c r="AD68" s="39" t="s">
        <v>4606</v>
      </c>
      <c r="AE68" s="39" t="s">
        <v>134</v>
      </c>
      <c r="AF68" s="39">
        <v>28</v>
      </c>
      <c r="AG68" s="42">
        <v>3.4700000000000002E-2</v>
      </c>
      <c r="AH68" s="39">
        <v>712</v>
      </c>
      <c r="AI68" s="42">
        <v>0.23780000000000001</v>
      </c>
      <c r="AJ68" s="39" t="s">
        <v>5265</v>
      </c>
      <c r="AK68" s="42">
        <v>0.41270000000000001</v>
      </c>
      <c r="AL68" s="39" t="s">
        <v>5244</v>
      </c>
      <c r="AM68" s="42">
        <v>5.2699999999999997E-2</v>
      </c>
      <c r="AN68" s="42">
        <v>5.4199999999999998E-2</v>
      </c>
      <c r="AO68" s="39">
        <v>50</v>
      </c>
      <c r="AP68" s="39">
        <v>11</v>
      </c>
      <c r="AQ68" s="39">
        <v>47</v>
      </c>
      <c r="AR68" s="45">
        <v>1425</v>
      </c>
      <c r="AS68" s="39">
        <v>11</v>
      </c>
      <c r="AT68" s="39" t="s">
        <v>4562</v>
      </c>
      <c r="AU68" s="39">
        <v>39</v>
      </c>
      <c r="AV68" s="39" t="s">
        <v>4686</v>
      </c>
      <c r="AW68" s="39">
        <v>1297.75</v>
      </c>
      <c r="AX68" s="39">
        <v>1309.3499999999999</v>
      </c>
      <c r="AY68" s="39">
        <v>1316.75</v>
      </c>
      <c r="AZ68" s="39">
        <v>1278.75</v>
      </c>
      <c r="BA68" s="39">
        <v>1271.3499999999999</v>
      </c>
      <c r="BB68" s="39">
        <v>1259.75</v>
      </c>
      <c r="BC68" s="39">
        <v>4</v>
      </c>
      <c r="BD68" s="39">
        <v>6</v>
      </c>
      <c r="BE68" s="39">
        <v>2</v>
      </c>
      <c r="BF68" s="39" t="s">
        <v>130</v>
      </c>
      <c r="BG68" s="39">
        <v>205.8</v>
      </c>
      <c r="BH68" s="39">
        <v>0.2</v>
      </c>
      <c r="BI68" s="39" t="s">
        <v>4563</v>
      </c>
      <c r="BJ68" s="39" t="s">
        <v>132</v>
      </c>
      <c r="BK68" t="s">
        <v>5343</v>
      </c>
      <c r="BL68" s="39" t="s">
        <v>4847</v>
      </c>
    </row>
    <row r="69" spans="1:64" x14ac:dyDescent="0.35">
      <c r="A69" s="39" t="s">
        <v>188</v>
      </c>
      <c r="B69" s="39" t="str">
        <f>IFERROR(INDEX(added_new_stocks!$F$6:$H$2156,MATCH(A69,added_new_stocks!$F$6:$F$2143,0),3),"")</f>
        <v>Large</v>
      </c>
      <c r="C69" s="48">
        <v>1591.15</v>
      </c>
      <c r="D69" s="39">
        <v>71</v>
      </c>
      <c r="E69" s="39" t="s">
        <v>4987</v>
      </c>
      <c r="F69" s="39" t="s">
        <v>4988</v>
      </c>
      <c r="G69" s="39" t="s">
        <v>129</v>
      </c>
      <c r="H69" s="39" t="s">
        <v>4972</v>
      </c>
      <c r="I69" s="39" t="s">
        <v>4989</v>
      </c>
      <c r="J69" s="39" t="s">
        <v>4990</v>
      </c>
      <c r="K69" s="39" t="s">
        <v>4957</v>
      </c>
      <c r="L69" s="39" t="s">
        <v>4973</v>
      </c>
      <c r="M69" s="39" t="s">
        <v>4959</v>
      </c>
      <c r="N69" s="39">
        <v>17</v>
      </c>
      <c r="O69" s="39">
        <v>-4</v>
      </c>
      <c r="P69" s="39">
        <v>13</v>
      </c>
      <c r="Q69" s="39" t="s">
        <v>14</v>
      </c>
      <c r="R69" s="39">
        <v>-0.36</v>
      </c>
      <c r="S69" s="39">
        <v>-1.72</v>
      </c>
      <c r="T69" s="39">
        <v>-5.13</v>
      </c>
      <c r="U69" s="39">
        <v>-3.29</v>
      </c>
      <c r="V69" s="39">
        <v>-3.93</v>
      </c>
      <c r="W69" s="39">
        <v>-2.2200000000000002</v>
      </c>
      <c r="X69" s="39">
        <v>5.27</v>
      </c>
      <c r="Y69" s="39">
        <v>5.17</v>
      </c>
      <c r="Z69" s="39">
        <v>50.61</v>
      </c>
      <c r="AA69" s="39">
        <v>42.92</v>
      </c>
      <c r="AB69" s="39">
        <v>53.2</v>
      </c>
      <c r="AC69" s="39">
        <v>439.83</v>
      </c>
      <c r="AD69" s="39" t="s">
        <v>4974</v>
      </c>
      <c r="AE69" s="39" t="s">
        <v>134</v>
      </c>
      <c r="AF69" s="39">
        <v>564</v>
      </c>
      <c r="AG69" s="42">
        <v>0.1913</v>
      </c>
      <c r="AH69" s="39">
        <v>2841</v>
      </c>
      <c r="AI69" s="42">
        <v>0.5393</v>
      </c>
      <c r="AL69" s="39" t="s">
        <v>4975</v>
      </c>
      <c r="AM69" s="42">
        <v>5.3999999999999999E-2</v>
      </c>
      <c r="AN69" s="42">
        <v>0.12809999999999999</v>
      </c>
      <c r="AO69" s="39">
        <v>50</v>
      </c>
      <c r="AP69" s="39">
        <v>31</v>
      </c>
      <c r="AQ69" s="39">
        <v>47</v>
      </c>
      <c r="AR69" s="45">
        <v>2041</v>
      </c>
      <c r="AS69" s="39">
        <v>28</v>
      </c>
      <c r="AT69" s="39" t="s">
        <v>129</v>
      </c>
      <c r="AU69" s="39">
        <v>37</v>
      </c>
      <c r="AV69" s="39" t="s">
        <v>4687</v>
      </c>
      <c r="AW69" s="39">
        <v>1596.2</v>
      </c>
      <c r="AX69" s="39">
        <v>1601.65</v>
      </c>
      <c r="AY69" s="39">
        <v>1607</v>
      </c>
      <c r="AZ69" s="39">
        <v>1585.4</v>
      </c>
      <c r="BA69" s="39">
        <v>1580.05</v>
      </c>
      <c r="BB69" s="39">
        <v>1574.6</v>
      </c>
      <c r="BC69" s="39">
        <v>12</v>
      </c>
      <c r="BD69" s="39">
        <v>4</v>
      </c>
      <c r="BE69" s="39">
        <v>5</v>
      </c>
      <c r="BF69" s="39">
        <v>1</v>
      </c>
      <c r="BG69" s="39">
        <v>867.5</v>
      </c>
      <c r="BH69" s="39">
        <v>0.5</v>
      </c>
      <c r="BI69" s="39" t="s">
        <v>131</v>
      </c>
      <c r="BJ69" s="39" t="s">
        <v>132</v>
      </c>
      <c r="BK69" t="s">
        <v>4993</v>
      </c>
      <c r="BL69" s="39" t="s">
        <v>4848</v>
      </c>
    </row>
    <row r="70" spans="1:64" x14ac:dyDescent="0.35">
      <c r="A70" s="39" t="s">
        <v>1252</v>
      </c>
      <c r="B70" s="39" t="str">
        <f>IFERROR(INDEX(added_new_stocks!$F$6:$H$2156,MATCH(A70,added_new_stocks!$F$6:$F$2143,0),3),"")</f>
        <v>Small</v>
      </c>
      <c r="C70" s="48">
        <v>1697.45</v>
      </c>
      <c r="D70" s="39">
        <v>61</v>
      </c>
      <c r="G70" s="39" t="s">
        <v>4562</v>
      </c>
      <c r="H70" s="39" t="s">
        <v>5266</v>
      </c>
      <c r="I70" s="39" t="s">
        <v>4624</v>
      </c>
      <c r="J70" s="39" t="s">
        <v>5267</v>
      </c>
      <c r="K70" s="39" t="s">
        <v>133</v>
      </c>
      <c r="L70" s="39" t="s">
        <v>5268</v>
      </c>
      <c r="M70" s="39" t="s">
        <v>135</v>
      </c>
      <c r="N70" s="39">
        <v>1</v>
      </c>
      <c r="O70" s="39">
        <v>-8</v>
      </c>
      <c r="P70" s="39">
        <v>-7</v>
      </c>
      <c r="Q70" s="39" t="s">
        <v>4605</v>
      </c>
      <c r="R70" s="39">
        <v>-1.2</v>
      </c>
      <c r="S70" s="39">
        <v>0.86</v>
      </c>
      <c r="T70" s="39">
        <v>8.44</v>
      </c>
      <c r="U70" s="39">
        <v>36.85</v>
      </c>
      <c r="V70" s="39">
        <v>70.53</v>
      </c>
      <c r="W70" s="39">
        <v>64.540000000000006</v>
      </c>
      <c r="X70" s="39">
        <v>28.15</v>
      </c>
      <c r="Y70" s="39">
        <v>-26.48</v>
      </c>
      <c r="Z70" s="39">
        <v>112.59</v>
      </c>
      <c r="AA70" s="39">
        <v>76.98</v>
      </c>
      <c r="AB70" s="39">
        <v>-59.91</v>
      </c>
      <c r="AC70" s="39">
        <v>1043.45</v>
      </c>
      <c r="AD70" s="39" t="s">
        <v>4606</v>
      </c>
      <c r="AE70" s="39" t="s">
        <v>134</v>
      </c>
      <c r="AF70" s="39">
        <v>12</v>
      </c>
      <c r="AG70" s="42">
        <v>3.0099999999999998E-2</v>
      </c>
      <c r="AH70" s="39">
        <v>102</v>
      </c>
      <c r="AI70" s="42">
        <v>6.7299999999999999E-2</v>
      </c>
      <c r="AJ70" s="39" t="s">
        <v>5269</v>
      </c>
      <c r="AK70" s="42">
        <v>0.13900000000000001</v>
      </c>
      <c r="AL70" s="39" t="s">
        <v>5270</v>
      </c>
      <c r="AM70" s="42">
        <v>3.85E-2</v>
      </c>
      <c r="AN70" s="42">
        <v>0.217</v>
      </c>
      <c r="AO70" s="39">
        <v>45</v>
      </c>
      <c r="AP70" s="39">
        <v>41</v>
      </c>
      <c r="AQ70" s="39">
        <v>65</v>
      </c>
      <c r="AR70" s="45">
        <v>1743</v>
      </c>
      <c r="AS70" s="39">
        <v>2</v>
      </c>
      <c r="AT70" s="39" t="s">
        <v>4633</v>
      </c>
      <c r="AU70" s="39">
        <v>2</v>
      </c>
      <c r="AV70" s="39" t="s">
        <v>4688</v>
      </c>
      <c r="AW70" s="39">
        <v>1736.33</v>
      </c>
      <c r="AX70" s="39">
        <v>1772.62</v>
      </c>
      <c r="AY70" s="39">
        <v>1795.78</v>
      </c>
      <c r="AZ70" s="39">
        <v>1676.88</v>
      </c>
      <c r="BA70" s="39">
        <v>1653.72</v>
      </c>
      <c r="BB70" s="39">
        <v>1617.43</v>
      </c>
      <c r="BC70" s="39">
        <v>10</v>
      </c>
      <c r="BD70" s="39">
        <v>4</v>
      </c>
      <c r="BE70" s="39">
        <v>2</v>
      </c>
      <c r="BF70" s="39" t="s">
        <v>130</v>
      </c>
      <c r="BG70" s="48">
        <v>1820.3</v>
      </c>
      <c r="BH70" s="39">
        <v>1.1000000000000001</v>
      </c>
      <c r="BI70" s="39" t="s">
        <v>4651</v>
      </c>
      <c r="BJ70" s="39" t="s">
        <v>131</v>
      </c>
      <c r="BK70" t="s">
        <v>5344</v>
      </c>
      <c r="BL70" s="39" t="s">
        <v>4849</v>
      </c>
    </row>
    <row r="71" spans="1:64" x14ac:dyDescent="0.35">
      <c r="A71" s="39" t="s">
        <v>356</v>
      </c>
      <c r="B71" s="39" t="str">
        <f>IFERROR(INDEX(added_new_stocks!$F$6:$H$2156,MATCH(A71,added_new_stocks!$F$6:$F$2143,0),3),"")</f>
        <v>Large</v>
      </c>
      <c r="C71" s="48">
        <v>2927.6</v>
      </c>
      <c r="D71" s="39">
        <v>68</v>
      </c>
      <c r="G71" s="39" t="s">
        <v>4562</v>
      </c>
      <c r="H71" s="39" t="s">
        <v>5271</v>
      </c>
      <c r="I71" s="39" t="s">
        <v>4989</v>
      </c>
      <c r="J71" s="39" t="s">
        <v>5272</v>
      </c>
      <c r="K71" s="39" t="s">
        <v>133</v>
      </c>
      <c r="L71" s="39" t="s">
        <v>5273</v>
      </c>
      <c r="M71" s="39" t="s">
        <v>135</v>
      </c>
      <c r="N71" s="39">
        <v>11</v>
      </c>
      <c r="O71" s="39">
        <v>-1</v>
      </c>
      <c r="P71" s="39">
        <v>10</v>
      </c>
      <c r="Q71" s="39" t="s">
        <v>14</v>
      </c>
      <c r="R71" s="39">
        <v>-2.2000000000000002</v>
      </c>
      <c r="S71" s="39">
        <v>-2.2599999999999998</v>
      </c>
      <c r="T71" s="39">
        <v>-6.05</v>
      </c>
      <c r="U71" s="39">
        <v>7.08</v>
      </c>
      <c r="V71" s="39">
        <v>15.54</v>
      </c>
      <c r="W71" s="39">
        <v>6.96</v>
      </c>
      <c r="X71" s="39">
        <v>0.71</v>
      </c>
      <c r="Y71" s="39">
        <v>5.95</v>
      </c>
      <c r="Z71" s="39">
        <v>0.14000000000000001</v>
      </c>
      <c r="AA71" s="39">
        <v>9.74</v>
      </c>
      <c r="AB71" s="39">
        <v>-9.8800000000000008</v>
      </c>
      <c r="AC71" s="39">
        <v>47.64</v>
      </c>
      <c r="AD71" s="39" t="s">
        <v>4606</v>
      </c>
      <c r="AE71" s="39" t="s">
        <v>134</v>
      </c>
      <c r="AF71" s="39">
        <v>33</v>
      </c>
      <c r="AG71" s="42">
        <v>0.1033</v>
      </c>
      <c r="AH71" s="39">
        <v>771</v>
      </c>
      <c r="AI71" s="42">
        <v>0.28100000000000003</v>
      </c>
      <c r="AJ71" s="39" t="s">
        <v>5274</v>
      </c>
      <c r="AK71" s="42">
        <v>0.20030000000000001</v>
      </c>
      <c r="AL71" s="39" t="s">
        <v>136</v>
      </c>
      <c r="AM71" s="42">
        <v>0.11219999999999999</v>
      </c>
      <c r="AN71" s="42">
        <v>7.51E-2</v>
      </c>
      <c r="AO71" s="39">
        <v>75</v>
      </c>
      <c r="AP71" s="39">
        <v>41</v>
      </c>
      <c r="AQ71" s="39">
        <v>51</v>
      </c>
      <c r="AR71" s="45">
        <v>3192</v>
      </c>
      <c r="AS71" s="39">
        <v>9</v>
      </c>
      <c r="AT71" s="39" t="s">
        <v>4562</v>
      </c>
      <c r="AU71" s="39">
        <v>39</v>
      </c>
      <c r="AV71" s="39" t="s">
        <v>4689</v>
      </c>
      <c r="AW71" s="39">
        <v>2971.17</v>
      </c>
      <c r="AX71" s="39">
        <v>3015.28</v>
      </c>
      <c r="AY71" s="39">
        <v>3040.87</v>
      </c>
      <c r="AZ71" s="39">
        <v>2901.47</v>
      </c>
      <c r="BA71" s="39">
        <v>2875.88</v>
      </c>
      <c r="BB71" s="39">
        <v>2831.77</v>
      </c>
      <c r="BC71" s="39">
        <v>7</v>
      </c>
      <c r="BD71" s="39">
        <v>2</v>
      </c>
      <c r="BE71" s="39">
        <v>3</v>
      </c>
      <c r="BF71" s="39">
        <v>1</v>
      </c>
      <c r="BG71" s="48">
        <v>1664.1</v>
      </c>
      <c r="BH71" s="39">
        <v>0.6</v>
      </c>
      <c r="BI71" s="39" t="s">
        <v>4639</v>
      </c>
      <c r="BJ71" s="39" t="s">
        <v>4651</v>
      </c>
      <c r="BK71" t="s">
        <v>5345</v>
      </c>
      <c r="BL71" s="39" t="s">
        <v>4850</v>
      </c>
    </row>
    <row r="72" spans="1:64" x14ac:dyDescent="0.35">
      <c r="A72" s="39" t="s">
        <v>852</v>
      </c>
      <c r="B72" s="39" t="str">
        <f>IFERROR(INDEX(added_new_stocks!$F$6:$H$2156,MATCH(A72,added_new_stocks!$F$6:$F$2143,0),3),"")</f>
        <v>Mid</v>
      </c>
      <c r="C72" s="39">
        <v>67.23</v>
      </c>
      <c r="D72" s="39">
        <v>42</v>
      </c>
      <c r="G72" s="39" t="s">
        <v>4625</v>
      </c>
      <c r="H72" s="39" t="s">
        <v>5275</v>
      </c>
      <c r="I72" s="39" t="s">
        <v>4996</v>
      </c>
      <c r="J72" s="39" t="s">
        <v>5276</v>
      </c>
      <c r="K72" s="39" t="s">
        <v>4615</v>
      </c>
      <c r="L72" s="39" t="s">
        <v>5277</v>
      </c>
      <c r="N72" s="39">
        <v>8</v>
      </c>
      <c r="O72" s="39">
        <v>-3</v>
      </c>
      <c r="P72" s="39">
        <v>5</v>
      </c>
      <c r="Q72" s="39" t="s">
        <v>4611</v>
      </c>
      <c r="R72" s="39">
        <v>-1.02</v>
      </c>
      <c r="S72" s="39">
        <v>-2.23</v>
      </c>
      <c r="T72" s="39">
        <v>3.64</v>
      </c>
      <c r="U72" s="39">
        <v>2.48</v>
      </c>
      <c r="V72" s="39">
        <v>-0.77</v>
      </c>
      <c r="W72" s="39">
        <v>-8.7200000000000006</v>
      </c>
      <c r="X72" s="39">
        <v>-11.19</v>
      </c>
      <c r="Y72" s="39">
        <v>10.94</v>
      </c>
      <c r="Z72" s="39">
        <v>318.88</v>
      </c>
      <c r="AA72" s="39">
        <v>257.61</v>
      </c>
      <c r="AB72" s="39">
        <v>162.11000000000001</v>
      </c>
      <c r="AC72" s="39">
        <v>800</v>
      </c>
      <c r="AD72" s="39" t="s">
        <v>5015</v>
      </c>
      <c r="AE72" s="39">
        <v>44.68</v>
      </c>
      <c r="AF72" s="39">
        <v>24</v>
      </c>
      <c r="AG72" s="42">
        <v>2.5999999999999999E-2</v>
      </c>
      <c r="AH72" s="39">
        <v>116</v>
      </c>
      <c r="AI72" s="42">
        <v>7.5300000000000006E-2</v>
      </c>
      <c r="AJ72" s="39" t="s">
        <v>5278</v>
      </c>
      <c r="AK72" s="42">
        <v>0.21290000000000001</v>
      </c>
      <c r="AL72" s="39" t="s">
        <v>5279</v>
      </c>
      <c r="AM72" s="42">
        <v>3.5200000000000002E-2</v>
      </c>
      <c r="AN72" s="42">
        <v>0.34229999999999999</v>
      </c>
      <c r="AO72" s="39">
        <v>65</v>
      </c>
      <c r="AP72" s="39">
        <v>35</v>
      </c>
      <c r="AQ72" s="39">
        <v>53</v>
      </c>
      <c r="AS72" s="39" t="s">
        <v>4564</v>
      </c>
      <c r="AW72" s="39">
        <v>68.27</v>
      </c>
      <c r="AX72" s="39">
        <v>69.28</v>
      </c>
      <c r="AY72" s="39">
        <v>69.87</v>
      </c>
      <c r="AZ72" s="39">
        <v>66.67</v>
      </c>
      <c r="BA72" s="39">
        <v>66.08</v>
      </c>
      <c r="BB72" s="39">
        <v>65.069999999999993</v>
      </c>
      <c r="BC72" s="39">
        <v>6</v>
      </c>
      <c r="BD72" s="39">
        <v>1</v>
      </c>
      <c r="BE72" s="39" t="s">
        <v>130</v>
      </c>
      <c r="BF72" s="39">
        <v>1.83</v>
      </c>
      <c r="BG72" s="39">
        <v>4</v>
      </c>
      <c r="BH72" s="39">
        <v>34.4</v>
      </c>
      <c r="BI72" s="39" t="s">
        <v>132</v>
      </c>
      <c r="BK72" t="s">
        <v>5346</v>
      </c>
      <c r="BL72" s="39" t="s">
        <v>4851</v>
      </c>
    </row>
    <row r="73" spans="1:64" x14ac:dyDescent="0.35">
      <c r="A73" s="39" t="s">
        <v>807</v>
      </c>
      <c r="B73" s="39" t="str">
        <f>IFERROR(INDEX(added_new_stocks!$F$6:$H$2156,MATCH(A73,added_new_stocks!$F$6:$F$2143,0),3),"")</f>
        <v>Mid</v>
      </c>
      <c r="C73" s="39">
        <v>140.80000000000001</v>
      </c>
      <c r="D73" s="39">
        <v>58</v>
      </c>
      <c r="G73" s="39" t="s">
        <v>4562</v>
      </c>
      <c r="H73" s="39" t="s">
        <v>5280</v>
      </c>
      <c r="I73" s="39" t="s">
        <v>4624</v>
      </c>
      <c r="J73" s="39" t="s">
        <v>5281</v>
      </c>
      <c r="K73" s="39" t="s">
        <v>4615</v>
      </c>
      <c r="L73" s="39" t="s">
        <v>5282</v>
      </c>
      <c r="M73" s="39" t="s">
        <v>4959</v>
      </c>
      <c r="N73" s="39">
        <v>4</v>
      </c>
      <c r="O73" s="39">
        <v>-8</v>
      </c>
      <c r="P73" s="39">
        <v>-4</v>
      </c>
      <c r="Q73" s="39" t="s">
        <v>4611</v>
      </c>
      <c r="R73" s="39">
        <v>-1.19</v>
      </c>
      <c r="S73" s="39">
        <v>-11.45</v>
      </c>
      <c r="T73" s="39">
        <v>17.38</v>
      </c>
      <c r="U73" s="39">
        <v>38.24</v>
      </c>
      <c r="V73" s="39">
        <v>32.700000000000003</v>
      </c>
      <c r="W73" s="39">
        <v>28.47</v>
      </c>
      <c r="X73" s="39">
        <v>21.9</v>
      </c>
      <c r="Y73" s="39">
        <v>9.57</v>
      </c>
      <c r="Z73" s="39">
        <v>260.56</v>
      </c>
      <c r="AA73" s="39">
        <v>333.23</v>
      </c>
      <c r="AB73" s="39">
        <v>131.19999999999999</v>
      </c>
      <c r="AC73" s="39">
        <v>153.01</v>
      </c>
      <c r="AD73" s="39" t="s">
        <v>4606</v>
      </c>
      <c r="AE73" s="39" t="s">
        <v>134</v>
      </c>
      <c r="AF73" s="39">
        <v>20</v>
      </c>
      <c r="AG73" s="42">
        <v>3.8399999999999997E-2</v>
      </c>
      <c r="AH73" s="39">
        <v>66</v>
      </c>
      <c r="AI73" s="42">
        <v>1.7999999999999999E-2</v>
      </c>
      <c r="AJ73" s="39" t="s">
        <v>5061</v>
      </c>
      <c r="AK73" s="42">
        <v>0.66139999999999999</v>
      </c>
      <c r="AL73" s="39" t="s">
        <v>136</v>
      </c>
      <c r="AM73" s="42">
        <v>0.1123</v>
      </c>
      <c r="AN73" s="42">
        <v>0.13969999999999999</v>
      </c>
      <c r="AO73" s="39">
        <v>60</v>
      </c>
      <c r="AP73" s="39">
        <v>23</v>
      </c>
      <c r="AQ73" s="39">
        <v>62</v>
      </c>
      <c r="AS73" s="39" t="s">
        <v>4564</v>
      </c>
      <c r="AW73" s="39">
        <v>143.97</v>
      </c>
      <c r="AX73" s="39">
        <v>147.18</v>
      </c>
      <c r="AY73" s="39">
        <v>149.66999999999999</v>
      </c>
      <c r="AZ73" s="39">
        <v>138.27000000000001</v>
      </c>
      <c r="BA73" s="39">
        <v>135.78</v>
      </c>
      <c r="BB73" s="39">
        <v>132.57</v>
      </c>
      <c r="BC73" s="39">
        <v>4</v>
      </c>
      <c r="BD73" s="39">
        <v>1</v>
      </c>
      <c r="BE73" s="39" t="s">
        <v>130</v>
      </c>
      <c r="BF73" s="39">
        <v>0.8</v>
      </c>
      <c r="BG73" s="39">
        <v>5</v>
      </c>
      <c r="BH73" s="39">
        <v>37.799999999999997</v>
      </c>
      <c r="BI73" s="39" t="s">
        <v>4563</v>
      </c>
      <c r="BJ73" s="39" t="s">
        <v>4563</v>
      </c>
      <c r="BK73" t="s">
        <v>5347</v>
      </c>
      <c r="BL73" s="39" t="s">
        <v>4852</v>
      </c>
    </row>
    <row r="74" spans="1:64" x14ac:dyDescent="0.35">
      <c r="A74" s="39" t="s">
        <v>450</v>
      </c>
      <c r="B74" s="39" t="str">
        <f>IFERROR(INDEX(added_new_stocks!$F$6:$H$2156,MATCH(A74,added_new_stocks!$F$6:$F$2143,0),3),"")</f>
        <v>Large</v>
      </c>
      <c r="C74" s="48">
        <v>2554.75</v>
      </c>
      <c r="D74" s="39">
        <v>65</v>
      </c>
      <c r="G74" s="39" t="s">
        <v>4562</v>
      </c>
      <c r="H74" s="39" t="s">
        <v>5283</v>
      </c>
      <c r="I74" s="39" t="s">
        <v>4989</v>
      </c>
      <c r="J74" s="39" t="s">
        <v>5284</v>
      </c>
      <c r="K74" s="39" t="s">
        <v>4957</v>
      </c>
      <c r="L74" s="39" t="s">
        <v>5285</v>
      </c>
      <c r="M74" s="39" t="s">
        <v>4959</v>
      </c>
      <c r="N74" s="39">
        <v>6</v>
      </c>
      <c r="O74" s="39">
        <v>-2</v>
      </c>
      <c r="P74" s="39">
        <v>4</v>
      </c>
      <c r="Q74" s="39" t="s">
        <v>4611</v>
      </c>
      <c r="R74" s="39">
        <v>0.45</v>
      </c>
      <c r="S74" s="39">
        <v>2.12</v>
      </c>
      <c r="T74" s="39">
        <v>-4.7699999999999996</v>
      </c>
      <c r="U74" s="39">
        <v>-2.77</v>
      </c>
      <c r="V74" s="39">
        <v>1.56</v>
      </c>
      <c r="W74" s="39">
        <v>-0.25</v>
      </c>
      <c r="X74" s="39">
        <v>-4.75</v>
      </c>
      <c r="Y74" s="39">
        <v>2.76</v>
      </c>
      <c r="Z74" s="39">
        <v>15.37</v>
      </c>
      <c r="AA74" s="39">
        <v>39.71</v>
      </c>
      <c r="AB74" s="39">
        <v>43.14</v>
      </c>
      <c r="AC74" s="39">
        <v>326.5</v>
      </c>
      <c r="AD74" s="39" t="s">
        <v>4606</v>
      </c>
      <c r="AE74" s="39" t="s">
        <v>134</v>
      </c>
      <c r="AF74" s="39">
        <v>382</v>
      </c>
      <c r="AG74" s="42">
        <v>4.5499999999999999E-2</v>
      </c>
      <c r="AH74" s="39">
        <v>1412</v>
      </c>
      <c r="AI74" s="42">
        <v>0.14480000000000001</v>
      </c>
      <c r="AJ74" s="39" t="s">
        <v>5286</v>
      </c>
      <c r="AK74" s="42">
        <v>0.4743</v>
      </c>
      <c r="AL74" s="39" t="s">
        <v>5287</v>
      </c>
      <c r="AM74" s="42">
        <v>3.6900000000000002E-2</v>
      </c>
      <c r="AN74" s="42">
        <v>0.10680000000000001</v>
      </c>
      <c r="AO74" s="39">
        <v>55</v>
      </c>
      <c r="AP74" s="39">
        <v>74</v>
      </c>
      <c r="AQ74" s="39">
        <v>51</v>
      </c>
      <c r="AR74" s="39">
        <v>297</v>
      </c>
      <c r="AS74" s="39">
        <v>14</v>
      </c>
      <c r="AT74" s="39" t="s">
        <v>4562</v>
      </c>
      <c r="AU74" s="39">
        <v>31</v>
      </c>
      <c r="AV74" s="39" t="s">
        <v>4690</v>
      </c>
      <c r="AW74" s="39">
        <v>263.45</v>
      </c>
      <c r="AX74" s="39">
        <v>265.75</v>
      </c>
      <c r="AY74" s="39">
        <v>267.64999999999998</v>
      </c>
      <c r="AZ74" s="39">
        <v>259.25</v>
      </c>
      <c r="BA74" s="39">
        <v>257.35000000000002</v>
      </c>
      <c r="BB74" s="39">
        <v>255.05</v>
      </c>
      <c r="BC74" s="39">
        <v>5</v>
      </c>
      <c r="BD74" s="39">
        <v>7</v>
      </c>
      <c r="BE74" s="39">
        <v>6</v>
      </c>
      <c r="BF74" s="39">
        <v>1</v>
      </c>
      <c r="BG74" s="39">
        <v>548.5</v>
      </c>
      <c r="BH74" s="39">
        <v>2.1</v>
      </c>
      <c r="BI74" s="39" t="s">
        <v>4563</v>
      </c>
      <c r="BJ74" s="39" t="s">
        <v>4639</v>
      </c>
      <c r="BK74" t="s">
        <v>5348</v>
      </c>
      <c r="BL74" s="39" t="s">
        <v>4853</v>
      </c>
    </row>
    <row r="75" spans="1:64" x14ac:dyDescent="0.35">
      <c r="A75" s="39" t="s">
        <v>4536</v>
      </c>
      <c r="B75" s="39" t="str">
        <f>IFERROR(INDEX(added_new_stocks!$F$6:$H$2156,MATCH(A75,added_new_stocks!$F$6:$F$2143,0),3),"")</f>
        <v/>
      </c>
      <c r="C75" s="39">
        <v>1020.45</v>
      </c>
      <c r="G75" s="39" t="s">
        <v>5349</v>
      </c>
      <c r="I75" s="39" t="s">
        <v>4996</v>
      </c>
      <c r="J75" s="39" t="s">
        <v>5864</v>
      </c>
      <c r="M75" s="39" t="s">
        <v>4959</v>
      </c>
      <c r="R75" s="39">
        <v>-1.05</v>
      </c>
      <c r="S75" s="39">
        <v>3.5</v>
      </c>
      <c r="T75" s="39">
        <v>-13.59</v>
      </c>
      <c r="U75" s="39" t="s">
        <v>4538</v>
      </c>
      <c r="V75" s="39" t="s">
        <v>4538</v>
      </c>
      <c r="W75" s="39" t="s">
        <v>4538</v>
      </c>
      <c r="X75" s="39" t="s">
        <v>4538</v>
      </c>
      <c r="Y75" s="39" t="s">
        <v>4538</v>
      </c>
      <c r="Z75" s="39" t="s">
        <v>4538</v>
      </c>
      <c r="AA75" s="39" t="s">
        <v>4538</v>
      </c>
      <c r="AB75" s="39" t="s">
        <v>4538</v>
      </c>
      <c r="AC75" s="39" t="s">
        <v>4538</v>
      </c>
      <c r="AD75" s="39" t="s">
        <v>5015</v>
      </c>
      <c r="AE75" s="39" t="s">
        <v>134</v>
      </c>
      <c r="AF75" s="39">
        <v>15</v>
      </c>
      <c r="AG75" s="42">
        <v>7.4999999999999997E-2</v>
      </c>
      <c r="AH75" s="39">
        <v>47</v>
      </c>
      <c r="AI75" s="42">
        <v>4.7899999999999998E-2</v>
      </c>
      <c r="AJ75" s="39" t="s">
        <v>5865</v>
      </c>
      <c r="AK75" s="42">
        <v>8.8499999999999995E-2</v>
      </c>
      <c r="AL75" s="39" t="s">
        <v>5866</v>
      </c>
      <c r="AM75" s="42">
        <v>0.1103</v>
      </c>
      <c r="AN75" s="42">
        <v>0.185</v>
      </c>
      <c r="AO75" s="39">
        <v>65</v>
      </c>
      <c r="AP75" s="39">
        <v>12</v>
      </c>
      <c r="AQ75" s="39">
        <v>69</v>
      </c>
      <c r="AS75" s="39" t="s">
        <v>4564</v>
      </c>
      <c r="AW75" s="39">
        <v>536.73</v>
      </c>
      <c r="AX75" s="39">
        <v>550.27</v>
      </c>
      <c r="AY75" s="39">
        <v>560.53</v>
      </c>
      <c r="AZ75" s="39">
        <v>512.92999999999995</v>
      </c>
      <c r="BA75" s="39">
        <v>502.67</v>
      </c>
      <c r="BB75" s="39">
        <v>489.13</v>
      </c>
      <c r="BC75" s="39">
        <v>3</v>
      </c>
      <c r="BD75" s="39" t="s">
        <v>130</v>
      </c>
      <c r="BE75" s="39">
        <v>-0.33</v>
      </c>
      <c r="BF75" s="39">
        <v>-0.01</v>
      </c>
      <c r="BH75" s="39">
        <v>13</v>
      </c>
      <c r="BI75" s="39" t="s">
        <v>132</v>
      </c>
      <c r="BJ75" s="39" t="s">
        <v>131</v>
      </c>
      <c r="BK75" t="s">
        <v>5887</v>
      </c>
      <c r="BL75" s="39" t="s">
        <v>4854</v>
      </c>
    </row>
    <row r="76" spans="1:64" x14ac:dyDescent="0.35">
      <c r="A76" s="39" t="s">
        <v>4537</v>
      </c>
      <c r="B76" s="39" t="str">
        <f>IFERROR(INDEX(added_new_stocks!$F$6:$H$2156,MATCH(A76,added_new_stocks!$F$6:$F$2143,0),3),"")</f>
        <v/>
      </c>
      <c r="C76" s="39">
        <v>370.2</v>
      </c>
      <c r="G76" s="39" t="s">
        <v>5349</v>
      </c>
      <c r="I76" s="39" t="s">
        <v>4976</v>
      </c>
      <c r="J76" s="39" t="s">
        <v>5350</v>
      </c>
      <c r="M76" s="39" t="s">
        <v>4959</v>
      </c>
      <c r="R76" s="39">
        <v>-0.46</v>
      </c>
      <c r="S76" s="39">
        <v>-0.71</v>
      </c>
      <c r="T76" s="39">
        <v>-11.41</v>
      </c>
      <c r="U76" s="39" t="s">
        <v>4538</v>
      </c>
      <c r="V76" s="39" t="s">
        <v>4538</v>
      </c>
      <c r="W76" s="39" t="s">
        <v>4538</v>
      </c>
      <c r="X76" s="39" t="s">
        <v>4538</v>
      </c>
      <c r="Y76" s="39" t="s">
        <v>4538</v>
      </c>
      <c r="Z76" s="39" t="s">
        <v>4538</v>
      </c>
      <c r="AA76" s="39" t="s">
        <v>4538</v>
      </c>
      <c r="AB76" s="39" t="s">
        <v>4538</v>
      </c>
      <c r="AC76" s="39" t="s">
        <v>4538</v>
      </c>
      <c r="AD76" s="39" t="s">
        <v>4606</v>
      </c>
      <c r="AE76" s="39" t="s">
        <v>134</v>
      </c>
      <c r="AF76" s="39">
        <v>3</v>
      </c>
      <c r="AG76" s="42">
        <v>5.4600000000000003E-2</v>
      </c>
      <c r="AH76" s="39">
        <v>21</v>
      </c>
      <c r="AI76" s="42">
        <v>5.0500000000000003E-2</v>
      </c>
      <c r="AJ76" s="39" t="s">
        <v>5351</v>
      </c>
      <c r="AK76" s="39">
        <v>0.42699999999999999</v>
      </c>
      <c r="AL76" s="39" t="s">
        <v>5352</v>
      </c>
      <c r="AM76" s="42">
        <v>3.3399999999999999E-2</v>
      </c>
      <c r="AN76" s="42">
        <v>0.1135</v>
      </c>
      <c r="AO76" s="39">
        <v>45</v>
      </c>
      <c r="AP76" s="39">
        <v>34</v>
      </c>
      <c r="AQ76" s="39">
        <v>50</v>
      </c>
      <c r="AR76" s="45">
        <v>1173</v>
      </c>
      <c r="AS76" s="39">
        <v>23</v>
      </c>
      <c r="AT76" s="39" t="s">
        <v>129</v>
      </c>
      <c r="AU76" s="39">
        <v>36</v>
      </c>
      <c r="AV76" s="39" t="s">
        <v>4691</v>
      </c>
      <c r="AW76" s="39">
        <v>955.1</v>
      </c>
      <c r="AX76" s="39">
        <v>959.55</v>
      </c>
      <c r="AY76" s="39">
        <v>964.1</v>
      </c>
      <c r="AZ76" s="39">
        <v>946.1</v>
      </c>
      <c r="BA76" s="39">
        <v>941.55</v>
      </c>
      <c r="BB76" s="39">
        <v>937.1</v>
      </c>
      <c r="BC76" s="39">
        <v>14</v>
      </c>
      <c r="BD76" s="39">
        <v>3</v>
      </c>
      <c r="BE76" s="39">
        <v>6</v>
      </c>
      <c r="BF76" s="39" t="s">
        <v>130</v>
      </c>
      <c r="BG76" s="39">
        <v>601.70000000000005</v>
      </c>
      <c r="BH76" s="39">
        <v>0.6</v>
      </c>
      <c r="BI76" s="39" t="s">
        <v>4563</v>
      </c>
      <c r="BJ76" s="39" t="s">
        <v>132</v>
      </c>
      <c r="BK76" t="s">
        <v>5529</v>
      </c>
      <c r="BL76" s="39" t="s">
        <v>4855</v>
      </c>
    </row>
    <row r="77" spans="1:64" x14ac:dyDescent="0.35">
      <c r="A77" s="47" t="s">
        <v>2295</v>
      </c>
      <c r="B77" s="39" t="str">
        <f>IFERROR(INDEX(added_new_stocks!$F$6:$H$2156,MATCH(A77,added_new_stocks!$F$6:$F$2143,0),3),"")</f>
        <v>Small</v>
      </c>
      <c r="C77" s="48">
        <v>286.45</v>
      </c>
      <c r="D77" s="39">
        <v>40</v>
      </c>
      <c r="G77" s="39" t="s">
        <v>4625</v>
      </c>
      <c r="H77" s="39" t="s">
        <v>5850</v>
      </c>
      <c r="I77" s="39" t="s">
        <v>4624</v>
      </c>
      <c r="J77" s="39" t="s">
        <v>5851</v>
      </c>
      <c r="K77" s="39" t="s">
        <v>4603</v>
      </c>
      <c r="L77" s="39" t="s">
        <v>5852</v>
      </c>
      <c r="M77" s="39" t="s">
        <v>135</v>
      </c>
      <c r="N77" s="41">
        <v>0</v>
      </c>
      <c r="O77" s="41">
        <v>-14</v>
      </c>
      <c r="P77" s="41">
        <v>-14</v>
      </c>
      <c r="Q77" s="41" t="s">
        <v>4605</v>
      </c>
      <c r="R77" s="41">
        <v>5.39</v>
      </c>
      <c r="S77" s="41">
        <v>4.97</v>
      </c>
      <c r="T77" s="41">
        <v>21.92</v>
      </c>
      <c r="U77" s="41">
        <v>110.01</v>
      </c>
      <c r="V77" s="41">
        <v>100.24</v>
      </c>
      <c r="W77" s="41">
        <v>83.98</v>
      </c>
      <c r="X77" s="41">
        <v>64.77</v>
      </c>
      <c r="Y77" s="41">
        <v>36.15</v>
      </c>
      <c r="Z77" s="41">
        <v>64.25</v>
      </c>
      <c r="AA77" s="41">
        <v>9.33</v>
      </c>
      <c r="AB77" s="41">
        <v>4.41</v>
      </c>
      <c r="AC77" s="41">
        <v>532.69000000000005</v>
      </c>
      <c r="AD77" s="39" t="s">
        <v>4606</v>
      </c>
      <c r="AE77" s="39">
        <v>30.69</v>
      </c>
      <c r="AF77" s="39">
        <v>1</v>
      </c>
      <c r="AG77" s="42">
        <v>7.9000000000000008E-3</v>
      </c>
      <c r="AH77" s="39">
        <v>3</v>
      </c>
      <c r="AI77" s="42">
        <v>2.9999999999999997E-4</v>
      </c>
      <c r="AJ77" s="39" t="s">
        <v>5853</v>
      </c>
      <c r="AK77" s="42">
        <v>0.67579999999999996</v>
      </c>
      <c r="AL77" s="39" t="s">
        <v>5854</v>
      </c>
      <c r="AM77" s="42">
        <v>1.7899999999999999E-2</v>
      </c>
      <c r="AN77" s="42">
        <v>0.2082</v>
      </c>
      <c r="AO77" s="39" t="s">
        <v>130</v>
      </c>
      <c r="AP77" s="39">
        <v>1</v>
      </c>
      <c r="AQ77" s="39">
        <v>14</v>
      </c>
      <c r="AR77" s="45">
        <v>1607</v>
      </c>
      <c r="AS77" s="39">
        <v>57</v>
      </c>
      <c r="AT77" s="39" t="s">
        <v>4633</v>
      </c>
      <c r="AU77" s="39">
        <v>1</v>
      </c>
      <c r="AV77" s="39" t="s">
        <v>4692</v>
      </c>
      <c r="AW77" s="39">
        <v>1036.43</v>
      </c>
      <c r="AX77" s="39">
        <v>1050.42</v>
      </c>
      <c r="AY77" s="39">
        <v>1064.1300000000001</v>
      </c>
      <c r="AZ77" s="39">
        <v>1008.73</v>
      </c>
      <c r="BA77" s="39">
        <v>995.02</v>
      </c>
      <c r="BB77" s="39">
        <v>981.03</v>
      </c>
      <c r="BC77" s="39">
        <v>959.4</v>
      </c>
      <c r="BD77" s="45">
        <v>1344</v>
      </c>
      <c r="BG77" s="39">
        <v>0.95</v>
      </c>
      <c r="BI77" s="39" t="s">
        <v>4693</v>
      </c>
      <c r="BK77" t="s">
        <v>5860</v>
      </c>
      <c r="BL77" s="59" t="s">
        <v>4856</v>
      </c>
    </row>
    <row r="78" spans="1:64" x14ac:dyDescent="0.35">
      <c r="A78" s="47" t="s">
        <v>296</v>
      </c>
      <c r="B78" s="39" t="str">
        <f>IFERROR(INDEX(added_new_stocks!$F$6:$H$2156,MATCH(A78,added_new_stocks!$F$6:$F$2143,0),3),"")</f>
        <v>Large</v>
      </c>
      <c r="C78" s="39">
        <v>2453.4</v>
      </c>
      <c r="D78" s="39">
        <v>50</v>
      </c>
      <c r="G78" s="39" t="s">
        <v>4562</v>
      </c>
      <c r="H78" s="39" t="s">
        <v>5855</v>
      </c>
      <c r="I78" s="39" t="s">
        <v>4989</v>
      </c>
      <c r="J78" s="39" t="s">
        <v>5856</v>
      </c>
      <c r="N78" s="41">
        <v>43</v>
      </c>
      <c r="O78" s="41">
        <v>-4</v>
      </c>
      <c r="P78" s="41">
        <v>39</v>
      </c>
      <c r="Q78" s="41" t="s">
        <v>5857</v>
      </c>
      <c r="R78" s="41">
        <v>-0.27</v>
      </c>
      <c r="S78" s="41">
        <v>-2.44</v>
      </c>
      <c r="T78" s="41">
        <v>-7.51</v>
      </c>
      <c r="U78" s="41">
        <v>8.32</v>
      </c>
      <c r="V78" s="41">
        <v>30.33</v>
      </c>
      <c r="W78" s="41">
        <v>22.24</v>
      </c>
      <c r="X78" s="41">
        <v>21.3</v>
      </c>
      <c r="Y78" s="41">
        <v>44.51</v>
      </c>
      <c r="Z78" s="41">
        <v>105.03</v>
      </c>
      <c r="AA78" s="41">
        <v>53.26</v>
      </c>
      <c r="AB78" s="41">
        <v>134.13999999999999</v>
      </c>
      <c r="AC78" s="41" t="s">
        <v>4538</v>
      </c>
      <c r="AD78" s="39" t="s">
        <v>4606</v>
      </c>
      <c r="AE78" s="39" t="s">
        <v>134</v>
      </c>
      <c r="AF78" s="39">
        <v>25</v>
      </c>
      <c r="AG78" s="42">
        <v>8.7599999999999997E-2</v>
      </c>
      <c r="AH78" s="39">
        <v>581</v>
      </c>
      <c r="AI78" s="42">
        <v>0.1976</v>
      </c>
      <c r="AJ78" s="39" t="s">
        <v>5858</v>
      </c>
      <c r="AK78" s="42">
        <v>0.37790000000000001</v>
      </c>
      <c r="AL78" s="39" t="s">
        <v>5859</v>
      </c>
      <c r="AM78" s="42">
        <v>3.3700000000000001E-2</v>
      </c>
      <c r="AN78" s="42">
        <v>1.2200000000000001E-2</v>
      </c>
      <c r="AO78" s="39" t="s">
        <v>130</v>
      </c>
      <c r="AP78" s="39">
        <v>0</v>
      </c>
      <c r="AQ78" s="39">
        <v>14</v>
      </c>
      <c r="AS78" s="39" t="s">
        <v>4564</v>
      </c>
      <c r="AW78" s="39">
        <v>375.68</v>
      </c>
      <c r="AX78" s="39">
        <v>380.37</v>
      </c>
      <c r="AY78" s="39">
        <v>385.23</v>
      </c>
      <c r="AZ78" s="39">
        <v>366.13</v>
      </c>
      <c r="BA78" s="39">
        <v>361.27</v>
      </c>
      <c r="BB78" s="39">
        <v>356.58</v>
      </c>
      <c r="BC78" s="39">
        <v>477</v>
      </c>
      <c r="BG78" s="39">
        <v>359.6</v>
      </c>
      <c r="BH78" s="39">
        <v>-0.52</v>
      </c>
      <c r="BI78" s="39" t="s">
        <v>4694</v>
      </c>
      <c r="BJ78" s="39" t="s">
        <v>4695</v>
      </c>
      <c r="BK78" t="s">
        <v>5861</v>
      </c>
      <c r="BL78" s="39" t="s">
        <v>4857</v>
      </c>
    </row>
    <row r="79" spans="1:64" x14ac:dyDescent="0.35">
      <c r="A79" s="39" t="s">
        <v>283</v>
      </c>
      <c r="B79" s="39" t="str">
        <f>IFERROR(INDEX(added_new_stocks!$F$6:$H$2156,MATCH(A79,added_new_stocks!$F$6:$F$2143,0),3),"")</f>
        <v>Large</v>
      </c>
      <c r="C79" s="48">
        <v>1370.7</v>
      </c>
      <c r="D79" s="39">
        <v>90</v>
      </c>
      <c r="G79" s="39" t="s">
        <v>4633</v>
      </c>
      <c r="H79" s="39" t="s">
        <v>5867</v>
      </c>
      <c r="I79" s="39" t="s">
        <v>4624</v>
      </c>
      <c r="J79" s="39" t="s">
        <v>5868</v>
      </c>
      <c r="K79" s="39" t="s">
        <v>4957</v>
      </c>
      <c r="L79" s="39" t="s">
        <v>5869</v>
      </c>
      <c r="N79" s="41">
        <v>31</v>
      </c>
      <c r="O79" s="41">
        <v>-2</v>
      </c>
      <c r="P79" s="41">
        <v>29</v>
      </c>
      <c r="Q79" s="41" t="s">
        <v>5060</v>
      </c>
      <c r="R79" s="41">
        <v>-0.27</v>
      </c>
      <c r="S79" s="41">
        <v>-1.9</v>
      </c>
      <c r="T79" s="41">
        <v>-1.41</v>
      </c>
      <c r="U79" s="41">
        <v>10.63</v>
      </c>
      <c r="V79" s="41">
        <v>23</v>
      </c>
      <c r="W79" s="41">
        <v>12.21</v>
      </c>
      <c r="X79" s="41">
        <v>24.03</v>
      </c>
      <c r="Y79" s="41">
        <v>38.54</v>
      </c>
      <c r="Z79" s="41">
        <v>162.94</v>
      </c>
      <c r="AA79" s="41">
        <v>-4.7</v>
      </c>
      <c r="AB79" s="41">
        <v>-31.11</v>
      </c>
      <c r="AC79" s="41">
        <v>285.02999999999997</v>
      </c>
      <c r="AD79" s="39" t="s">
        <v>4974</v>
      </c>
      <c r="AE79" s="39">
        <v>45.48</v>
      </c>
      <c r="AF79" s="39">
        <v>36</v>
      </c>
      <c r="AG79" s="42">
        <v>0.1522</v>
      </c>
      <c r="AH79" s="39">
        <v>381</v>
      </c>
      <c r="AI79" s="42">
        <v>0.42059999999999997</v>
      </c>
      <c r="AJ79" s="39" t="s">
        <v>5870</v>
      </c>
      <c r="AK79" s="42">
        <v>0.12570000000000001</v>
      </c>
      <c r="AL79" s="39" t="s">
        <v>5871</v>
      </c>
      <c r="AM79" s="42">
        <v>3.56E-2</v>
      </c>
      <c r="AN79" s="42">
        <v>7.9100000000000004E-2</v>
      </c>
      <c r="AO79" s="39">
        <v>40</v>
      </c>
      <c r="AP79" s="39">
        <v>35</v>
      </c>
      <c r="AQ79" s="39">
        <v>68</v>
      </c>
      <c r="AR79" s="39">
        <v>177</v>
      </c>
      <c r="AS79" s="39">
        <v>-38</v>
      </c>
      <c r="AT79" s="39" t="s">
        <v>4633</v>
      </c>
      <c r="AU79" s="39">
        <v>1</v>
      </c>
      <c r="AV79" s="39" t="s">
        <v>4696</v>
      </c>
      <c r="AW79" s="39">
        <v>297.83</v>
      </c>
      <c r="AX79" s="39">
        <v>310.32</v>
      </c>
      <c r="AY79" s="39">
        <v>323.73</v>
      </c>
      <c r="AZ79" s="39">
        <v>271.93</v>
      </c>
      <c r="BA79" s="39">
        <v>258.52</v>
      </c>
      <c r="BB79" s="39">
        <v>246.03</v>
      </c>
      <c r="BC79" s="39">
        <v>10</v>
      </c>
      <c r="BD79" s="39">
        <v>9</v>
      </c>
      <c r="BE79" s="39" t="s">
        <v>130</v>
      </c>
      <c r="BF79" s="39">
        <v>3.8</v>
      </c>
      <c r="BG79" s="39">
        <v>4</v>
      </c>
      <c r="BH79" s="39">
        <v>156.69999999999999</v>
      </c>
      <c r="BI79" s="39" t="s">
        <v>4563</v>
      </c>
      <c r="BJ79" s="39" t="s">
        <v>4563</v>
      </c>
      <c r="BK79" t="s">
        <v>5888</v>
      </c>
      <c r="BL79" s="39" t="s">
        <v>4858</v>
      </c>
    </row>
    <row r="80" spans="1:64" x14ac:dyDescent="0.35">
      <c r="A80" s="39" t="s">
        <v>405</v>
      </c>
      <c r="B80" s="39" t="str">
        <f>IFERROR(INDEX(added_new_stocks!$F$6:$H$2156,MATCH(A80,added_new_stocks!$F$6:$F$2143,0),3),"")</f>
        <v>Large</v>
      </c>
      <c r="C80" s="48">
        <v>159</v>
      </c>
      <c r="D80" s="39">
        <v>50</v>
      </c>
      <c r="G80" s="39" t="s">
        <v>4562</v>
      </c>
      <c r="H80" s="39" t="s">
        <v>5872</v>
      </c>
      <c r="I80" s="39" t="s">
        <v>4976</v>
      </c>
      <c r="J80" s="39" t="s">
        <v>5873</v>
      </c>
      <c r="K80" s="39" t="s">
        <v>133</v>
      </c>
      <c r="L80" s="39" t="s">
        <v>5874</v>
      </c>
      <c r="M80" s="39" t="s">
        <v>5047</v>
      </c>
      <c r="N80" s="39">
        <v>10</v>
      </c>
      <c r="O80" s="39">
        <v>-6</v>
      </c>
      <c r="P80" s="39">
        <v>4</v>
      </c>
      <c r="Q80" s="39" t="s">
        <v>4611</v>
      </c>
      <c r="R80" s="39">
        <v>-1.76</v>
      </c>
      <c r="S80" s="39">
        <v>-7.34</v>
      </c>
      <c r="T80" s="39">
        <v>-6.17</v>
      </c>
      <c r="U80" s="39">
        <v>7.58</v>
      </c>
      <c r="V80" s="39">
        <v>-4.7</v>
      </c>
      <c r="W80" s="39">
        <v>-16.45</v>
      </c>
      <c r="X80" s="39">
        <v>-20.16</v>
      </c>
      <c r="Y80" s="39">
        <v>-27.28</v>
      </c>
      <c r="Z80" s="39">
        <v>-20.78</v>
      </c>
      <c r="AA80" s="39">
        <v>-36.08</v>
      </c>
      <c r="AB80" s="39">
        <v>-43.81</v>
      </c>
      <c r="AC80" s="39">
        <v>6.96</v>
      </c>
      <c r="AD80" s="39" t="s">
        <v>4606</v>
      </c>
      <c r="AE80" s="39">
        <v>30.5</v>
      </c>
      <c r="AF80" s="39">
        <v>24</v>
      </c>
      <c r="AG80" s="42">
        <v>2.2800000000000001E-2</v>
      </c>
      <c r="AH80" s="39">
        <v>327</v>
      </c>
      <c r="AI80" s="42">
        <v>0.23930000000000001</v>
      </c>
      <c r="AJ80" s="39" t="s">
        <v>5875</v>
      </c>
      <c r="AK80" s="42">
        <v>0.47949999999999998</v>
      </c>
      <c r="AL80" s="39" t="s">
        <v>5876</v>
      </c>
      <c r="AM80" s="42">
        <v>4.8500000000000001E-2</v>
      </c>
      <c r="AN80" s="42">
        <v>1.9199999999999998E-2</v>
      </c>
      <c r="AO80" s="39">
        <v>60</v>
      </c>
      <c r="AP80" s="39">
        <v>32</v>
      </c>
      <c r="AQ80" s="39">
        <v>53</v>
      </c>
      <c r="AR80" s="45">
        <v>3003</v>
      </c>
      <c r="AS80" s="39">
        <v>22</v>
      </c>
      <c r="AT80" s="39" t="s">
        <v>129</v>
      </c>
      <c r="AU80" s="39">
        <v>22</v>
      </c>
      <c r="AV80" s="39" t="s">
        <v>4697</v>
      </c>
      <c r="AW80" s="39">
        <v>2482.13</v>
      </c>
      <c r="AX80" s="39">
        <v>2509.9699999999998</v>
      </c>
      <c r="AY80" s="39">
        <v>2548.5300000000002</v>
      </c>
      <c r="AZ80" s="39">
        <v>2415.73</v>
      </c>
      <c r="BA80" s="39">
        <v>2377.17</v>
      </c>
      <c r="BB80" s="39">
        <v>2349.33</v>
      </c>
      <c r="BC80" s="39">
        <v>6</v>
      </c>
      <c r="BD80" s="39">
        <v>2</v>
      </c>
      <c r="BE80" s="39">
        <v>0.6</v>
      </c>
      <c r="BF80" s="39">
        <v>1.27</v>
      </c>
      <c r="BG80" s="39">
        <v>2</v>
      </c>
      <c r="BH80" s="39">
        <v>8</v>
      </c>
      <c r="BJ80" s="39" t="s">
        <v>4639</v>
      </c>
      <c r="BK80" t="s">
        <v>5889</v>
      </c>
      <c r="BL80" s="39" t="s">
        <v>4859</v>
      </c>
    </row>
    <row r="81" spans="1:64" x14ac:dyDescent="0.35">
      <c r="A81" s="39" t="s">
        <v>283</v>
      </c>
      <c r="B81" s="39" t="str">
        <f>IFERROR(INDEX(added_new_stocks!$F$6:$H$2156,MATCH(A81,added_new_stocks!$F$6:$F$2143,0),3),"")</f>
        <v>Large</v>
      </c>
      <c r="C81" s="48">
        <v>1370.7</v>
      </c>
      <c r="D81" s="39">
        <v>90</v>
      </c>
      <c r="G81" s="39" t="s">
        <v>4633</v>
      </c>
      <c r="H81" s="39" t="s">
        <v>5867</v>
      </c>
      <c r="I81" s="39" t="s">
        <v>4624</v>
      </c>
      <c r="J81" s="39" t="s">
        <v>5868</v>
      </c>
      <c r="K81" s="39" t="s">
        <v>4957</v>
      </c>
      <c r="L81" s="39" t="s">
        <v>5869</v>
      </c>
      <c r="N81" s="39">
        <v>31</v>
      </c>
      <c r="O81" s="39">
        <v>-2</v>
      </c>
      <c r="P81" s="39">
        <v>29</v>
      </c>
      <c r="Q81" s="39" t="s">
        <v>5060</v>
      </c>
      <c r="R81" s="39">
        <v>-0.27</v>
      </c>
      <c r="S81" s="39">
        <v>-1.9</v>
      </c>
      <c r="T81" s="39">
        <v>-1.41</v>
      </c>
      <c r="U81" s="39">
        <v>10.63</v>
      </c>
      <c r="V81" s="39">
        <v>23</v>
      </c>
      <c r="W81" s="39">
        <v>12.21</v>
      </c>
      <c r="X81" s="39">
        <v>24.03</v>
      </c>
      <c r="Y81" s="39">
        <v>38.54</v>
      </c>
      <c r="Z81" s="39">
        <v>162.94</v>
      </c>
      <c r="AA81" s="39">
        <v>-4.7</v>
      </c>
      <c r="AB81" s="39">
        <v>-31.11</v>
      </c>
      <c r="AC81" s="39">
        <v>285.02999999999997</v>
      </c>
      <c r="AD81" s="39" t="s">
        <v>4974</v>
      </c>
      <c r="AE81" s="39">
        <v>45.48</v>
      </c>
      <c r="AF81" s="39">
        <v>36</v>
      </c>
      <c r="AG81" s="42">
        <v>0.1522</v>
      </c>
      <c r="AH81" s="39">
        <v>381</v>
      </c>
      <c r="AI81" s="42">
        <v>0.42059999999999997</v>
      </c>
      <c r="AJ81" s="39" t="s">
        <v>5870</v>
      </c>
      <c r="AK81" s="42">
        <v>0.12570000000000001</v>
      </c>
      <c r="AL81" s="39" t="s">
        <v>5871</v>
      </c>
      <c r="AM81" s="42">
        <v>3.56E-2</v>
      </c>
      <c r="AN81" s="42">
        <v>7.9100000000000004E-2</v>
      </c>
      <c r="AO81" s="39">
        <v>40</v>
      </c>
      <c r="AP81" s="39">
        <v>46</v>
      </c>
      <c r="AQ81" s="39">
        <v>61</v>
      </c>
      <c r="AR81" s="45">
        <v>1611</v>
      </c>
      <c r="AS81" s="39">
        <v>17</v>
      </c>
      <c r="AT81" s="39" t="s">
        <v>129</v>
      </c>
      <c r="AU81" s="39">
        <v>38</v>
      </c>
      <c r="AV81" s="39" t="s">
        <v>4698</v>
      </c>
      <c r="AW81" s="39">
        <v>1378.85</v>
      </c>
      <c r="AX81" s="39">
        <v>1386</v>
      </c>
      <c r="AY81" s="39">
        <v>1395</v>
      </c>
      <c r="AZ81" s="39">
        <v>1362.7</v>
      </c>
      <c r="BA81" s="39">
        <v>1353.7</v>
      </c>
      <c r="BB81" s="39">
        <v>1346.55</v>
      </c>
      <c r="BC81" s="39">
        <v>10</v>
      </c>
      <c r="BD81" s="39">
        <v>6</v>
      </c>
      <c r="BE81" s="39">
        <v>9</v>
      </c>
      <c r="BF81" s="39" t="s">
        <v>130</v>
      </c>
      <c r="BG81" s="48">
        <v>1273.4000000000001</v>
      </c>
      <c r="BH81" s="39">
        <v>0.9</v>
      </c>
      <c r="BI81" s="39" t="s">
        <v>4651</v>
      </c>
      <c r="BJ81" s="39" t="s">
        <v>4563</v>
      </c>
      <c r="BK81" t="s">
        <v>5888</v>
      </c>
      <c r="BL81" s="39" t="s">
        <v>4858</v>
      </c>
    </row>
    <row r="82" spans="1:64" x14ac:dyDescent="0.35">
      <c r="A82" s="39" t="s">
        <v>405</v>
      </c>
      <c r="B82" s="39" t="str">
        <f>IFERROR(INDEX(added_new_stocks!$F$6:$H$2156,MATCH(A82,added_new_stocks!$F$6:$F$2143,0),3),"")</f>
        <v>Large</v>
      </c>
      <c r="C82" s="39">
        <v>159</v>
      </c>
      <c r="D82" s="39">
        <v>50</v>
      </c>
      <c r="G82" s="39" t="s">
        <v>4562</v>
      </c>
      <c r="H82" s="39" t="s">
        <v>5872</v>
      </c>
      <c r="I82" s="39" t="s">
        <v>4976</v>
      </c>
      <c r="J82" s="39" t="s">
        <v>5873</v>
      </c>
      <c r="K82" s="39" t="s">
        <v>133</v>
      </c>
      <c r="L82" s="39" t="s">
        <v>5874</v>
      </c>
      <c r="M82" s="39" t="s">
        <v>5047</v>
      </c>
      <c r="N82" s="39">
        <v>10</v>
      </c>
      <c r="O82" s="39">
        <v>-6</v>
      </c>
      <c r="P82" s="39">
        <v>4</v>
      </c>
      <c r="Q82" s="39" t="s">
        <v>4611</v>
      </c>
      <c r="R82" s="39">
        <v>-1.76</v>
      </c>
      <c r="S82" s="39">
        <v>-7.34</v>
      </c>
      <c r="T82" s="39">
        <v>-6.17</v>
      </c>
      <c r="U82" s="39">
        <v>7.58</v>
      </c>
      <c r="V82" s="39">
        <v>-4.7</v>
      </c>
      <c r="W82" s="39">
        <v>-16.45</v>
      </c>
      <c r="X82" s="39">
        <v>-20.16</v>
      </c>
      <c r="Y82" s="39">
        <v>-27.28</v>
      </c>
      <c r="Z82" s="39">
        <v>-20.78</v>
      </c>
      <c r="AA82" s="39">
        <v>-36.08</v>
      </c>
      <c r="AB82" s="39">
        <v>-43.81</v>
      </c>
      <c r="AC82" s="39">
        <v>6.96</v>
      </c>
      <c r="AD82" s="39" t="s">
        <v>4606</v>
      </c>
      <c r="AE82" s="39">
        <v>30.5</v>
      </c>
      <c r="AF82" s="39">
        <v>24</v>
      </c>
      <c r="AG82" s="42">
        <v>2.2800000000000001E-2</v>
      </c>
      <c r="AH82" s="39">
        <v>327</v>
      </c>
      <c r="AI82" s="42">
        <v>0.23930000000000001</v>
      </c>
      <c r="AJ82" s="39" t="s">
        <v>5875</v>
      </c>
      <c r="AK82" s="42">
        <v>0.47949999999999998</v>
      </c>
      <c r="AL82" s="39" t="s">
        <v>5876</v>
      </c>
      <c r="AM82" s="42">
        <v>4.8500000000000001E-2</v>
      </c>
      <c r="AN82" s="42">
        <v>1.9199999999999998E-2</v>
      </c>
      <c r="AO82" s="39">
        <v>40</v>
      </c>
      <c r="AP82" s="39">
        <v>53</v>
      </c>
      <c r="AQ82" s="39">
        <v>39</v>
      </c>
      <c r="AR82" s="39">
        <v>178</v>
      </c>
      <c r="AS82" s="39">
        <v>12</v>
      </c>
      <c r="AT82" s="39" t="s">
        <v>4562</v>
      </c>
      <c r="AU82" s="39">
        <v>20</v>
      </c>
      <c r="AV82" s="39" t="s">
        <v>4699</v>
      </c>
      <c r="AW82" s="39">
        <v>161.52000000000001</v>
      </c>
      <c r="AX82" s="39">
        <v>164.08</v>
      </c>
      <c r="AY82" s="39">
        <v>166.17</v>
      </c>
      <c r="AZ82" s="39">
        <v>156.87</v>
      </c>
      <c r="BA82" s="39">
        <v>154.78</v>
      </c>
      <c r="BB82" s="39">
        <v>152.22</v>
      </c>
      <c r="BC82" s="39">
        <v>1</v>
      </c>
      <c r="BD82" s="39">
        <v>5</v>
      </c>
      <c r="BE82" s="39">
        <v>2</v>
      </c>
      <c r="BF82" s="39" t="s">
        <v>130</v>
      </c>
      <c r="BG82" s="39">
        <v>138</v>
      </c>
      <c r="BH82" s="39">
        <v>0.9</v>
      </c>
      <c r="BI82" s="39" t="s">
        <v>4563</v>
      </c>
      <c r="BJ82" s="39" t="s">
        <v>4639</v>
      </c>
      <c r="BK82" t="s">
        <v>5889</v>
      </c>
      <c r="BL82" s="39" t="s">
        <v>4859</v>
      </c>
    </row>
    <row r="83" spans="1:64" x14ac:dyDescent="0.35">
      <c r="A83" s="39" t="s">
        <v>193</v>
      </c>
      <c r="B83" s="39" t="str">
        <f>IFERROR(INDEX(added_new_stocks!$F$6:$H$2156,MATCH(A83,added_new_stocks!$F$6:$F$2143,0),3),"")</f>
        <v>Large</v>
      </c>
      <c r="C83" s="48">
        <v>1388.75</v>
      </c>
      <c r="D83" s="39">
        <v>54</v>
      </c>
      <c r="G83" s="39" t="s">
        <v>4562</v>
      </c>
      <c r="H83" s="39" t="s">
        <v>5353</v>
      </c>
      <c r="I83" s="39" t="s">
        <v>4976</v>
      </c>
      <c r="J83" s="39" t="s">
        <v>5354</v>
      </c>
      <c r="K83" s="39" t="s">
        <v>4957</v>
      </c>
      <c r="L83" s="39" t="s">
        <v>5355</v>
      </c>
      <c r="M83" s="39" t="s">
        <v>135</v>
      </c>
      <c r="N83" s="39">
        <v>3</v>
      </c>
      <c r="O83" s="39">
        <v>-2</v>
      </c>
      <c r="P83" s="39">
        <v>1</v>
      </c>
      <c r="Q83" s="39" t="s">
        <v>4611</v>
      </c>
      <c r="R83" s="39">
        <v>-1.59</v>
      </c>
      <c r="S83" s="39">
        <v>1.22</v>
      </c>
      <c r="T83" s="39">
        <v>-5.85</v>
      </c>
      <c r="U83" s="39">
        <v>11.47</v>
      </c>
      <c r="V83" s="39">
        <v>-12.3</v>
      </c>
      <c r="W83" s="39">
        <v>-7.95</v>
      </c>
      <c r="X83" s="39">
        <v>-12.25</v>
      </c>
      <c r="Y83" s="39">
        <v>-19.88</v>
      </c>
      <c r="Z83" s="39">
        <v>43.59</v>
      </c>
      <c r="AA83" s="39">
        <v>79.3</v>
      </c>
      <c r="AB83" s="39">
        <v>94.05</v>
      </c>
      <c r="AC83" s="39">
        <v>273.5</v>
      </c>
      <c r="AD83" s="39" t="s">
        <v>4974</v>
      </c>
      <c r="AE83" s="39" t="s">
        <v>134</v>
      </c>
      <c r="AF83" s="39">
        <v>37</v>
      </c>
      <c r="AG83" s="42">
        <v>0.18629999999999999</v>
      </c>
      <c r="AH83" s="39">
        <v>1375</v>
      </c>
      <c r="AI83" s="42">
        <v>0.33429999999999999</v>
      </c>
      <c r="AJ83" s="39" t="s">
        <v>5356</v>
      </c>
      <c r="AK83" s="42">
        <v>2.58E-2</v>
      </c>
      <c r="AL83" s="39" t="s">
        <v>136</v>
      </c>
      <c r="AM83" s="42">
        <v>8.8300000000000003E-2</v>
      </c>
      <c r="AN83" s="42">
        <v>0.1391</v>
      </c>
      <c r="AO83" s="39">
        <v>50</v>
      </c>
      <c r="AP83" s="39">
        <v>29</v>
      </c>
      <c r="AQ83" s="39">
        <v>51</v>
      </c>
      <c r="AR83" s="45">
        <v>1442</v>
      </c>
      <c r="AS83" s="39">
        <v>4</v>
      </c>
      <c r="AT83" s="39" t="s">
        <v>4562</v>
      </c>
      <c r="AU83" s="39">
        <v>40</v>
      </c>
      <c r="AV83" s="39" t="s">
        <v>4700</v>
      </c>
      <c r="AW83" s="39">
        <v>1402.95</v>
      </c>
      <c r="AX83" s="39">
        <v>1417.1</v>
      </c>
      <c r="AY83" s="39">
        <v>1425.5</v>
      </c>
      <c r="AZ83" s="39">
        <v>1380.4</v>
      </c>
      <c r="BA83" s="39">
        <v>1372</v>
      </c>
      <c r="BB83" s="39">
        <v>1357.85</v>
      </c>
      <c r="BC83" s="39">
        <v>7</v>
      </c>
      <c r="BD83" s="39">
        <v>2</v>
      </c>
      <c r="BE83" s="39">
        <v>2</v>
      </c>
      <c r="BF83" s="39" t="s">
        <v>130</v>
      </c>
      <c r="BG83" s="39">
        <v>494.8</v>
      </c>
      <c r="BH83" s="39">
        <v>0.4</v>
      </c>
      <c r="BI83" s="39" t="s">
        <v>4563</v>
      </c>
      <c r="BJ83" s="39" t="s">
        <v>4563</v>
      </c>
      <c r="BK83" t="s">
        <v>5530</v>
      </c>
      <c r="BL83" s="39" t="s">
        <v>4860</v>
      </c>
    </row>
    <row r="84" spans="1:64" x14ac:dyDescent="0.35">
      <c r="A84" s="39" t="s">
        <v>571</v>
      </c>
      <c r="B84" s="39" t="str">
        <f>IFERROR(INDEX(added_new_stocks!$F$6:$H$2156,MATCH(A84,added_new_stocks!$F$6:$F$2143,0),3),"")</f>
        <v>Large</v>
      </c>
      <c r="C84" s="39">
        <v>876.75</v>
      </c>
      <c r="D84" s="39">
        <v>40</v>
      </c>
      <c r="G84" s="39" t="s">
        <v>4625</v>
      </c>
      <c r="H84" s="39" t="s">
        <v>5357</v>
      </c>
      <c r="I84" s="39" t="s">
        <v>4976</v>
      </c>
      <c r="J84" s="39" t="s">
        <v>5358</v>
      </c>
      <c r="K84" s="39" t="s">
        <v>133</v>
      </c>
      <c r="L84" s="39" t="s">
        <v>5359</v>
      </c>
      <c r="M84" s="39" t="s">
        <v>4959</v>
      </c>
      <c r="N84" s="39">
        <v>9</v>
      </c>
      <c r="O84" s="39">
        <v>-24</v>
      </c>
      <c r="P84" s="39">
        <v>-15</v>
      </c>
      <c r="Q84" s="39" t="s">
        <v>4605</v>
      </c>
      <c r="R84" s="39">
        <v>-1.26</v>
      </c>
      <c r="S84" s="39">
        <v>-3.29</v>
      </c>
      <c r="T84" s="39">
        <v>10.46</v>
      </c>
      <c r="U84" s="39">
        <v>29.92</v>
      </c>
      <c r="V84" s="39">
        <v>5.48</v>
      </c>
      <c r="W84" s="39">
        <v>3.99</v>
      </c>
      <c r="X84" s="39">
        <v>-5.22</v>
      </c>
      <c r="Y84" s="39">
        <v>-28.01</v>
      </c>
      <c r="Z84" s="39">
        <v>-12.49</v>
      </c>
      <c r="AA84" s="39">
        <v>86.64</v>
      </c>
      <c r="AB84" s="39">
        <v>139.75</v>
      </c>
      <c r="AC84" s="39">
        <v>165.62</v>
      </c>
      <c r="AD84" s="39" t="s">
        <v>4606</v>
      </c>
      <c r="AE84" s="39" t="s">
        <v>134</v>
      </c>
      <c r="AF84" s="39">
        <v>27</v>
      </c>
      <c r="AG84" s="42">
        <v>0.30270000000000002</v>
      </c>
      <c r="AH84" s="39">
        <v>178</v>
      </c>
      <c r="AI84" s="42">
        <v>0.10050000000000001</v>
      </c>
      <c r="AJ84" s="39" t="s">
        <v>5360</v>
      </c>
      <c r="AK84" s="42">
        <v>0.2147</v>
      </c>
      <c r="AL84" s="39" t="s">
        <v>4968</v>
      </c>
      <c r="AM84" s="42">
        <v>6.6500000000000004E-2</v>
      </c>
      <c r="AN84" s="42">
        <v>6.9800000000000001E-2</v>
      </c>
      <c r="AO84" s="39">
        <v>50</v>
      </c>
      <c r="AP84" s="39">
        <v>26</v>
      </c>
      <c r="AQ84" s="39">
        <v>50</v>
      </c>
      <c r="AR84" s="39">
        <v>859</v>
      </c>
      <c r="AS84" s="39">
        <v>-2</v>
      </c>
      <c r="AT84" s="39" t="s">
        <v>4625</v>
      </c>
      <c r="AU84" s="39">
        <v>20</v>
      </c>
      <c r="AV84" s="39" t="s">
        <v>4701</v>
      </c>
      <c r="AW84" s="39">
        <v>889.13</v>
      </c>
      <c r="AX84" s="39">
        <v>900.52</v>
      </c>
      <c r="AY84" s="39">
        <v>907.58</v>
      </c>
      <c r="AZ84" s="39">
        <v>870.68</v>
      </c>
      <c r="BA84" s="39">
        <v>863.62</v>
      </c>
      <c r="BB84" s="39">
        <v>852.23</v>
      </c>
      <c r="BC84" s="39">
        <v>5</v>
      </c>
      <c r="BD84" s="39">
        <v>5</v>
      </c>
      <c r="BE84" s="39">
        <v>5</v>
      </c>
      <c r="BF84" s="39" t="s">
        <v>130</v>
      </c>
      <c r="BG84" s="39">
        <v>318.7</v>
      </c>
      <c r="BH84" s="39">
        <v>0.4</v>
      </c>
      <c r="BI84" s="39" t="s">
        <v>4565</v>
      </c>
      <c r="BJ84" s="39" t="s">
        <v>4563</v>
      </c>
      <c r="BK84" t="s">
        <v>5531</v>
      </c>
      <c r="BL84" s="39" t="s">
        <v>4861</v>
      </c>
    </row>
    <row r="85" spans="1:64" x14ac:dyDescent="0.35">
      <c r="A85" s="39" t="s">
        <v>654</v>
      </c>
      <c r="B85" s="39" t="str">
        <f>IFERROR(INDEX(added_new_stocks!$F$6:$H$2156,MATCH(A85,added_new_stocks!$F$6:$F$2143,0),3),"")</f>
        <v>Mid</v>
      </c>
      <c r="C85" s="48">
        <v>2670.8</v>
      </c>
      <c r="D85" s="39">
        <v>78</v>
      </c>
      <c r="E85" s="39" t="s">
        <v>4987</v>
      </c>
      <c r="F85" s="39" t="s">
        <v>5361</v>
      </c>
      <c r="G85" s="39" t="s">
        <v>129</v>
      </c>
      <c r="H85" s="39" t="s">
        <v>5362</v>
      </c>
      <c r="I85" s="39" t="s">
        <v>4624</v>
      </c>
      <c r="J85" s="39" t="s">
        <v>5363</v>
      </c>
      <c r="K85" s="39" t="s">
        <v>4957</v>
      </c>
      <c r="L85" s="39" t="s">
        <v>5364</v>
      </c>
      <c r="M85" s="39" t="s">
        <v>4959</v>
      </c>
      <c r="N85" s="39">
        <v>20</v>
      </c>
      <c r="O85" s="39">
        <v>-12</v>
      </c>
      <c r="P85" s="39">
        <v>8</v>
      </c>
      <c r="Q85" s="39" t="s">
        <v>14</v>
      </c>
      <c r="R85" s="39">
        <v>2.9</v>
      </c>
      <c r="S85" s="39">
        <v>-0.3</v>
      </c>
      <c r="T85" s="39">
        <v>6.54</v>
      </c>
      <c r="U85" s="39">
        <v>32.6</v>
      </c>
      <c r="V85" s="39">
        <v>35.89</v>
      </c>
      <c r="W85" s="39">
        <v>37.43</v>
      </c>
      <c r="X85" s="39">
        <v>47.62</v>
      </c>
      <c r="Y85" s="39">
        <v>56.1</v>
      </c>
      <c r="Z85" s="39">
        <v>243.03</v>
      </c>
      <c r="AA85" s="39">
        <v>610.32000000000005</v>
      </c>
      <c r="AB85" s="39">
        <v>768.13</v>
      </c>
      <c r="AC85" s="39">
        <v>3167.03</v>
      </c>
      <c r="AD85" s="39" t="s">
        <v>4606</v>
      </c>
      <c r="AE85" s="39" t="s">
        <v>134</v>
      </c>
      <c r="AF85" s="39">
        <v>31</v>
      </c>
      <c r="AG85" s="42">
        <v>0.15570000000000001</v>
      </c>
      <c r="AH85" s="39">
        <v>162</v>
      </c>
      <c r="AI85" s="42">
        <v>9.5399999999999999E-2</v>
      </c>
      <c r="AJ85" s="39" t="s">
        <v>5365</v>
      </c>
      <c r="AK85" s="42">
        <v>0.53910000000000002</v>
      </c>
      <c r="AL85" s="39" t="s">
        <v>5366</v>
      </c>
      <c r="AM85" s="42">
        <v>3.3599999999999998E-2</v>
      </c>
      <c r="AN85" s="42">
        <v>0.15659999999999999</v>
      </c>
      <c r="AO85" s="39">
        <v>40</v>
      </c>
      <c r="AP85" s="39">
        <v>16</v>
      </c>
      <c r="AQ85" s="39">
        <v>61</v>
      </c>
      <c r="AR85" s="45">
        <v>2740</v>
      </c>
      <c r="AS85" s="39">
        <v>3</v>
      </c>
      <c r="AT85" s="39" t="s">
        <v>129</v>
      </c>
      <c r="AU85" s="39">
        <v>13</v>
      </c>
      <c r="AV85" s="39" t="s">
        <v>4702</v>
      </c>
      <c r="AW85" s="39">
        <v>2719.1</v>
      </c>
      <c r="AX85" s="39">
        <v>2770.05</v>
      </c>
      <c r="AY85" s="39">
        <v>2852.1</v>
      </c>
      <c r="AZ85" s="39">
        <v>2586.1</v>
      </c>
      <c r="BA85" s="39">
        <v>2504.0500000000002</v>
      </c>
      <c r="BB85" s="39">
        <v>2453.1</v>
      </c>
      <c r="BC85" s="39">
        <v>9</v>
      </c>
      <c r="BD85" s="39">
        <v>5</v>
      </c>
      <c r="BE85" s="39">
        <v>7</v>
      </c>
      <c r="BF85" s="39" t="s">
        <v>130</v>
      </c>
      <c r="BG85" s="39">
        <v>645.1</v>
      </c>
      <c r="BH85" s="39">
        <v>0.2</v>
      </c>
      <c r="BI85" s="39" t="s">
        <v>131</v>
      </c>
      <c r="BJ85" s="39" t="s">
        <v>132</v>
      </c>
      <c r="BK85" t="s">
        <v>5532</v>
      </c>
      <c r="BL85" s="39" t="s">
        <v>4862</v>
      </c>
    </row>
    <row r="86" spans="1:64" x14ac:dyDescent="0.35">
      <c r="A86" s="39" t="s">
        <v>329</v>
      </c>
      <c r="B86" s="39" t="str">
        <f>IFERROR(INDEX(added_new_stocks!$F$6:$H$2156,MATCH(A86,added_new_stocks!$F$6:$F$2143,0),3),"")</f>
        <v>Large</v>
      </c>
      <c r="C86" s="39">
        <v>640.75</v>
      </c>
      <c r="D86" s="39">
        <v>78</v>
      </c>
      <c r="G86" s="39" t="s">
        <v>129</v>
      </c>
      <c r="H86" s="39" t="s">
        <v>5367</v>
      </c>
      <c r="I86" s="39" t="s">
        <v>4624</v>
      </c>
      <c r="J86" s="39" t="s">
        <v>5368</v>
      </c>
      <c r="K86" s="39" t="s">
        <v>133</v>
      </c>
      <c r="L86" s="39" t="s">
        <v>5369</v>
      </c>
      <c r="M86" s="39" t="s">
        <v>5047</v>
      </c>
      <c r="N86" s="39">
        <v>11</v>
      </c>
      <c r="O86" s="39">
        <v>-4</v>
      </c>
      <c r="P86" s="39">
        <v>7</v>
      </c>
      <c r="Q86" s="39" t="s">
        <v>14</v>
      </c>
      <c r="R86" s="39">
        <v>-0.7</v>
      </c>
      <c r="S86" s="39">
        <v>-8.25</v>
      </c>
      <c r="T86" s="39">
        <v>1.05</v>
      </c>
      <c r="U86" s="39">
        <v>22.36</v>
      </c>
      <c r="V86" s="39">
        <v>8.6</v>
      </c>
      <c r="W86" s="39">
        <v>10.35</v>
      </c>
      <c r="X86" s="39">
        <v>53.45</v>
      </c>
      <c r="Y86" s="39">
        <v>56.99</v>
      </c>
      <c r="Z86" s="39">
        <v>184.97</v>
      </c>
      <c r="AA86" s="39">
        <v>517.89</v>
      </c>
      <c r="AB86" s="39">
        <v>222.63</v>
      </c>
      <c r="AC86" s="39">
        <v>200.68</v>
      </c>
      <c r="AD86" s="39" t="s">
        <v>4606</v>
      </c>
      <c r="AE86" s="39">
        <v>34.26</v>
      </c>
      <c r="AF86" s="39">
        <v>33</v>
      </c>
      <c r="AG86" s="42">
        <v>0.1152</v>
      </c>
      <c r="AH86" s="39">
        <v>453</v>
      </c>
      <c r="AI86" s="42">
        <v>0.12720000000000001</v>
      </c>
      <c r="AJ86" s="39" t="s">
        <v>5370</v>
      </c>
      <c r="AK86" s="42">
        <v>0.1847</v>
      </c>
      <c r="AL86" s="39" t="s">
        <v>5139</v>
      </c>
      <c r="AM86" s="42">
        <v>3.7999999999999999E-2</v>
      </c>
      <c r="AN86" s="42">
        <v>6.25E-2</v>
      </c>
      <c r="AO86" s="39">
        <v>50</v>
      </c>
      <c r="AP86" s="39">
        <v>52</v>
      </c>
      <c r="AQ86" s="39">
        <v>58</v>
      </c>
      <c r="AR86" s="39">
        <v>723</v>
      </c>
      <c r="AS86" s="39">
        <v>13</v>
      </c>
      <c r="AT86" s="39" t="s">
        <v>4562</v>
      </c>
      <c r="AU86" s="39">
        <v>22</v>
      </c>
      <c r="AV86" s="39" t="s">
        <v>4703</v>
      </c>
      <c r="AW86" s="39">
        <v>646.29999999999995</v>
      </c>
      <c r="AX86" s="39">
        <v>651.54999999999995</v>
      </c>
      <c r="AY86" s="39">
        <v>656</v>
      </c>
      <c r="AZ86" s="39">
        <v>636.6</v>
      </c>
      <c r="BA86" s="39">
        <v>632.15</v>
      </c>
      <c r="BB86" s="39">
        <v>626.9</v>
      </c>
      <c r="BC86" s="39">
        <v>6</v>
      </c>
      <c r="BD86" s="39">
        <v>7</v>
      </c>
      <c r="BE86" s="39">
        <v>3</v>
      </c>
      <c r="BF86" s="39" t="s">
        <v>130</v>
      </c>
      <c r="BG86" s="39">
        <v>495.6</v>
      </c>
      <c r="BH86" s="39">
        <v>0.8</v>
      </c>
      <c r="BI86" s="39" t="s">
        <v>4565</v>
      </c>
      <c r="BJ86" s="39" t="s">
        <v>4563</v>
      </c>
      <c r="BK86" t="s">
        <v>5533</v>
      </c>
      <c r="BL86" s="39" t="s">
        <v>4863</v>
      </c>
    </row>
    <row r="87" spans="1:64" x14ac:dyDescent="0.35">
      <c r="A87" s="39" t="s">
        <v>541</v>
      </c>
      <c r="B87" s="39" t="str">
        <f>IFERROR(INDEX(added_new_stocks!$F$6:$H$2156,MATCH(A87,added_new_stocks!$F$6:$F$2143,0),3),"")</f>
        <v>Large</v>
      </c>
      <c r="C87" s="48">
        <v>3076.95</v>
      </c>
      <c r="D87" s="39">
        <v>44</v>
      </c>
      <c r="G87" s="39" t="s">
        <v>4625</v>
      </c>
      <c r="H87" s="39" t="s">
        <v>5371</v>
      </c>
      <c r="I87" s="39" t="s">
        <v>4989</v>
      </c>
      <c r="J87" s="39" t="s">
        <v>5372</v>
      </c>
      <c r="K87" s="39" t="s">
        <v>4615</v>
      </c>
      <c r="L87" s="39" t="s">
        <v>5373</v>
      </c>
      <c r="M87" s="39" t="s">
        <v>4620</v>
      </c>
      <c r="N87" s="39">
        <v>4</v>
      </c>
      <c r="O87" s="39">
        <v>-20</v>
      </c>
      <c r="P87" s="39">
        <v>-16</v>
      </c>
      <c r="Q87" s="39" t="s">
        <v>4605</v>
      </c>
      <c r="R87" s="39">
        <v>0.84</v>
      </c>
      <c r="S87" s="39">
        <v>-5.39</v>
      </c>
      <c r="T87" s="39">
        <v>-6.62</v>
      </c>
      <c r="U87" s="39">
        <v>1.98</v>
      </c>
      <c r="V87" s="39">
        <v>8.32</v>
      </c>
      <c r="W87" s="39">
        <v>5.35</v>
      </c>
      <c r="X87" s="39">
        <v>12.3</v>
      </c>
      <c r="Y87" s="39">
        <v>-2.69</v>
      </c>
      <c r="Z87" s="39">
        <v>104.14</v>
      </c>
      <c r="AA87" s="39">
        <v>203.51</v>
      </c>
      <c r="AB87" s="39">
        <v>291.37</v>
      </c>
      <c r="AC87" s="39">
        <v>1693.09</v>
      </c>
      <c r="AD87" s="39" t="s">
        <v>4606</v>
      </c>
      <c r="AE87" s="39" t="s">
        <v>134</v>
      </c>
      <c r="AF87" s="39">
        <v>29</v>
      </c>
      <c r="AG87" s="42">
        <v>0.21890000000000001</v>
      </c>
      <c r="AH87" s="39">
        <v>144</v>
      </c>
      <c r="AI87" s="42">
        <v>0.15479999999999999</v>
      </c>
      <c r="AJ87" s="39" t="s">
        <v>5374</v>
      </c>
      <c r="AK87" s="42">
        <v>0.40189999999999998</v>
      </c>
      <c r="AL87" s="39" t="s">
        <v>5375</v>
      </c>
      <c r="AM87" s="42">
        <v>5.0099999999999999E-2</v>
      </c>
      <c r="AN87" s="42">
        <v>3.32E-2</v>
      </c>
      <c r="AO87" s="39">
        <v>55</v>
      </c>
      <c r="AP87" s="39">
        <v>25</v>
      </c>
      <c r="AQ87" s="39">
        <v>49</v>
      </c>
      <c r="AR87" s="45">
        <v>3345</v>
      </c>
      <c r="AS87" s="39">
        <v>9</v>
      </c>
      <c r="AT87" s="39" t="s">
        <v>4562</v>
      </c>
      <c r="AU87" s="39">
        <v>22</v>
      </c>
      <c r="AV87" s="39" t="s">
        <v>4704</v>
      </c>
      <c r="AW87" s="39">
        <v>3098.88</v>
      </c>
      <c r="AX87" s="39">
        <v>3120.82</v>
      </c>
      <c r="AY87" s="39">
        <v>3155.13</v>
      </c>
      <c r="AZ87" s="39">
        <v>3042.63</v>
      </c>
      <c r="BA87" s="39">
        <v>3008.32</v>
      </c>
      <c r="BB87" s="39">
        <v>2986.38</v>
      </c>
      <c r="BC87" s="39">
        <v>5</v>
      </c>
      <c r="BD87" s="39">
        <v>7</v>
      </c>
      <c r="BE87" s="39">
        <v>4</v>
      </c>
      <c r="BF87" s="39" t="s">
        <v>130</v>
      </c>
      <c r="BG87" s="39">
        <v>813.5</v>
      </c>
      <c r="BH87" s="39">
        <v>0.3</v>
      </c>
      <c r="BI87" s="39" t="s">
        <v>4563</v>
      </c>
      <c r="BJ87" s="39" t="s">
        <v>132</v>
      </c>
      <c r="BK87" t="s">
        <v>5534</v>
      </c>
      <c r="BL87" s="39" t="s">
        <v>4864</v>
      </c>
    </row>
    <row r="88" spans="1:64" x14ac:dyDescent="0.35">
      <c r="A88" s="39" t="s">
        <v>1001</v>
      </c>
      <c r="B88" s="39" t="str">
        <f>IFERROR(INDEX(added_new_stocks!$F$6:$H$2156,MATCH(A88,added_new_stocks!$F$6:$F$2143,0),3),"")</f>
        <v>Mid</v>
      </c>
      <c r="C88" s="39">
        <v>81.63</v>
      </c>
      <c r="D88" s="39">
        <v>60</v>
      </c>
      <c r="G88" s="39" t="s">
        <v>4562</v>
      </c>
      <c r="H88" s="39" t="s">
        <v>5376</v>
      </c>
      <c r="I88" s="39" t="s">
        <v>4624</v>
      </c>
      <c r="J88" s="39" t="s">
        <v>5377</v>
      </c>
      <c r="K88" s="39" t="s">
        <v>4615</v>
      </c>
      <c r="L88" s="39" t="s">
        <v>5378</v>
      </c>
      <c r="M88" s="39" t="s">
        <v>4620</v>
      </c>
      <c r="N88" s="39">
        <v>3</v>
      </c>
      <c r="O88" s="39">
        <v>-6</v>
      </c>
      <c r="P88" s="39">
        <v>-3</v>
      </c>
      <c r="Q88" s="39" t="s">
        <v>4611</v>
      </c>
      <c r="R88" s="39">
        <v>4.3099999999999996</v>
      </c>
      <c r="S88" s="39">
        <v>8.59</v>
      </c>
      <c r="T88" s="39">
        <v>8.9700000000000006</v>
      </c>
      <c r="U88" s="39">
        <v>23.51</v>
      </c>
      <c r="V88" s="39">
        <v>27.15</v>
      </c>
      <c r="W88" s="39">
        <v>13.93</v>
      </c>
      <c r="X88" s="39">
        <v>22.29</v>
      </c>
      <c r="Y88" s="39">
        <v>-11.46</v>
      </c>
      <c r="Z88" s="39">
        <v>-1.17</v>
      </c>
      <c r="AA88" s="39">
        <v>11.14</v>
      </c>
      <c r="AB88" s="39">
        <v>-36.15</v>
      </c>
      <c r="AC88" s="39">
        <v>314.37</v>
      </c>
      <c r="AD88" s="39" t="s">
        <v>4606</v>
      </c>
      <c r="AE88" s="39" t="s">
        <v>134</v>
      </c>
      <c r="AF88" s="39">
        <v>9</v>
      </c>
      <c r="AG88" s="42">
        <v>7.46E-2</v>
      </c>
      <c r="AH88" s="39">
        <v>111</v>
      </c>
      <c r="AI88" s="42">
        <v>0.2072</v>
      </c>
      <c r="AJ88" s="39" t="s">
        <v>5379</v>
      </c>
      <c r="AK88" s="42">
        <v>0.2389</v>
      </c>
      <c r="AL88" s="39" t="s">
        <v>5380</v>
      </c>
      <c r="AM88" s="39" t="s">
        <v>5381</v>
      </c>
      <c r="AN88" s="42">
        <v>0.1169</v>
      </c>
      <c r="AO88" s="39">
        <v>25</v>
      </c>
      <c r="AP88" s="39">
        <v>48</v>
      </c>
      <c r="AQ88" s="39">
        <v>65</v>
      </c>
      <c r="AR88" s="39">
        <v>109</v>
      </c>
      <c r="AS88" s="39">
        <v>34</v>
      </c>
      <c r="AT88" s="39" t="s">
        <v>4633</v>
      </c>
      <c r="AU88" s="39">
        <v>1</v>
      </c>
      <c r="AV88" s="39" t="s">
        <v>4705</v>
      </c>
      <c r="AW88" s="39">
        <v>84.1</v>
      </c>
      <c r="AX88" s="39">
        <v>86.65</v>
      </c>
      <c r="AY88" s="39">
        <v>89.4</v>
      </c>
      <c r="AZ88" s="39">
        <v>78.8</v>
      </c>
      <c r="BA88" s="39">
        <v>76.05</v>
      </c>
      <c r="BB88" s="39">
        <v>73.5</v>
      </c>
      <c r="BC88" s="39">
        <v>8</v>
      </c>
      <c r="BD88" s="39">
        <v>4</v>
      </c>
      <c r="BE88" s="39">
        <v>8</v>
      </c>
      <c r="BF88" s="39" t="s">
        <v>130</v>
      </c>
      <c r="BG88" s="39">
        <v>128.4</v>
      </c>
      <c r="BH88" s="39">
        <v>1.6</v>
      </c>
      <c r="BI88" s="39" t="s">
        <v>132</v>
      </c>
      <c r="BJ88" s="39" t="s">
        <v>4563</v>
      </c>
      <c r="BK88" t="s">
        <v>5535</v>
      </c>
      <c r="BL88" s="39" t="s">
        <v>4865</v>
      </c>
    </row>
    <row r="89" spans="1:64" x14ac:dyDescent="0.35">
      <c r="A89" s="39" t="s">
        <v>1064</v>
      </c>
      <c r="B89" s="39" t="str">
        <f>IFERROR(INDEX(added_new_stocks!$F$6:$H$2156,MATCH(A89,added_new_stocks!$F$6:$F$2143,0),3),"")</f>
        <v>Mid</v>
      </c>
      <c r="C89" s="39">
        <v>764.05</v>
      </c>
      <c r="D89" s="39">
        <v>64</v>
      </c>
      <c r="G89" s="39" t="s">
        <v>4562</v>
      </c>
      <c r="H89" s="39" t="s">
        <v>5382</v>
      </c>
      <c r="I89" s="39" t="s">
        <v>4989</v>
      </c>
      <c r="J89" s="39" t="s">
        <v>5383</v>
      </c>
      <c r="K89" s="39" t="s">
        <v>4615</v>
      </c>
      <c r="L89" s="39" t="s">
        <v>5384</v>
      </c>
      <c r="M89" s="39" t="s">
        <v>4620</v>
      </c>
      <c r="N89" s="39">
        <v>30</v>
      </c>
      <c r="O89" s="39">
        <v>-2</v>
      </c>
      <c r="P89" s="39">
        <v>28</v>
      </c>
      <c r="Q89" s="39" t="s">
        <v>5060</v>
      </c>
      <c r="R89" s="39">
        <v>-0.31</v>
      </c>
      <c r="S89" s="39">
        <v>-0.78</v>
      </c>
      <c r="T89" s="39">
        <v>-3.97</v>
      </c>
      <c r="U89" s="39">
        <v>9.4499999999999993</v>
      </c>
      <c r="V89" s="39">
        <v>20.47</v>
      </c>
      <c r="W89" s="39">
        <v>27.14</v>
      </c>
      <c r="X89" s="39">
        <v>28.43</v>
      </c>
      <c r="Y89" s="39">
        <v>-20.58</v>
      </c>
      <c r="Z89" s="39">
        <v>89.61</v>
      </c>
      <c r="AA89" s="39">
        <v>12.67</v>
      </c>
      <c r="AB89" s="39">
        <v>33.369999999999997</v>
      </c>
      <c r="AC89" s="39">
        <v>15.58</v>
      </c>
      <c r="AD89" s="39" t="s">
        <v>4606</v>
      </c>
      <c r="AE89" s="39">
        <v>14.07</v>
      </c>
      <c r="AF89" s="39">
        <v>8</v>
      </c>
      <c r="AG89" s="42">
        <v>7.2700000000000001E-2</v>
      </c>
      <c r="AH89" s="39">
        <v>92</v>
      </c>
      <c r="AI89" s="42">
        <v>5.33E-2</v>
      </c>
      <c r="AJ89" s="39" t="s">
        <v>5385</v>
      </c>
      <c r="AK89" s="42">
        <v>0.64380000000000004</v>
      </c>
      <c r="AL89" s="39" t="s">
        <v>4968</v>
      </c>
      <c r="AM89" s="42">
        <v>2.93E-2</v>
      </c>
      <c r="AN89" s="42">
        <v>8.6900000000000005E-2</v>
      </c>
      <c r="AO89" s="39">
        <v>50</v>
      </c>
      <c r="AP89" s="39">
        <v>46</v>
      </c>
      <c r="AQ89" s="39">
        <v>59</v>
      </c>
      <c r="AR89" s="39">
        <v>856</v>
      </c>
      <c r="AS89" s="39">
        <v>12</v>
      </c>
      <c r="AT89" s="39" t="s">
        <v>4562</v>
      </c>
      <c r="AU89" s="39">
        <v>9</v>
      </c>
      <c r="AV89" s="39" t="s">
        <v>4706</v>
      </c>
      <c r="AW89" s="39">
        <v>772.5</v>
      </c>
      <c r="AX89" s="39">
        <v>781.05</v>
      </c>
      <c r="AY89" s="39">
        <v>787.35</v>
      </c>
      <c r="AZ89" s="39">
        <v>757.65</v>
      </c>
      <c r="BA89" s="39">
        <v>751.35</v>
      </c>
      <c r="BB89" s="39">
        <v>742.8</v>
      </c>
      <c r="BC89" s="39">
        <v>8</v>
      </c>
      <c r="BD89" s="39">
        <v>4</v>
      </c>
      <c r="BE89" s="39">
        <v>3</v>
      </c>
      <c r="BF89" s="39" t="s">
        <v>130</v>
      </c>
      <c r="BG89" s="39">
        <v>579.70000000000005</v>
      </c>
      <c r="BH89" s="39">
        <v>0.8</v>
      </c>
      <c r="BI89" s="39" t="s">
        <v>131</v>
      </c>
      <c r="BJ89" s="39" t="s">
        <v>4563</v>
      </c>
      <c r="BK89" t="s">
        <v>5536</v>
      </c>
      <c r="BL89" s="39" t="s">
        <v>4866</v>
      </c>
    </row>
    <row r="90" spans="1:64" x14ac:dyDescent="0.35">
      <c r="A90" s="39" t="s">
        <v>924</v>
      </c>
      <c r="B90" s="39" t="str">
        <f>IFERROR(INDEX(added_new_stocks!$F$6:$H$2156,MATCH(A90,added_new_stocks!$F$6:$F$2143,0),3),"")</f>
        <v>Mid</v>
      </c>
      <c r="C90" s="39">
        <v>336.65</v>
      </c>
      <c r="D90" s="39">
        <v>81</v>
      </c>
      <c r="G90" s="39" t="s">
        <v>4633</v>
      </c>
      <c r="H90" s="39" t="s">
        <v>5386</v>
      </c>
      <c r="I90" s="39" t="s">
        <v>4624</v>
      </c>
      <c r="J90" s="39" t="s">
        <v>5387</v>
      </c>
      <c r="K90" s="39" t="s">
        <v>133</v>
      </c>
      <c r="L90" s="39" t="s">
        <v>5388</v>
      </c>
      <c r="M90" s="39" t="s">
        <v>135</v>
      </c>
      <c r="N90" s="39">
        <v>25</v>
      </c>
      <c r="O90" s="39">
        <v>-2</v>
      </c>
      <c r="P90" s="39">
        <v>23</v>
      </c>
      <c r="Q90" s="39" t="s">
        <v>5060</v>
      </c>
      <c r="R90" s="39">
        <v>4.5999999999999996</v>
      </c>
      <c r="S90" s="39">
        <v>5.95</v>
      </c>
      <c r="T90" s="39">
        <v>42.83</v>
      </c>
      <c r="U90" s="39">
        <v>61.81</v>
      </c>
      <c r="V90" s="39">
        <v>66.819999999999993</v>
      </c>
      <c r="W90" s="39">
        <v>64.42</v>
      </c>
      <c r="X90" s="39">
        <v>87.08</v>
      </c>
      <c r="Y90" s="39">
        <v>103.6</v>
      </c>
      <c r="Z90" s="39">
        <v>129.94999999999999</v>
      </c>
      <c r="AA90" s="39">
        <v>118.67</v>
      </c>
      <c r="AB90" s="39">
        <v>53.69</v>
      </c>
      <c r="AC90" s="39">
        <v>310.17</v>
      </c>
      <c r="AD90" s="39" t="s">
        <v>4606</v>
      </c>
      <c r="AE90" s="39" t="s">
        <v>134</v>
      </c>
      <c r="AF90" s="39">
        <v>16</v>
      </c>
      <c r="AG90" s="42">
        <v>0.1273</v>
      </c>
      <c r="AH90" s="39">
        <v>133</v>
      </c>
      <c r="AI90" s="42">
        <v>0.13969999999999999</v>
      </c>
      <c r="AJ90" s="39" t="s">
        <v>5389</v>
      </c>
      <c r="AK90" s="42">
        <v>0.39119999999999999</v>
      </c>
      <c r="AL90" s="39" t="s">
        <v>5390</v>
      </c>
      <c r="AM90" s="42">
        <v>6.4500000000000002E-2</v>
      </c>
      <c r="AN90" s="42">
        <v>6.6100000000000006E-2</v>
      </c>
      <c r="AO90" s="39">
        <v>90</v>
      </c>
      <c r="AP90" s="39">
        <v>24</v>
      </c>
      <c r="AQ90" s="39">
        <v>65</v>
      </c>
      <c r="AR90" s="39">
        <v>296</v>
      </c>
      <c r="AS90" s="39">
        <v>-12</v>
      </c>
      <c r="AT90" s="39" t="s">
        <v>129</v>
      </c>
      <c r="AU90" s="39">
        <v>11</v>
      </c>
      <c r="AV90" s="39" t="s">
        <v>4707</v>
      </c>
      <c r="AW90" s="39">
        <v>346.03</v>
      </c>
      <c r="AX90" s="39">
        <v>356.02</v>
      </c>
      <c r="AY90" s="39">
        <v>371.03</v>
      </c>
      <c r="AZ90" s="39">
        <v>321.02999999999997</v>
      </c>
      <c r="BA90" s="39">
        <v>306.02</v>
      </c>
      <c r="BB90" s="39">
        <v>296.02999999999997</v>
      </c>
      <c r="BC90" s="39">
        <v>14</v>
      </c>
      <c r="BD90" s="39">
        <v>2</v>
      </c>
      <c r="BE90" s="39">
        <v>7</v>
      </c>
      <c r="BF90" s="39" t="s">
        <v>130</v>
      </c>
      <c r="BG90" s="39">
        <v>86.2</v>
      </c>
      <c r="BH90" s="39">
        <v>0.3</v>
      </c>
      <c r="BI90" s="39" t="s">
        <v>4563</v>
      </c>
      <c r="BJ90" s="39" t="s">
        <v>4563</v>
      </c>
      <c r="BK90" t="s">
        <v>5537</v>
      </c>
      <c r="BL90" s="39" t="s">
        <v>4867</v>
      </c>
    </row>
    <row r="91" spans="1:64" x14ac:dyDescent="0.35">
      <c r="A91" s="39" t="s">
        <v>621</v>
      </c>
      <c r="B91" s="39" t="str">
        <f>IFERROR(INDEX(added_new_stocks!$F$6:$H$2156,MATCH(A91,added_new_stocks!$F$6:$F$2143,0),3),"")</f>
        <v>Mid</v>
      </c>
      <c r="C91" s="48">
        <v>1462.75</v>
      </c>
      <c r="D91" s="39">
        <v>65</v>
      </c>
      <c r="G91" s="39" t="s">
        <v>4562</v>
      </c>
      <c r="H91" s="39" t="s">
        <v>5391</v>
      </c>
      <c r="I91" s="39" t="s">
        <v>4624</v>
      </c>
      <c r="J91" s="39" t="s">
        <v>5392</v>
      </c>
      <c r="K91" s="39" t="s">
        <v>133</v>
      </c>
      <c r="L91" s="39" t="s">
        <v>5393</v>
      </c>
      <c r="M91" s="39" t="s">
        <v>4959</v>
      </c>
      <c r="N91" s="39">
        <v>0</v>
      </c>
      <c r="O91" s="39">
        <v>-2</v>
      </c>
      <c r="P91" s="39">
        <v>-2</v>
      </c>
      <c r="Q91" s="39" t="s">
        <v>4611</v>
      </c>
      <c r="R91" s="39">
        <v>-1.29</v>
      </c>
      <c r="S91" s="39">
        <v>0.94</v>
      </c>
      <c r="T91" s="39">
        <v>7.74</v>
      </c>
      <c r="U91" s="39">
        <v>25.54</v>
      </c>
      <c r="V91" s="39">
        <v>36.96</v>
      </c>
      <c r="W91" s="39">
        <v>26.38</v>
      </c>
      <c r="X91" s="39">
        <v>24.72</v>
      </c>
      <c r="Y91" s="39">
        <v>32.43</v>
      </c>
      <c r="Z91" s="39">
        <v>247.36</v>
      </c>
      <c r="AA91" s="39">
        <v>203.79</v>
      </c>
      <c r="AB91" s="39">
        <v>255.34</v>
      </c>
      <c r="AC91" s="39">
        <v>1212.77</v>
      </c>
      <c r="AD91" s="39" t="s">
        <v>4606</v>
      </c>
      <c r="AE91" s="39" t="s">
        <v>134</v>
      </c>
      <c r="AF91" s="39">
        <v>31</v>
      </c>
      <c r="AG91" s="42">
        <v>0.23100000000000001</v>
      </c>
      <c r="AH91" s="39">
        <v>190</v>
      </c>
      <c r="AI91" s="42">
        <v>0.17960000000000001</v>
      </c>
      <c r="AJ91" s="39" t="s">
        <v>5394</v>
      </c>
      <c r="AK91" s="39" t="s">
        <v>5395</v>
      </c>
      <c r="AL91" s="39" t="s">
        <v>5396</v>
      </c>
      <c r="AM91" s="42">
        <v>5.4100000000000002E-2</v>
      </c>
      <c r="AN91" s="42">
        <v>7.6600000000000001E-2</v>
      </c>
      <c r="AO91" s="39">
        <v>55</v>
      </c>
      <c r="AP91" s="39">
        <v>14</v>
      </c>
      <c r="AQ91" s="39">
        <v>59</v>
      </c>
      <c r="AR91" s="45">
        <v>1476</v>
      </c>
      <c r="AS91" s="39">
        <v>1</v>
      </c>
      <c r="AT91" s="39" t="s">
        <v>129</v>
      </c>
      <c r="AU91" s="39">
        <v>27</v>
      </c>
      <c r="AV91" s="39" t="s">
        <v>4708</v>
      </c>
      <c r="AW91" s="39">
        <v>1506.7</v>
      </c>
      <c r="AX91" s="39">
        <v>1551.45</v>
      </c>
      <c r="AY91" s="39">
        <v>1579.1</v>
      </c>
      <c r="AZ91" s="39">
        <v>1434.3</v>
      </c>
      <c r="BA91" s="39">
        <v>1406.65</v>
      </c>
      <c r="BB91" s="39">
        <v>1361.9</v>
      </c>
      <c r="BC91" s="39">
        <v>6</v>
      </c>
      <c r="BD91" s="39">
        <v>4</v>
      </c>
      <c r="BE91" s="39">
        <v>5</v>
      </c>
      <c r="BF91" s="39" t="s">
        <v>130</v>
      </c>
      <c r="BG91" s="39">
        <v>277</v>
      </c>
      <c r="BH91" s="39">
        <v>0.2</v>
      </c>
      <c r="BI91" s="39" t="s">
        <v>4565</v>
      </c>
      <c r="BJ91" s="39" t="s">
        <v>132</v>
      </c>
      <c r="BK91" t="s">
        <v>5538</v>
      </c>
      <c r="BL91" s="39" t="s">
        <v>4868</v>
      </c>
    </row>
    <row r="92" spans="1:64" x14ac:dyDescent="0.35">
      <c r="A92" s="39" t="s">
        <v>838</v>
      </c>
      <c r="B92" s="39" t="str">
        <f>IFERROR(INDEX(added_new_stocks!$F$6:$H$2156,MATCH(A92,added_new_stocks!$F$6:$F$2143,0),3),"")</f>
        <v>Mid</v>
      </c>
      <c r="C92" s="39">
        <v>636.9</v>
      </c>
      <c r="D92" s="39">
        <v>65</v>
      </c>
      <c r="G92" s="39" t="s">
        <v>4562</v>
      </c>
      <c r="H92" s="39" t="s">
        <v>5397</v>
      </c>
      <c r="I92" s="39" t="s">
        <v>4624</v>
      </c>
      <c r="J92" s="39" t="s">
        <v>5398</v>
      </c>
      <c r="K92" s="39" t="s">
        <v>4615</v>
      </c>
      <c r="L92" s="39" t="s">
        <v>5399</v>
      </c>
      <c r="M92" s="39" t="s">
        <v>5047</v>
      </c>
      <c r="N92" s="39">
        <v>8</v>
      </c>
      <c r="O92" s="39">
        <v>-5</v>
      </c>
      <c r="P92" s="39">
        <v>3</v>
      </c>
      <c r="Q92" s="39" t="s">
        <v>4611</v>
      </c>
      <c r="R92" s="39">
        <v>0.46</v>
      </c>
      <c r="S92" s="39">
        <v>-0.48</v>
      </c>
      <c r="T92" s="39">
        <v>13.25</v>
      </c>
      <c r="U92" s="39">
        <v>21.58</v>
      </c>
      <c r="V92" s="39">
        <v>24.06</v>
      </c>
      <c r="W92" s="39">
        <v>13.98</v>
      </c>
      <c r="X92" s="39">
        <v>71.260000000000005</v>
      </c>
      <c r="Y92" s="39">
        <v>56.18</v>
      </c>
      <c r="Z92" s="39">
        <v>153.04</v>
      </c>
      <c r="AA92" s="39">
        <v>30.22</v>
      </c>
      <c r="AB92" s="39">
        <v>74.92</v>
      </c>
      <c r="AC92" s="39">
        <v>946.67</v>
      </c>
      <c r="AD92" s="39" t="s">
        <v>4606</v>
      </c>
      <c r="AE92" s="39">
        <v>46.96</v>
      </c>
      <c r="AF92" s="39">
        <v>14</v>
      </c>
      <c r="AG92" s="42">
        <v>0.39019999999999999</v>
      </c>
      <c r="AH92" s="39">
        <v>134</v>
      </c>
      <c r="AI92" s="42">
        <v>8.1600000000000006E-2</v>
      </c>
      <c r="AJ92" s="39" t="s">
        <v>5400</v>
      </c>
      <c r="AK92" s="42">
        <v>0.14369999999999999</v>
      </c>
      <c r="AL92" s="39" t="s">
        <v>5401</v>
      </c>
      <c r="AM92" s="42">
        <v>9.8299999999999998E-2</v>
      </c>
      <c r="AN92" s="42">
        <v>6.4600000000000005E-2</v>
      </c>
      <c r="AR92" s="45"/>
      <c r="BK92" t="s">
        <v>5539</v>
      </c>
      <c r="BL92" s="39"/>
    </row>
    <row r="93" spans="1:64" x14ac:dyDescent="0.35">
      <c r="A93" s="39" t="s">
        <v>1010</v>
      </c>
      <c r="B93" s="39" t="str">
        <f>IFERROR(INDEX(added_new_stocks!$F$6:$H$2156,MATCH(A93,added_new_stocks!$F$6:$F$2143,0),3),"")</f>
        <v>Mid</v>
      </c>
      <c r="C93" s="48">
        <v>1747.65</v>
      </c>
      <c r="D93" s="39">
        <v>64</v>
      </c>
      <c r="G93" s="39" t="s">
        <v>4562</v>
      </c>
      <c r="H93" s="39" t="s">
        <v>5402</v>
      </c>
      <c r="I93" s="39" t="s">
        <v>4989</v>
      </c>
      <c r="J93" s="39" t="s">
        <v>5403</v>
      </c>
      <c r="K93" s="39" t="s">
        <v>133</v>
      </c>
      <c r="L93" s="39" t="s">
        <v>4998</v>
      </c>
      <c r="M93" s="39" t="s">
        <v>4959</v>
      </c>
      <c r="N93" s="39">
        <v>16</v>
      </c>
      <c r="O93" s="39">
        <v>-7</v>
      </c>
      <c r="P93" s="39">
        <v>9</v>
      </c>
      <c r="Q93" s="39" t="s">
        <v>14</v>
      </c>
      <c r="R93" s="39">
        <v>-0.03</v>
      </c>
      <c r="S93" s="39">
        <v>1.01</v>
      </c>
      <c r="T93" s="39">
        <v>-1.39</v>
      </c>
      <c r="U93" s="39">
        <v>53.36</v>
      </c>
      <c r="V93" s="39">
        <v>100.94</v>
      </c>
      <c r="W93" s="39">
        <v>132.71</v>
      </c>
      <c r="X93" s="39" t="s">
        <v>4538</v>
      </c>
      <c r="Y93" s="39" t="s">
        <v>4538</v>
      </c>
      <c r="Z93" s="39" t="s">
        <v>4538</v>
      </c>
      <c r="AA93" s="39" t="s">
        <v>4538</v>
      </c>
      <c r="AB93" s="39" t="s">
        <v>4538</v>
      </c>
      <c r="AC93" s="39" t="s">
        <v>4538</v>
      </c>
      <c r="AD93" s="39" t="s">
        <v>4606</v>
      </c>
      <c r="AE93" s="39" t="s">
        <v>134</v>
      </c>
      <c r="AF93" s="39">
        <v>11</v>
      </c>
      <c r="AG93" s="42">
        <v>9.0899999999999995E-2</v>
      </c>
      <c r="AH93" s="39">
        <v>54</v>
      </c>
      <c r="AI93" s="42">
        <v>7.9600000000000004E-2</v>
      </c>
      <c r="AJ93" s="39" t="s">
        <v>5404</v>
      </c>
      <c r="AK93" s="42">
        <v>0.63539999999999996</v>
      </c>
      <c r="AL93" s="39" t="s">
        <v>5405</v>
      </c>
      <c r="AM93" s="42">
        <v>3.09E-2</v>
      </c>
      <c r="AN93" s="42">
        <v>6.9400000000000003E-2</v>
      </c>
      <c r="AO93" s="39">
        <v>60</v>
      </c>
      <c r="AP93" s="39">
        <v>9</v>
      </c>
      <c r="AQ93" s="39">
        <v>48</v>
      </c>
      <c r="AR93" s="45">
        <v>2103</v>
      </c>
      <c r="AS93" s="39">
        <v>20</v>
      </c>
      <c r="AT93" s="39" t="s">
        <v>129</v>
      </c>
      <c r="AU93" s="39">
        <v>4</v>
      </c>
      <c r="AV93" s="39" t="s">
        <v>4709</v>
      </c>
      <c r="AW93" s="39">
        <v>1777.32</v>
      </c>
      <c r="AX93" s="39">
        <v>1806.28</v>
      </c>
      <c r="AY93" s="39">
        <v>1827.62</v>
      </c>
      <c r="AZ93" s="39">
        <v>1727.02</v>
      </c>
      <c r="BA93" s="39">
        <v>1705.68</v>
      </c>
      <c r="BB93" s="39">
        <v>1676.72</v>
      </c>
      <c r="BC93" s="39">
        <v>4</v>
      </c>
      <c r="BD93" s="39" t="s">
        <v>130</v>
      </c>
      <c r="BE93" s="39">
        <v>0.46</v>
      </c>
      <c r="BF93" s="39">
        <v>1.06</v>
      </c>
      <c r="BG93" s="39">
        <v>1</v>
      </c>
      <c r="BH93" s="39">
        <v>7</v>
      </c>
      <c r="BI93" s="39" t="s">
        <v>132</v>
      </c>
      <c r="BJ93" s="39" t="s">
        <v>4563</v>
      </c>
      <c r="BK93" t="s">
        <v>5540</v>
      </c>
      <c r="BL93" t="s">
        <v>4869</v>
      </c>
    </row>
    <row r="94" spans="1:64" x14ac:dyDescent="0.35">
      <c r="A94" s="39" t="s">
        <v>728</v>
      </c>
      <c r="B94" s="39" t="str">
        <f>IFERROR(INDEX(added_new_stocks!$F$6:$H$2156,MATCH(A94,added_new_stocks!$F$6:$F$2143,0),3),"")</f>
        <v>Mid</v>
      </c>
      <c r="C94" s="39">
        <v>623.95000000000005</v>
      </c>
      <c r="D94" s="39">
        <v>62</v>
      </c>
      <c r="G94" s="39" t="s">
        <v>4562</v>
      </c>
      <c r="H94" s="39" t="s">
        <v>5406</v>
      </c>
      <c r="I94" s="39" t="s">
        <v>4624</v>
      </c>
      <c r="J94" s="39" t="s">
        <v>5407</v>
      </c>
      <c r="K94" s="39" t="s">
        <v>4615</v>
      </c>
      <c r="L94" s="39" t="s">
        <v>5408</v>
      </c>
      <c r="M94" s="39" t="s">
        <v>135</v>
      </c>
      <c r="N94" s="39">
        <v>9</v>
      </c>
      <c r="O94" s="39">
        <v>-7</v>
      </c>
      <c r="P94" s="39">
        <v>2</v>
      </c>
      <c r="Q94" s="39" t="s">
        <v>4611</v>
      </c>
      <c r="R94" s="39">
        <v>-2.2599999999999998</v>
      </c>
      <c r="S94" s="39">
        <v>0.39</v>
      </c>
      <c r="T94" s="39">
        <v>4.04</v>
      </c>
      <c r="U94" s="39">
        <v>29.71</v>
      </c>
      <c r="V94" s="39">
        <v>31.3</v>
      </c>
      <c r="W94" s="39">
        <v>26.13</v>
      </c>
      <c r="X94" s="39">
        <v>53.91</v>
      </c>
      <c r="Y94" s="39">
        <v>55.39</v>
      </c>
      <c r="Z94" s="39">
        <v>99.63</v>
      </c>
      <c r="AA94" s="39">
        <v>115.68</v>
      </c>
      <c r="AB94" s="39">
        <v>112.41</v>
      </c>
      <c r="AC94" s="39">
        <v>2410.87</v>
      </c>
      <c r="AD94" s="39" t="s">
        <v>4606</v>
      </c>
      <c r="AE94" s="39" t="s">
        <v>134</v>
      </c>
      <c r="AF94" s="39">
        <v>17</v>
      </c>
      <c r="AG94" s="42">
        <v>0.2472</v>
      </c>
      <c r="AH94" s="39">
        <v>142</v>
      </c>
      <c r="AI94" s="42">
        <v>0.1158</v>
      </c>
      <c r="AJ94" s="39" t="s">
        <v>5409</v>
      </c>
      <c r="AK94" s="42">
        <v>0.2636</v>
      </c>
      <c r="AL94" s="39" t="s">
        <v>5410</v>
      </c>
      <c r="AM94" s="42">
        <v>9.1499999999999998E-2</v>
      </c>
      <c r="AN94" s="42">
        <v>7.5499999999999998E-2</v>
      </c>
      <c r="AO94" s="39">
        <v>55</v>
      </c>
      <c r="AP94" s="39">
        <v>27</v>
      </c>
      <c r="AQ94" s="39">
        <v>60</v>
      </c>
      <c r="AR94" s="39">
        <v>650</v>
      </c>
      <c r="AS94" s="39">
        <v>4</v>
      </c>
      <c r="AT94" s="39" t="s">
        <v>4562</v>
      </c>
      <c r="AU94" s="39">
        <v>23</v>
      </c>
      <c r="AV94" s="39" t="s">
        <v>4710</v>
      </c>
      <c r="AW94" s="39">
        <v>638.73</v>
      </c>
      <c r="AX94" s="39">
        <v>653.07000000000005</v>
      </c>
      <c r="AY94" s="39">
        <v>661.78</v>
      </c>
      <c r="AZ94" s="39">
        <v>615.67999999999995</v>
      </c>
      <c r="BA94" s="39">
        <v>606.97</v>
      </c>
      <c r="BB94" s="39">
        <v>592.63</v>
      </c>
      <c r="BC94" s="39">
        <v>6</v>
      </c>
      <c r="BD94" s="39">
        <v>7</v>
      </c>
      <c r="BE94" s="39">
        <v>2</v>
      </c>
      <c r="BF94" s="39" t="s">
        <v>130</v>
      </c>
      <c r="BG94" s="39">
        <v>155.1</v>
      </c>
      <c r="BH94" s="39">
        <v>0.2</v>
      </c>
      <c r="BI94" s="39" t="s">
        <v>4563</v>
      </c>
      <c r="BJ94" s="39" t="s">
        <v>4563</v>
      </c>
      <c r="BK94" t="s">
        <v>5541</v>
      </c>
      <c r="BL94" t="s">
        <v>4870</v>
      </c>
    </row>
    <row r="95" spans="1:64" x14ac:dyDescent="0.35">
      <c r="A95" s="39" t="s">
        <v>1103</v>
      </c>
      <c r="B95" s="39" t="str">
        <f>IFERROR(INDEX(added_new_stocks!$F$6:$H$2156,MATCH(A95,added_new_stocks!$F$6:$F$2143,0),3),"")</f>
        <v>Small</v>
      </c>
      <c r="C95" s="48">
        <v>5048.1000000000004</v>
      </c>
      <c r="D95" s="39">
        <v>64</v>
      </c>
      <c r="G95" s="39" t="s">
        <v>4562</v>
      </c>
      <c r="H95" s="39" t="s">
        <v>5411</v>
      </c>
      <c r="I95" s="39" t="s">
        <v>4624</v>
      </c>
      <c r="J95" s="39" t="s">
        <v>5412</v>
      </c>
      <c r="K95" s="39" t="s">
        <v>133</v>
      </c>
      <c r="L95" s="39" t="s">
        <v>5413</v>
      </c>
      <c r="M95" s="39" t="s">
        <v>4959</v>
      </c>
      <c r="N95" s="39">
        <v>8</v>
      </c>
      <c r="O95" s="39">
        <v>0</v>
      </c>
      <c r="P95" s="39">
        <v>8</v>
      </c>
      <c r="Q95" s="39" t="s">
        <v>14</v>
      </c>
      <c r="R95" s="39">
        <v>2.37</v>
      </c>
      <c r="S95" s="39">
        <v>-0.37</v>
      </c>
      <c r="T95" s="39">
        <v>-4.57</v>
      </c>
      <c r="U95" s="39">
        <v>15.18</v>
      </c>
      <c r="V95" s="39">
        <v>13.03</v>
      </c>
      <c r="W95" s="39">
        <v>12.15</v>
      </c>
      <c r="X95" s="39">
        <v>10.36</v>
      </c>
      <c r="Y95" s="39">
        <v>83.27</v>
      </c>
      <c r="Z95" s="39">
        <v>229.39</v>
      </c>
      <c r="AA95" s="39">
        <v>174.53</v>
      </c>
      <c r="AB95" s="39">
        <v>189.76</v>
      </c>
      <c r="AC95" s="39">
        <v>978.08</v>
      </c>
      <c r="AD95" s="39" t="s">
        <v>4606</v>
      </c>
      <c r="AE95" s="39" t="s">
        <v>134</v>
      </c>
      <c r="AF95" s="39">
        <v>25</v>
      </c>
      <c r="AG95" s="42">
        <v>0.26390000000000002</v>
      </c>
      <c r="AH95" s="39">
        <v>126</v>
      </c>
      <c r="AI95" s="42">
        <v>6.4199999999999993E-2</v>
      </c>
      <c r="AJ95" s="39" t="s">
        <v>5414</v>
      </c>
      <c r="AK95" s="42">
        <v>0.45850000000000002</v>
      </c>
      <c r="AL95" s="39" t="s">
        <v>5410</v>
      </c>
      <c r="AM95" s="42">
        <v>8.3099999999999993E-2</v>
      </c>
      <c r="AN95" s="42">
        <v>8.9399999999999993E-2</v>
      </c>
      <c r="AO95" s="39">
        <v>50</v>
      </c>
      <c r="AP95" s="39">
        <v>22</v>
      </c>
      <c r="AQ95" s="39">
        <v>42</v>
      </c>
      <c r="AR95" s="45">
        <v>405</v>
      </c>
      <c r="AS95" s="39">
        <v>7</v>
      </c>
      <c r="AT95" s="39" t="s">
        <v>129</v>
      </c>
      <c r="AU95" s="39">
        <v>3</v>
      </c>
      <c r="AV95" s="39" t="s">
        <v>4711</v>
      </c>
      <c r="AW95" s="39">
        <v>383.17</v>
      </c>
      <c r="AX95" s="39">
        <v>386.28</v>
      </c>
      <c r="AY95" s="39">
        <v>388.87</v>
      </c>
      <c r="AZ95" s="39">
        <v>377.47</v>
      </c>
      <c r="BA95" s="39">
        <v>374.88</v>
      </c>
      <c r="BB95" s="39">
        <v>371.77</v>
      </c>
      <c r="BC95" s="39">
        <v>3</v>
      </c>
      <c r="BD95" s="39">
        <v>3</v>
      </c>
      <c r="BE95" s="39" t="s">
        <v>130</v>
      </c>
      <c r="BF95" s="39">
        <v>-0.41</v>
      </c>
      <c r="BG95" s="48">
        <v>7</v>
      </c>
      <c r="BH95" s="39">
        <v>116.9</v>
      </c>
      <c r="BI95" s="39" t="s">
        <v>4565</v>
      </c>
      <c r="BJ95" s="39" t="s">
        <v>4565</v>
      </c>
      <c r="BK95" t="s">
        <v>5542</v>
      </c>
      <c r="BL95" t="s">
        <v>4871</v>
      </c>
    </row>
    <row r="96" spans="1:64" x14ac:dyDescent="0.35">
      <c r="A96" s="39" t="s">
        <v>199</v>
      </c>
      <c r="B96" s="39" t="str">
        <f>IFERROR(INDEX(added_new_stocks!$F$6:$H$2156,MATCH(A96,added_new_stocks!$F$6:$F$2143,0),3),"")</f>
        <v>Large</v>
      </c>
      <c r="C96" s="48">
        <v>1750.45</v>
      </c>
      <c r="D96" s="39">
        <v>57</v>
      </c>
      <c r="G96" s="39" t="s">
        <v>4562</v>
      </c>
      <c r="H96" s="39" t="s">
        <v>5415</v>
      </c>
      <c r="I96" s="39" t="s">
        <v>4976</v>
      </c>
      <c r="J96" s="39" t="s">
        <v>5416</v>
      </c>
      <c r="K96" s="39" t="s">
        <v>4957</v>
      </c>
      <c r="L96" s="39" t="s">
        <v>5417</v>
      </c>
      <c r="M96" s="39" t="s">
        <v>4620</v>
      </c>
      <c r="N96" s="39">
        <v>23</v>
      </c>
      <c r="O96" s="39">
        <v>-4</v>
      </c>
      <c r="P96" s="39">
        <v>19</v>
      </c>
      <c r="Q96" s="39" t="s">
        <v>14</v>
      </c>
      <c r="R96" s="39">
        <v>-0.87</v>
      </c>
      <c r="S96" s="39">
        <v>-2.31</v>
      </c>
      <c r="T96" s="39">
        <v>-7.45</v>
      </c>
      <c r="U96" s="39">
        <v>-9.1999999999999993</v>
      </c>
      <c r="V96" s="39">
        <v>-0.51</v>
      </c>
      <c r="W96" s="39">
        <v>-4.16</v>
      </c>
      <c r="X96" s="39">
        <v>-8.06</v>
      </c>
      <c r="Y96" s="39">
        <v>-0.01</v>
      </c>
      <c r="Z96" s="39">
        <v>27.88</v>
      </c>
      <c r="AA96" s="39">
        <v>16.739999999999998</v>
      </c>
      <c r="AB96" s="39">
        <v>38.6</v>
      </c>
      <c r="AC96" s="39">
        <v>453.81</v>
      </c>
      <c r="AD96" s="39" t="s">
        <v>4974</v>
      </c>
      <c r="AE96" s="39" t="s">
        <v>134</v>
      </c>
      <c r="AF96" s="39">
        <v>36</v>
      </c>
      <c r="AG96" s="42">
        <v>9.4500000000000001E-2</v>
      </c>
      <c r="AH96" s="39">
        <v>1231</v>
      </c>
      <c r="AI96" s="42">
        <v>0.39879999999999999</v>
      </c>
      <c r="AJ96" s="39" t="s">
        <v>5418</v>
      </c>
      <c r="AK96" s="42">
        <v>0.25719999999999998</v>
      </c>
      <c r="AL96" s="39" t="s">
        <v>136</v>
      </c>
      <c r="AM96" s="42">
        <v>6.2100000000000002E-2</v>
      </c>
      <c r="AN96" s="42">
        <v>8.2500000000000004E-2</v>
      </c>
      <c r="AO96" s="39">
        <v>40</v>
      </c>
      <c r="AP96" s="39">
        <v>30</v>
      </c>
      <c r="AQ96" s="39">
        <v>45</v>
      </c>
      <c r="AR96" s="45">
        <v>2163</v>
      </c>
      <c r="AS96" s="39">
        <v>24</v>
      </c>
      <c r="AT96" s="39" t="s">
        <v>4562</v>
      </c>
      <c r="AU96" s="39">
        <v>36</v>
      </c>
      <c r="AV96" s="39" t="s">
        <v>4712</v>
      </c>
      <c r="AW96" s="39">
        <v>1763.97</v>
      </c>
      <c r="AX96" s="39">
        <v>1777.13</v>
      </c>
      <c r="AY96" s="39">
        <v>1785.87</v>
      </c>
      <c r="AZ96" s="39">
        <v>1742.07</v>
      </c>
      <c r="BA96" s="39">
        <v>1733.33</v>
      </c>
      <c r="BB96" s="39">
        <v>1720.17</v>
      </c>
      <c r="BC96" s="39">
        <v>12</v>
      </c>
      <c r="BD96" s="39">
        <v>4</v>
      </c>
      <c r="BE96" s="39">
        <v>5</v>
      </c>
      <c r="BF96" s="39">
        <v>1</v>
      </c>
      <c r="BG96" s="48">
        <v>1019.6</v>
      </c>
      <c r="BH96" s="39">
        <v>0.6</v>
      </c>
      <c r="BI96" s="39" t="s">
        <v>4639</v>
      </c>
      <c r="BJ96" s="39" t="s">
        <v>132</v>
      </c>
      <c r="BK96" t="s">
        <v>5543</v>
      </c>
      <c r="BL96" t="s">
        <v>4872</v>
      </c>
    </row>
    <row r="97" spans="1:64" x14ac:dyDescent="0.35">
      <c r="A97" s="39" t="s">
        <v>585</v>
      </c>
      <c r="B97" s="39" t="str">
        <f>IFERROR(INDEX(added_new_stocks!$F$6:$H$2156,MATCH(A97,added_new_stocks!$F$6:$F$2143,0),3),"")</f>
        <v>Mid</v>
      </c>
      <c r="C97" s="39">
        <v>688.2</v>
      </c>
      <c r="D97" s="39">
        <v>58</v>
      </c>
      <c r="G97" s="39" t="s">
        <v>4562</v>
      </c>
      <c r="H97" s="39" t="s">
        <v>5419</v>
      </c>
      <c r="I97" s="39" t="s">
        <v>4624</v>
      </c>
      <c r="J97" s="39" t="s">
        <v>5420</v>
      </c>
      <c r="K97" s="39" t="s">
        <v>133</v>
      </c>
      <c r="L97" s="39" t="s">
        <v>5421</v>
      </c>
      <c r="M97" s="39" t="s">
        <v>4620</v>
      </c>
      <c r="N97" s="39">
        <v>0</v>
      </c>
      <c r="O97" s="39">
        <v>-9</v>
      </c>
      <c r="P97" s="39">
        <v>-9</v>
      </c>
      <c r="Q97" s="39" t="s">
        <v>4605</v>
      </c>
      <c r="R97" s="39">
        <v>4.88</v>
      </c>
      <c r="S97" s="39">
        <v>3.19</v>
      </c>
      <c r="T97" s="39">
        <v>5.87</v>
      </c>
      <c r="U97" s="39">
        <v>20.010000000000002</v>
      </c>
      <c r="V97" s="39">
        <v>14.73</v>
      </c>
      <c r="W97" s="39">
        <v>33.17</v>
      </c>
      <c r="X97" s="39">
        <v>13.51</v>
      </c>
      <c r="Y97" s="39">
        <v>93.35</v>
      </c>
      <c r="Z97" s="39">
        <v>549.49</v>
      </c>
      <c r="AA97" s="39">
        <v>496.31</v>
      </c>
      <c r="AB97" s="39">
        <v>439.98</v>
      </c>
      <c r="AC97" s="39">
        <v>5592.31</v>
      </c>
      <c r="AD97" s="39" t="s">
        <v>4606</v>
      </c>
      <c r="AE97" s="39" t="s">
        <v>134</v>
      </c>
      <c r="AF97" s="39">
        <v>26</v>
      </c>
      <c r="AG97" s="42">
        <v>0.13689999999999999</v>
      </c>
      <c r="AH97" s="39">
        <v>113</v>
      </c>
      <c r="AI97" s="42">
        <v>3.0300000000000001E-2</v>
      </c>
      <c r="AJ97" s="39" t="s">
        <v>5422</v>
      </c>
      <c r="AK97" s="42">
        <v>0.2137</v>
      </c>
      <c r="AL97" s="39" t="s">
        <v>5423</v>
      </c>
      <c r="AM97" s="42">
        <v>4.5499999999999999E-2</v>
      </c>
      <c r="AN97" s="42">
        <v>6.2899999999999998E-2</v>
      </c>
      <c r="AO97" s="39">
        <v>50</v>
      </c>
      <c r="AP97" s="39">
        <v>22</v>
      </c>
      <c r="AQ97" s="39">
        <v>65</v>
      </c>
      <c r="AR97" s="39">
        <v>729</v>
      </c>
      <c r="AS97" s="39">
        <v>6</v>
      </c>
      <c r="AT97" s="39" t="s">
        <v>129</v>
      </c>
      <c r="AU97" s="39">
        <v>7</v>
      </c>
      <c r="AV97" s="39" t="s">
        <v>4713</v>
      </c>
      <c r="AW97" s="39">
        <v>704.17</v>
      </c>
      <c r="AX97" s="39">
        <v>723.38</v>
      </c>
      <c r="AY97" s="39">
        <v>746.77</v>
      </c>
      <c r="AZ97" s="39">
        <v>661.57</v>
      </c>
      <c r="BA97" s="39">
        <v>638.17999999999995</v>
      </c>
      <c r="BB97" s="39">
        <v>618.97</v>
      </c>
      <c r="BC97" s="39">
        <v>6</v>
      </c>
      <c r="BD97" s="39">
        <v>5</v>
      </c>
      <c r="BE97" s="39">
        <v>7</v>
      </c>
      <c r="BF97" s="39" t="s">
        <v>130</v>
      </c>
      <c r="BG97" s="39">
        <v>237.5</v>
      </c>
      <c r="BH97" s="39">
        <v>0.3</v>
      </c>
      <c r="BI97" s="39" t="s">
        <v>4563</v>
      </c>
      <c r="BJ97" s="39" t="s">
        <v>132</v>
      </c>
      <c r="BK97" t="s">
        <v>5544</v>
      </c>
      <c r="BL97" t="s">
        <v>4873</v>
      </c>
    </row>
    <row r="98" spans="1:64" x14ac:dyDescent="0.35">
      <c r="A98" s="39" t="s">
        <v>642</v>
      </c>
      <c r="B98" s="39" t="str">
        <f>IFERROR(INDEX(added_new_stocks!$F$6:$H$2156,MATCH(A98,added_new_stocks!$F$6:$F$2143,0),3),"")</f>
        <v>Mid</v>
      </c>
      <c r="C98" s="39">
        <v>381.25</v>
      </c>
      <c r="D98" s="39">
        <v>54</v>
      </c>
      <c r="G98" s="39" t="s">
        <v>4562</v>
      </c>
      <c r="H98" s="39" t="s">
        <v>5424</v>
      </c>
      <c r="I98" s="39" t="s">
        <v>4989</v>
      </c>
      <c r="J98" s="39" t="s">
        <v>5425</v>
      </c>
      <c r="K98" s="39" t="s">
        <v>133</v>
      </c>
      <c r="L98" s="39" t="s">
        <v>5426</v>
      </c>
      <c r="M98" s="39" t="s">
        <v>5047</v>
      </c>
      <c r="N98" s="39">
        <v>6</v>
      </c>
      <c r="O98" s="39">
        <v>-33</v>
      </c>
      <c r="P98" s="39">
        <v>-27</v>
      </c>
      <c r="Q98" s="39" t="s">
        <v>5026</v>
      </c>
      <c r="R98" s="39">
        <v>-1.43</v>
      </c>
      <c r="S98" s="39">
        <v>-1.78</v>
      </c>
      <c r="T98" s="39">
        <v>8</v>
      </c>
      <c r="U98" s="39">
        <v>22.86</v>
      </c>
      <c r="V98" s="39">
        <v>15.86</v>
      </c>
      <c r="W98" s="39">
        <v>1.63</v>
      </c>
      <c r="X98" s="39">
        <v>-35.409999999999997</v>
      </c>
      <c r="Y98" s="39">
        <v>-44.99</v>
      </c>
      <c r="Z98" s="39">
        <v>80.7</v>
      </c>
      <c r="AA98" s="39">
        <v>464.15</v>
      </c>
      <c r="AB98" s="39">
        <v>328.76</v>
      </c>
      <c r="AC98" s="39" t="s">
        <v>4538</v>
      </c>
      <c r="AD98" s="39" t="s">
        <v>5015</v>
      </c>
      <c r="AE98" s="39">
        <v>0.04</v>
      </c>
      <c r="AF98" s="39">
        <v>22</v>
      </c>
      <c r="AG98" s="42">
        <v>5.1400000000000001E-2</v>
      </c>
      <c r="AH98" s="39">
        <v>170</v>
      </c>
      <c r="AI98" s="42">
        <v>0.22520000000000001</v>
      </c>
      <c r="AJ98" s="39" t="s">
        <v>5427</v>
      </c>
      <c r="AK98" s="39" t="s">
        <v>5428</v>
      </c>
      <c r="AL98" s="39" t="s">
        <v>5429</v>
      </c>
      <c r="AM98" s="42">
        <v>5.3900000000000003E-2</v>
      </c>
      <c r="AN98" s="42">
        <v>0.28260000000000002</v>
      </c>
      <c r="AO98" s="39">
        <v>45</v>
      </c>
      <c r="AP98" s="39">
        <v>27</v>
      </c>
      <c r="AQ98" s="39">
        <v>55</v>
      </c>
      <c r="AR98" s="39">
        <v>346</v>
      </c>
      <c r="AS98" s="39">
        <v>-9</v>
      </c>
      <c r="AT98" s="39" t="s">
        <v>4562</v>
      </c>
      <c r="AU98" s="39">
        <v>11</v>
      </c>
      <c r="AV98" s="39" t="s">
        <v>4714</v>
      </c>
      <c r="AW98" s="39">
        <v>387.65</v>
      </c>
      <c r="AX98" s="39">
        <v>393.95</v>
      </c>
      <c r="AY98" s="39">
        <v>397.7</v>
      </c>
      <c r="AZ98" s="39">
        <v>377.6</v>
      </c>
      <c r="BA98" s="39">
        <v>373.85</v>
      </c>
      <c r="BB98" s="39">
        <v>367.55</v>
      </c>
      <c r="BC98" s="39">
        <v>7</v>
      </c>
      <c r="BD98" s="39">
        <v>14</v>
      </c>
      <c r="BE98" s="39">
        <v>2</v>
      </c>
      <c r="BF98" s="39">
        <v>1</v>
      </c>
      <c r="BG98" s="39">
        <v>133</v>
      </c>
      <c r="BH98" s="39">
        <v>0.3</v>
      </c>
      <c r="BI98" s="39" t="s">
        <v>4563</v>
      </c>
      <c r="BJ98" s="39" t="s">
        <v>4563</v>
      </c>
      <c r="BK98" t="s">
        <v>5545</v>
      </c>
      <c r="BL98" t="s">
        <v>4874</v>
      </c>
    </row>
    <row r="99" spans="1:64" x14ac:dyDescent="0.35">
      <c r="A99" s="39" t="s">
        <v>972</v>
      </c>
      <c r="B99" s="39" t="str">
        <f>IFERROR(INDEX(added_new_stocks!$F$6:$H$2156,MATCH(A99,added_new_stocks!$F$6:$F$2143,0),3),"")</f>
        <v>Mid</v>
      </c>
      <c r="C99" s="39">
        <v>102.18</v>
      </c>
      <c r="D99" s="39">
        <v>56</v>
      </c>
      <c r="G99" s="39" t="s">
        <v>4562</v>
      </c>
      <c r="H99" s="39" t="s">
        <v>5430</v>
      </c>
      <c r="I99" s="39" t="s">
        <v>4624</v>
      </c>
      <c r="J99" s="39" t="s">
        <v>5431</v>
      </c>
      <c r="K99" s="39" t="s">
        <v>4603</v>
      </c>
      <c r="L99" s="39" t="s">
        <v>5432</v>
      </c>
      <c r="M99" s="39" t="s">
        <v>4959</v>
      </c>
      <c r="N99" s="39">
        <v>27</v>
      </c>
      <c r="O99" s="39">
        <v>0</v>
      </c>
      <c r="P99" s="39">
        <v>27</v>
      </c>
      <c r="Q99" s="39" t="s">
        <v>5060</v>
      </c>
      <c r="R99" s="39">
        <v>6.47</v>
      </c>
      <c r="S99" s="39">
        <v>7.92</v>
      </c>
      <c r="T99" s="39">
        <v>11.19</v>
      </c>
      <c r="U99" s="39">
        <v>7.93</v>
      </c>
      <c r="V99" s="39">
        <v>29.42</v>
      </c>
      <c r="W99" s="39">
        <v>19.23</v>
      </c>
      <c r="X99" s="39">
        <v>38.36</v>
      </c>
      <c r="Y99" s="39">
        <v>156.41</v>
      </c>
      <c r="Z99" s="39">
        <v>244.62</v>
      </c>
      <c r="AA99" s="39">
        <v>90.81</v>
      </c>
      <c r="AB99" s="39">
        <v>29.42</v>
      </c>
      <c r="AC99" s="39" t="s">
        <v>4538</v>
      </c>
      <c r="AD99" s="39" t="s">
        <v>5015</v>
      </c>
      <c r="AE99" s="39">
        <v>6.44</v>
      </c>
      <c r="AF99" s="39">
        <v>10</v>
      </c>
      <c r="AG99" s="42">
        <v>9.8599999999999993E-2</v>
      </c>
      <c r="AH99" s="39">
        <v>148</v>
      </c>
      <c r="AI99" s="42">
        <v>0.25480000000000003</v>
      </c>
      <c r="AJ99" s="39" t="s">
        <v>5433</v>
      </c>
      <c r="AK99" s="42">
        <v>0.2233</v>
      </c>
      <c r="AL99" s="39" t="s">
        <v>5434</v>
      </c>
      <c r="AM99" s="42">
        <v>0.14990000000000001</v>
      </c>
      <c r="AN99" s="42">
        <v>0.17249999999999999</v>
      </c>
      <c r="AO99" s="39">
        <v>50</v>
      </c>
      <c r="AP99" s="39">
        <v>24</v>
      </c>
      <c r="AQ99" s="39">
        <v>65</v>
      </c>
      <c r="AR99" s="39">
        <v>113</v>
      </c>
      <c r="AS99" s="39">
        <v>11</v>
      </c>
      <c r="AT99" s="39" t="s">
        <v>129</v>
      </c>
      <c r="AU99" s="39">
        <v>14</v>
      </c>
      <c r="AV99" s="39" t="s">
        <v>4715</v>
      </c>
      <c r="AW99" s="39">
        <v>105.13</v>
      </c>
      <c r="AX99" s="39">
        <v>108.12</v>
      </c>
      <c r="AY99" s="39">
        <v>112.93</v>
      </c>
      <c r="AZ99" s="39">
        <v>97.33</v>
      </c>
      <c r="BA99" s="39">
        <v>92.52</v>
      </c>
      <c r="BB99" s="39">
        <v>89.53</v>
      </c>
      <c r="BC99" s="39">
        <v>10</v>
      </c>
      <c r="BD99" s="39">
        <v>8</v>
      </c>
      <c r="BE99" s="39">
        <v>8</v>
      </c>
      <c r="BF99" s="39" t="s">
        <v>130</v>
      </c>
      <c r="BG99" s="39">
        <v>25.1</v>
      </c>
      <c r="BH99" s="39">
        <v>0.2</v>
      </c>
      <c r="BI99" s="39" t="s">
        <v>4563</v>
      </c>
      <c r="BJ99" s="39" t="s">
        <v>132</v>
      </c>
      <c r="BK99" t="s">
        <v>5546</v>
      </c>
      <c r="BL99" t="s">
        <v>4875</v>
      </c>
    </row>
    <row r="100" spans="1:64" x14ac:dyDescent="0.35">
      <c r="A100" s="39" t="s">
        <v>373</v>
      </c>
      <c r="B100" s="39" t="str">
        <f>IFERROR(INDEX(added_new_stocks!$F$6:$H$2156,MATCH(A100,added_new_stocks!$F$6:$F$2143,0),3),"")</f>
        <v>Large</v>
      </c>
      <c r="C100" s="39">
        <v>695.45</v>
      </c>
      <c r="D100" s="39">
        <v>36</v>
      </c>
      <c r="G100" s="39" t="s">
        <v>4625</v>
      </c>
      <c r="H100" s="39" t="s">
        <v>5435</v>
      </c>
      <c r="I100" s="39" t="s">
        <v>4624</v>
      </c>
      <c r="J100" s="39" t="s">
        <v>5436</v>
      </c>
      <c r="K100" s="39" t="s">
        <v>4603</v>
      </c>
      <c r="L100" s="39" t="s">
        <v>5437</v>
      </c>
      <c r="M100" s="39" t="s">
        <v>4959</v>
      </c>
      <c r="N100" s="39">
        <v>7</v>
      </c>
      <c r="O100" s="39">
        <v>-16</v>
      </c>
      <c r="P100" s="39">
        <v>-9</v>
      </c>
      <c r="Q100" s="39" t="s">
        <v>4605</v>
      </c>
      <c r="R100" s="39">
        <v>-2.72</v>
      </c>
      <c r="S100" s="39">
        <v>-0.19</v>
      </c>
      <c r="T100" s="39">
        <v>-0.42</v>
      </c>
      <c r="U100" s="39">
        <v>40.619999999999997</v>
      </c>
      <c r="V100" s="39">
        <v>54.81</v>
      </c>
      <c r="W100" s="39">
        <v>27.44</v>
      </c>
      <c r="X100" s="39">
        <v>24.32</v>
      </c>
      <c r="Y100" s="39">
        <v>61.59</v>
      </c>
      <c r="Z100" s="39" t="s">
        <v>4538</v>
      </c>
      <c r="AA100" s="39" t="s">
        <v>4538</v>
      </c>
      <c r="AB100" s="39" t="s">
        <v>4538</v>
      </c>
      <c r="AC100" s="39" t="s">
        <v>4538</v>
      </c>
      <c r="AD100" s="39" t="s">
        <v>4606</v>
      </c>
      <c r="AE100" s="39" t="s">
        <v>134</v>
      </c>
      <c r="AF100" s="39">
        <v>12</v>
      </c>
      <c r="AG100" s="42">
        <v>9.9000000000000008E-3</v>
      </c>
      <c r="AH100" s="39">
        <v>254</v>
      </c>
      <c r="AI100" s="42">
        <v>0.1983</v>
      </c>
      <c r="AJ100" s="39" t="s">
        <v>5438</v>
      </c>
      <c r="AK100" s="42">
        <v>0.28349999999999997</v>
      </c>
      <c r="AL100" s="39" t="s">
        <v>5429</v>
      </c>
      <c r="AM100" s="42">
        <v>4.02E-2</v>
      </c>
      <c r="AN100" s="42">
        <v>7.4999999999999997E-3</v>
      </c>
      <c r="AO100" s="39">
        <v>65</v>
      </c>
      <c r="AP100" s="39">
        <v>15</v>
      </c>
      <c r="AQ100" s="39">
        <v>62</v>
      </c>
      <c r="AR100" s="39">
        <v>717</v>
      </c>
      <c r="AS100" s="39">
        <v>3</v>
      </c>
      <c r="AT100" s="39" t="s">
        <v>4562</v>
      </c>
      <c r="AU100" s="39">
        <v>17</v>
      </c>
      <c r="AV100" s="39" t="s">
        <v>4716</v>
      </c>
      <c r="AW100" s="39">
        <v>711.73</v>
      </c>
      <c r="AX100" s="39">
        <v>727.47</v>
      </c>
      <c r="AY100" s="39">
        <v>738.33</v>
      </c>
      <c r="AZ100" s="39">
        <v>685.13</v>
      </c>
      <c r="BA100" s="39">
        <v>674.27</v>
      </c>
      <c r="BB100" s="39">
        <v>658.53</v>
      </c>
      <c r="BC100" s="39">
        <v>4</v>
      </c>
      <c r="BD100" s="39">
        <v>7</v>
      </c>
      <c r="BE100" s="39">
        <v>3</v>
      </c>
      <c r="BF100" s="39" t="s">
        <v>130</v>
      </c>
      <c r="BG100" s="39">
        <v>110.2</v>
      </c>
      <c r="BH100" s="39">
        <v>0.2</v>
      </c>
      <c r="BI100" s="39" t="s">
        <v>4563</v>
      </c>
      <c r="BJ100" s="39" t="s">
        <v>132</v>
      </c>
      <c r="BK100" t="s">
        <v>5547</v>
      </c>
      <c r="BL100" t="s">
        <v>4876</v>
      </c>
    </row>
    <row r="101" spans="1:64" x14ac:dyDescent="0.35">
      <c r="A101" s="39" t="s">
        <v>1023</v>
      </c>
      <c r="C101" s="48">
        <v>1552.25</v>
      </c>
      <c r="D101" s="39">
        <v>77</v>
      </c>
      <c r="G101" s="39" t="s">
        <v>129</v>
      </c>
      <c r="H101" s="39" t="s">
        <v>5439</v>
      </c>
      <c r="I101" s="39" t="s">
        <v>4624</v>
      </c>
      <c r="J101" s="39" t="s">
        <v>5440</v>
      </c>
      <c r="K101" s="39" t="s">
        <v>4615</v>
      </c>
      <c r="L101" s="39" t="s">
        <v>5441</v>
      </c>
      <c r="M101" s="39" t="s">
        <v>5047</v>
      </c>
      <c r="N101" s="39">
        <v>23</v>
      </c>
      <c r="O101" s="39">
        <v>-3</v>
      </c>
      <c r="P101" s="39">
        <v>20</v>
      </c>
      <c r="Q101" s="39" t="s">
        <v>5060</v>
      </c>
      <c r="R101" s="39">
        <v>-1.31</v>
      </c>
      <c r="S101" s="39">
        <v>0.39</v>
      </c>
      <c r="T101" s="39">
        <v>1.0900000000000001</v>
      </c>
      <c r="U101" s="39">
        <v>24.65</v>
      </c>
      <c r="V101" s="39">
        <v>15.72</v>
      </c>
      <c r="W101" s="39">
        <v>24.25</v>
      </c>
      <c r="X101" s="39">
        <v>23.07</v>
      </c>
      <c r="Y101" s="39">
        <v>96.19</v>
      </c>
      <c r="Z101" s="39">
        <v>149.56</v>
      </c>
      <c r="AA101" s="39">
        <v>194.21</v>
      </c>
      <c r="AB101" s="39">
        <v>61.52</v>
      </c>
      <c r="AC101" s="39">
        <v>269.56</v>
      </c>
      <c r="AD101" s="39" t="s">
        <v>4974</v>
      </c>
      <c r="AE101" s="39">
        <v>0.06</v>
      </c>
      <c r="AF101" s="39">
        <v>37</v>
      </c>
      <c r="AG101" s="42">
        <v>0.1394</v>
      </c>
      <c r="AH101" s="39">
        <v>1100</v>
      </c>
      <c r="AI101" s="42">
        <v>0.40139999999999998</v>
      </c>
      <c r="AL101" s="39" t="s">
        <v>5442</v>
      </c>
      <c r="AM101" s="42">
        <v>3.9E-2</v>
      </c>
      <c r="AN101" s="42">
        <v>8.0600000000000005E-2</v>
      </c>
      <c r="AO101" s="39">
        <v>40</v>
      </c>
      <c r="AP101" s="39">
        <v>7</v>
      </c>
      <c r="AQ101" s="39">
        <v>60</v>
      </c>
      <c r="AR101" s="39">
        <v>538</v>
      </c>
      <c r="AS101" s="39">
        <v>5</v>
      </c>
      <c r="AT101" s="39" t="s">
        <v>4633</v>
      </c>
      <c r="AU101" s="39">
        <v>7</v>
      </c>
      <c r="AV101" s="39" t="s">
        <v>4717</v>
      </c>
      <c r="AW101" s="39">
        <v>518.33000000000004</v>
      </c>
      <c r="AX101" s="39">
        <v>523.97</v>
      </c>
      <c r="AY101" s="39">
        <v>528.88</v>
      </c>
      <c r="AZ101" s="39">
        <v>507.78</v>
      </c>
      <c r="BA101" s="39">
        <v>502.87</v>
      </c>
      <c r="BB101" s="39">
        <v>497.23</v>
      </c>
      <c r="BC101" s="39">
        <v>7</v>
      </c>
      <c r="BD101" s="39">
        <v>9</v>
      </c>
      <c r="BE101" s="39">
        <v>4</v>
      </c>
      <c r="BF101" s="39" t="s">
        <v>130</v>
      </c>
      <c r="BG101" s="39">
        <v>60.6</v>
      </c>
      <c r="BH101" s="39">
        <v>0.1</v>
      </c>
      <c r="BI101" s="39" t="s">
        <v>4563</v>
      </c>
      <c r="BJ101" s="39" t="s">
        <v>132</v>
      </c>
      <c r="BK101" t="s">
        <v>5548</v>
      </c>
      <c r="BL101" t="s">
        <v>4877</v>
      </c>
    </row>
    <row r="102" spans="1:64" x14ac:dyDescent="0.35">
      <c r="A102" s="39" t="s">
        <v>320</v>
      </c>
      <c r="B102" s="39" t="s">
        <v>4878</v>
      </c>
      <c r="C102" s="39">
        <v>550.95000000000005</v>
      </c>
      <c r="D102" s="39">
        <v>67</v>
      </c>
      <c r="G102" s="39" t="s">
        <v>4562</v>
      </c>
      <c r="H102" s="39" t="s">
        <v>5443</v>
      </c>
      <c r="I102" s="39" t="s">
        <v>4624</v>
      </c>
      <c r="J102" s="39" t="s">
        <v>5444</v>
      </c>
      <c r="K102" s="39" t="s">
        <v>133</v>
      </c>
      <c r="L102" s="39" t="s">
        <v>5445</v>
      </c>
      <c r="M102" s="39" t="s">
        <v>4620</v>
      </c>
      <c r="N102" s="39">
        <v>6</v>
      </c>
      <c r="O102" s="39">
        <v>-2</v>
      </c>
      <c r="P102" s="39">
        <v>4</v>
      </c>
      <c r="Q102" s="39" t="s">
        <v>4611</v>
      </c>
      <c r="R102" s="39">
        <v>-1.33</v>
      </c>
      <c r="S102" s="39">
        <v>-4.5</v>
      </c>
      <c r="T102" s="39">
        <v>3.89</v>
      </c>
      <c r="U102" s="39">
        <v>3.44</v>
      </c>
      <c r="V102" s="39">
        <v>12.61</v>
      </c>
      <c r="W102" s="39">
        <v>8.06</v>
      </c>
      <c r="X102" s="39">
        <v>7.33</v>
      </c>
      <c r="Y102" s="39">
        <v>5.22</v>
      </c>
      <c r="Z102" s="39">
        <v>47.65</v>
      </c>
      <c r="AA102" s="39">
        <v>40.42</v>
      </c>
      <c r="AB102" s="39">
        <v>48.6</v>
      </c>
      <c r="AC102" s="39">
        <v>417.81</v>
      </c>
      <c r="AD102" s="39" t="s">
        <v>4606</v>
      </c>
      <c r="AE102" s="39">
        <v>0.13</v>
      </c>
      <c r="AF102" s="39">
        <v>26</v>
      </c>
      <c r="AG102" s="42">
        <v>3.2899999999999999E-2</v>
      </c>
      <c r="AH102" s="39">
        <v>743</v>
      </c>
      <c r="AI102" s="42">
        <v>0.24959999999999999</v>
      </c>
      <c r="AJ102" s="39" t="s">
        <v>5446</v>
      </c>
      <c r="AK102" s="42">
        <v>0.1113</v>
      </c>
      <c r="AL102" s="39" t="s">
        <v>5447</v>
      </c>
      <c r="AM102" s="42">
        <v>3.9E-2</v>
      </c>
      <c r="AN102" s="42">
        <v>4.1399999999999999E-2</v>
      </c>
      <c r="AO102" s="39">
        <v>50</v>
      </c>
      <c r="AP102" s="39">
        <v>14</v>
      </c>
      <c r="AQ102" s="39">
        <v>59</v>
      </c>
      <c r="AR102" s="39">
        <v>607</v>
      </c>
      <c r="AS102" s="39">
        <v>10</v>
      </c>
      <c r="AT102" s="39" t="s">
        <v>4562</v>
      </c>
      <c r="AU102" s="39">
        <v>37</v>
      </c>
      <c r="AV102" s="39" t="s">
        <v>4718</v>
      </c>
      <c r="AW102" s="39">
        <v>556.75</v>
      </c>
      <c r="AX102" s="39">
        <v>562.75</v>
      </c>
      <c r="AY102" s="39">
        <v>567.29999999999995</v>
      </c>
      <c r="AZ102" s="39">
        <v>546.20000000000005</v>
      </c>
      <c r="BA102" s="39">
        <v>541.65</v>
      </c>
      <c r="BB102" s="39">
        <v>535.65</v>
      </c>
      <c r="BC102" s="39">
        <v>6</v>
      </c>
      <c r="BD102" s="39">
        <v>3</v>
      </c>
      <c r="BE102" s="39">
        <v>5</v>
      </c>
      <c r="BF102" s="39" t="s">
        <v>130</v>
      </c>
      <c r="BG102" s="39">
        <v>85.2</v>
      </c>
      <c r="BH102" s="39">
        <v>0.2</v>
      </c>
      <c r="BI102" s="39" t="s">
        <v>4563</v>
      </c>
      <c r="BJ102" s="39" t="s">
        <v>132</v>
      </c>
      <c r="BK102" t="s">
        <v>5549</v>
      </c>
      <c r="BL102" t="s">
        <v>4878</v>
      </c>
    </row>
    <row r="103" spans="1:64" x14ac:dyDescent="0.35">
      <c r="A103" s="39" t="s">
        <v>1299</v>
      </c>
      <c r="B103" s="39" t="s">
        <v>4879</v>
      </c>
      <c r="C103" s="39">
        <v>112.1</v>
      </c>
      <c r="D103" s="39">
        <v>75</v>
      </c>
      <c r="G103" s="39" t="s">
        <v>129</v>
      </c>
      <c r="H103" s="39" t="s">
        <v>5448</v>
      </c>
      <c r="I103" s="39" t="s">
        <v>4624</v>
      </c>
      <c r="J103" s="39" t="s">
        <v>5449</v>
      </c>
      <c r="K103" s="39" t="s">
        <v>133</v>
      </c>
      <c r="L103" s="39" t="s">
        <v>5450</v>
      </c>
      <c r="M103" s="39" t="s">
        <v>135</v>
      </c>
      <c r="N103" s="39">
        <v>12</v>
      </c>
      <c r="O103" s="39">
        <v>0</v>
      </c>
      <c r="P103" s="39">
        <v>12</v>
      </c>
      <c r="Q103" s="39" t="s">
        <v>14</v>
      </c>
      <c r="R103" s="39">
        <v>-2.82</v>
      </c>
      <c r="S103" s="39">
        <v>-5.04</v>
      </c>
      <c r="T103" s="39">
        <v>-0.37</v>
      </c>
      <c r="U103" s="39">
        <v>50.9</v>
      </c>
      <c r="V103" s="39">
        <v>62.82</v>
      </c>
      <c r="W103" s="39">
        <v>92.28</v>
      </c>
      <c r="X103" s="39">
        <v>116.41</v>
      </c>
      <c r="Y103" s="39">
        <v>57.33</v>
      </c>
      <c r="Z103" s="39">
        <v>115.16</v>
      </c>
      <c r="AA103" s="39">
        <v>647.33000000000004</v>
      </c>
      <c r="AB103" s="39">
        <v>245.99</v>
      </c>
      <c r="AC103" s="39">
        <v>1320.79</v>
      </c>
      <c r="AD103" s="39" t="s">
        <v>4606</v>
      </c>
      <c r="AE103" s="39" t="s">
        <v>134</v>
      </c>
      <c r="AF103" s="39">
        <v>4</v>
      </c>
      <c r="AG103" s="42">
        <v>2.7900000000000001E-2</v>
      </c>
      <c r="AH103" s="39">
        <v>65</v>
      </c>
      <c r="AI103" s="42">
        <v>0.14910000000000001</v>
      </c>
      <c r="AJ103" s="39" t="s">
        <v>5451</v>
      </c>
      <c r="AK103" s="42">
        <v>0.438</v>
      </c>
      <c r="AL103" s="39" t="s">
        <v>5452</v>
      </c>
      <c r="AM103" s="42">
        <v>0.10879999999999999</v>
      </c>
      <c r="AN103" s="42">
        <v>0.32369999999999999</v>
      </c>
      <c r="AO103" s="39">
        <v>75</v>
      </c>
      <c r="AP103" s="39">
        <v>46</v>
      </c>
      <c r="AQ103" s="39">
        <v>65</v>
      </c>
      <c r="AR103" s="45"/>
      <c r="AS103" s="39" t="s">
        <v>4564</v>
      </c>
      <c r="AW103" s="39">
        <v>114.8</v>
      </c>
      <c r="AX103" s="39">
        <v>117.65</v>
      </c>
      <c r="AY103" s="39">
        <v>119.55</v>
      </c>
      <c r="AZ103" s="39">
        <v>110.05</v>
      </c>
      <c r="BA103" s="39">
        <v>108.15</v>
      </c>
      <c r="BB103" s="39">
        <v>105.3</v>
      </c>
      <c r="BC103" s="39">
        <v>10</v>
      </c>
      <c r="BD103" s="39">
        <v>4</v>
      </c>
      <c r="BE103" s="39">
        <v>5</v>
      </c>
      <c r="BF103" s="39" t="s">
        <v>130</v>
      </c>
      <c r="BG103" s="48">
        <v>73</v>
      </c>
      <c r="BH103" s="39">
        <v>0.7</v>
      </c>
      <c r="BI103" s="39" t="s">
        <v>4563</v>
      </c>
      <c r="BJ103" s="39" t="s">
        <v>4563</v>
      </c>
      <c r="BK103" t="s">
        <v>5550</v>
      </c>
      <c r="BL103" t="s">
        <v>4879</v>
      </c>
    </row>
    <row r="104" spans="1:64" x14ac:dyDescent="0.35">
      <c r="A104" s="39" t="s">
        <v>211</v>
      </c>
      <c r="B104" s="39" t="s">
        <v>4880</v>
      </c>
      <c r="C104" s="48">
        <v>9456.0499999999993</v>
      </c>
      <c r="D104" s="39">
        <v>64</v>
      </c>
      <c r="G104" s="39" t="s">
        <v>4562</v>
      </c>
      <c r="H104" s="39" t="s">
        <v>5453</v>
      </c>
      <c r="I104" s="39" t="s">
        <v>4989</v>
      </c>
      <c r="J104" s="39" t="s">
        <v>5454</v>
      </c>
      <c r="K104" s="39" t="s">
        <v>133</v>
      </c>
      <c r="L104" s="39" t="s">
        <v>5455</v>
      </c>
      <c r="M104" s="39" t="s">
        <v>4959</v>
      </c>
      <c r="N104" s="39">
        <v>22</v>
      </c>
      <c r="O104" s="39">
        <v>-4</v>
      </c>
      <c r="P104" s="39">
        <v>18</v>
      </c>
      <c r="Q104" s="39" t="s">
        <v>14</v>
      </c>
      <c r="R104" s="39">
        <v>0.86</v>
      </c>
      <c r="S104" s="39">
        <v>1.06</v>
      </c>
      <c r="T104" s="39">
        <v>-2.17</v>
      </c>
      <c r="U104" s="39">
        <v>4.45</v>
      </c>
      <c r="V104" s="39">
        <v>7.36</v>
      </c>
      <c r="W104" s="39">
        <v>12.64</v>
      </c>
      <c r="X104" s="39">
        <v>5.68</v>
      </c>
      <c r="Y104" s="39">
        <v>38.24</v>
      </c>
      <c r="Z104" s="39">
        <v>37.18</v>
      </c>
      <c r="AA104" s="39">
        <v>58.26</v>
      </c>
      <c r="AB104" s="39">
        <v>3.32</v>
      </c>
      <c r="AC104" s="39">
        <v>613.61</v>
      </c>
      <c r="AD104" s="39" t="s">
        <v>4606</v>
      </c>
      <c r="AE104" s="39" t="s">
        <v>134</v>
      </c>
      <c r="AF104" s="39">
        <v>37</v>
      </c>
      <c r="AG104" s="42">
        <v>0.1125</v>
      </c>
      <c r="AH104" s="39">
        <v>1060</v>
      </c>
      <c r="AI104" s="42">
        <v>0.21879999999999999</v>
      </c>
      <c r="AJ104" s="39" t="s">
        <v>5456</v>
      </c>
      <c r="AK104" s="42">
        <v>0.56479999999999997</v>
      </c>
      <c r="AL104" s="39" t="s">
        <v>5457</v>
      </c>
      <c r="AM104" s="42">
        <v>3.1E-2</v>
      </c>
      <c r="AN104" s="42">
        <v>2.92E-2</v>
      </c>
      <c r="AO104" s="39">
        <v>85</v>
      </c>
      <c r="AP104" s="39">
        <v>38</v>
      </c>
      <c r="AQ104" s="39">
        <v>51</v>
      </c>
      <c r="AR104" s="45">
        <v>10675</v>
      </c>
      <c r="AS104" s="39">
        <v>13</v>
      </c>
      <c r="AT104" s="39" t="s">
        <v>129</v>
      </c>
      <c r="AU104" s="39">
        <v>40</v>
      </c>
      <c r="AV104" s="39" t="s">
        <v>4719</v>
      </c>
      <c r="AW104" s="39">
        <v>9505.15</v>
      </c>
      <c r="AX104" s="39">
        <v>9554.25</v>
      </c>
      <c r="AY104" s="39">
        <v>9638.5</v>
      </c>
      <c r="AZ104" s="39">
        <v>9371.7999999999993</v>
      </c>
      <c r="BA104" s="39">
        <v>9287.5499999999993</v>
      </c>
      <c r="BB104" s="39">
        <v>9238.4500000000007</v>
      </c>
      <c r="BC104" s="39">
        <v>10</v>
      </c>
      <c r="BD104" s="39">
        <v>2</v>
      </c>
      <c r="BE104" s="39">
        <v>6</v>
      </c>
      <c r="BF104" s="39" t="s">
        <v>130</v>
      </c>
      <c r="BG104" s="48">
        <v>3845.3</v>
      </c>
      <c r="BH104" s="39">
        <v>0.4</v>
      </c>
      <c r="BI104" s="39" t="s">
        <v>4651</v>
      </c>
      <c r="BK104" t="s">
        <v>5551</v>
      </c>
      <c r="BL104" t="s">
        <v>4880</v>
      </c>
    </row>
    <row r="105" spans="1:64" x14ac:dyDescent="0.35">
      <c r="A105" s="39" t="s">
        <v>549</v>
      </c>
      <c r="B105" s="39" t="s">
        <v>4881</v>
      </c>
      <c r="C105" s="48">
        <v>1093.3499999999999</v>
      </c>
      <c r="D105" s="39">
        <v>72</v>
      </c>
      <c r="G105" s="39" t="s">
        <v>129</v>
      </c>
      <c r="H105" s="39" t="s">
        <v>5458</v>
      </c>
      <c r="I105" s="39" t="s">
        <v>4624</v>
      </c>
      <c r="J105" s="39" t="s">
        <v>5459</v>
      </c>
      <c r="K105" s="39" t="s">
        <v>4957</v>
      </c>
      <c r="L105" s="39" t="s">
        <v>5075</v>
      </c>
      <c r="M105" s="39" t="s">
        <v>4959</v>
      </c>
      <c r="N105" s="39">
        <v>4</v>
      </c>
      <c r="O105" s="39">
        <v>-2</v>
      </c>
      <c r="P105" s="39">
        <v>2</v>
      </c>
      <c r="Q105" s="39" t="s">
        <v>4611</v>
      </c>
      <c r="R105" s="39">
        <v>-0.1</v>
      </c>
      <c r="S105" s="39">
        <v>1.65</v>
      </c>
      <c r="T105" s="39">
        <v>1.77</v>
      </c>
      <c r="U105" s="39">
        <v>19.809999999999999</v>
      </c>
      <c r="V105" s="39">
        <v>31.32</v>
      </c>
      <c r="W105" s="39">
        <v>23.6</v>
      </c>
      <c r="X105" s="39">
        <v>33.47</v>
      </c>
      <c r="Y105" s="39" t="s">
        <v>4538</v>
      </c>
      <c r="Z105" s="39" t="s">
        <v>4538</v>
      </c>
      <c r="AA105" s="39" t="s">
        <v>4538</v>
      </c>
      <c r="AB105" s="39" t="s">
        <v>4538</v>
      </c>
      <c r="AC105" s="39" t="s">
        <v>4538</v>
      </c>
      <c r="AD105" s="39" t="s">
        <v>4606</v>
      </c>
      <c r="AE105" s="39" t="s">
        <v>134</v>
      </c>
      <c r="AF105" s="39">
        <v>22</v>
      </c>
      <c r="AG105" s="42">
        <v>5.2200000000000003E-2</v>
      </c>
      <c r="AH105" s="39">
        <v>38</v>
      </c>
      <c r="AI105" s="42">
        <v>2.6100000000000002E-2</v>
      </c>
      <c r="AJ105" s="39" t="s">
        <v>5460</v>
      </c>
      <c r="AK105" s="39" t="s">
        <v>5461</v>
      </c>
      <c r="AL105" s="39" t="s">
        <v>5462</v>
      </c>
      <c r="AM105" s="42">
        <v>4.8000000000000001E-2</v>
      </c>
      <c r="AN105" s="42">
        <v>0.1694</v>
      </c>
      <c r="AO105" s="39">
        <v>55</v>
      </c>
      <c r="AP105" s="39">
        <v>7</v>
      </c>
      <c r="AQ105" s="39">
        <v>68</v>
      </c>
      <c r="AR105" s="45">
        <v>1083</v>
      </c>
      <c r="AS105" s="39">
        <v>-1</v>
      </c>
      <c r="AT105" s="39" t="s">
        <v>4562</v>
      </c>
      <c r="AU105" s="39">
        <v>12</v>
      </c>
      <c r="AV105" s="39" t="s">
        <v>4720</v>
      </c>
      <c r="AW105" s="39">
        <v>1109.32</v>
      </c>
      <c r="AX105" s="39">
        <v>1122.08</v>
      </c>
      <c r="AY105" s="39">
        <v>1139.22</v>
      </c>
      <c r="AZ105" s="39">
        <v>1079.42</v>
      </c>
      <c r="BA105" s="39">
        <v>1062.28</v>
      </c>
      <c r="BB105" s="39">
        <v>1049.52</v>
      </c>
      <c r="BC105" s="39">
        <v>14</v>
      </c>
      <c r="BD105" s="39">
        <v>3</v>
      </c>
      <c r="BE105" s="39">
        <v>6</v>
      </c>
      <c r="BF105" s="39" t="s">
        <v>130</v>
      </c>
      <c r="BG105" s="39">
        <v>129.5</v>
      </c>
      <c r="BH105" s="39">
        <v>0.1</v>
      </c>
      <c r="BI105" s="39" t="s">
        <v>4563</v>
      </c>
      <c r="BJ105" s="39" t="s">
        <v>132</v>
      </c>
      <c r="BK105" t="s">
        <v>5552</v>
      </c>
      <c r="BL105" t="s">
        <v>4881</v>
      </c>
    </row>
    <row r="106" spans="1:64" x14ac:dyDescent="0.35">
      <c r="A106" s="39" t="s">
        <v>1055</v>
      </c>
      <c r="B106" s="39" t="s">
        <v>4882</v>
      </c>
      <c r="C106" s="39">
        <v>316.10000000000002</v>
      </c>
      <c r="D106" s="39">
        <v>54</v>
      </c>
      <c r="G106" s="39" t="s">
        <v>4562</v>
      </c>
      <c r="H106" s="39" t="s">
        <v>5463</v>
      </c>
      <c r="I106" s="39" t="s">
        <v>4624</v>
      </c>
      <c r="J106" s="39" t="s">
        <v>5464</v>
      </c>
      <c r="K106" s="39" t="s">
        <v>4615</v>
      </c>
      <c r="L106" s="39" t="s">
        <v>5465</v>
      </c>
      <c r="M106" s="39" t="s">
        <v>135</v>
      </c>
      <c r="N106" s="39">
        <v>9</v>
      </c>
      <c r="O106" s="39">
        <v>-18</v>
      </c>
      <c r="P106" s="39">
        <v>-9</v>
      </c>
      <c r="Q106" s="39" t="s">
        <v>4605</v>
      </c>
      <c r="R106" s="39">
        <v>2.83</v>
      </c>
      <c r="S106" s="39">
        <v>5.09</v>
      </c>
      <c r="T106" s="39">
        <v>3.45</v>
      </c>
      <c r="U106" s="39">
        <v>16.36</v>
      </c>
      <c r="V106" s="39">
        <v>54.88</v>
      </c>
      <c r="W106" s="39">
        <v>54.53</v>
      </c>
      <c r="X106" s="39">
        <v>41.05</v>
      </c>
      <c r="Y106" s="39">
        <v>142.59</v>
      </c>
      <c r="Z106" s="39">
        <v>301.91000000000003</v>
      </c>
      <c r="AA106" s="39">
        <v>268.63</v>
      </c>
      <c r="AB106" s="39">
        <v>107.14</v>
      </c>
      <c r="AC106" s="39" t="s">
        <v>4538</v>
      </c>
      <c r="AD106" s="39" t="s">
        <v>4606</v>
      </c>
      <c r="AE106" s="39" t="s">
        <v>134</v>
      </c>
      <c r="AF106" s="39">
        <v>8</v>
      </c>
      <c r="AG106" s="42">
        <v>5.8900000000000001E-2</v>
      </c>
      <c r="AH106" s="39">
        <v>66</v>
      </c>
      <c r="AI106" s="42">
        <v>5.7299999999999997E-2</v>
      </c>
      <c r="AJ106" s="39" t="s">
        <v>5466</v>
      </c>
      <c r="AK106" s="42">
        <v>0.34079999999999999</v>
      </c>
      <c r="AL106" s="39" t="s">
        <v>5467</v>
      </c>
      <c r="AM106" s="42">
        <v>4.9599999999999998E-2</v>
      </c>
      <c r="AN106" s="42">
        <v>0.1181</v>
      </c>
      <c r="AO106" s="39">
        <v>70</v>
      </c>
      <c r="AP106" s="39">
        <v>36</v>
      </c>
      <c r="AQ106" s="39">
        <v>70</v>
      </c>
      <c r="AR106" s="39">
        <v>310</v>
      </c>
      <c r="AS106" s="39">
        <v>-2</v>
      </c>
      <c r="AT106" s="39" t="s">
        <v>4562</v>
      </c>
      <c r="AU106" s="39">
        <v>6</v>
      </c>
      <c r="AV106" s="39" t="s">
        <v>4721</v>
      </c>
      <c r="AW106" s="39">
        <v>321.55</v>
      </c>
      <c r="AX106" s="39">
        <v>327.2</v>
      </c>
      <c r="AY106" s="39">
        <v>334.15</v>
      </c>
      <c r="AZ106" s="39">
        <v>308.95</v>
      </c>
      <c r="BA106" s="39">
        <v>302</v>
      </c>
      <c r="BB106" s="39">
        <v>296.35000000000002</v>
      </c>
      <c r="BC106" s="39">
        <v>16</v>
      </c>
      <c r="BD106" s="39">
        <v>3</v>
      </c>
      <c r="BE106" s="39">
        <v>8</v>
      </c>
      <c r="BF106" s="39" t="s">
        <v>130</v>
      </c>
      <c r="BG106" s="39">
        <v>131.6</v>
      </c>
      <c r="BH106" s="39">
        <v>0.4</v>
      </c>
      <c r="BI106" s="39" t="s">
        <v>4563</v>
      </c>
      <c r="BJ106" s="39" t="s">
        <v>4563</v>
      </c>
      <c r="BK106" t="s">
        <v>5553</v>
      </c>
      <c r="BL106" t="s">
        <v>4882</v>
      </c>
    </row>
    <row r="107" spans="1:64" x14ac:dyDescent="0.35">
      <c r="A107" s="39" t="s">
        <v>367</v>
      </c>
      <c r="B107" s="39" t="s">
        <v>4883</v>
      </c>
      <c r="C107" s="48">
        <v>3349.35</v>
      </c>
      <c r="D107" s="39">
        <v>61</v>
      </c>
      <c r="G107" s="39" t="s">
        <v>4562</v>
      </c>
      <c r="H107" s="39" t="s">
        <v>5468</v>
      </c>
      <c r="I107" s="39" t="s">
        <v>4996</v>
      </c>
      <c r="J107" s="39" t="s">
        <v>5469</v>
      </c>
      <c r="K107" s="39" t="s">
        <v>133</v>
      </c>
      <c r="L107" s="39" t="s">
        <v>5470</v>
      </c>
      <c r="M107" s="39" t="s">
        <v>4620</v>
      </c>
      <c r="N107" s="39">
        <v>31</v>
      </c>
      <c r="O107" s="39">
        <v>-3</v>
      </c>
      <c r="P107" s="39">
        <v>28</v>
      </c>
      <c r="Q107" s="39" t="s">
        <v>5060</v>
      </c>
      <c r="R107" s="39">
        <v>1.57</v>
      </c>
      <c r="S107" s="39">
        <v>-1.1299999999999999</v>
      </c>
      <c r="T107" s="39">
        <v>0.02</v>
      </c>
      <c r="U107" s="39">
        <v>-6.32</v>
      </c>
      <c r="V107" s="39">
        <v>1.94</v>
      </c>
      <c r="W107" s="39">
        <v>3.72</v>
      </c>
      <c r="X107" s="39">
        <v>-1.74</v>
      </c>
      <c r="Y107" s="39">
        <v>29.29</v>
      </c>
      <c r="Z107" s="39">
        <v>56.43</v>
      </c>
      <c r="AA107" s="39">
        <v>101.89</v>
      </c>
      <c r="AB107" s="39">
        <v>17.34</v>
      </c>
      <c r="AC107" s="39">
        <v>958.26</v>
      </c>
      <c r="AD107" s="39" t="s">
        <v>4606</v>
      </c>
      <c r="AE107" s="39" t="s">
        <v>134</v>
      </c>
      <c r="AF107" s="39">
        <v>33</v>
      </c>
      <c r="AG107" s="42">
        <v>5.9200000000000003E-2</v>
      </c>
      <c r="AH107" s="39">
        <v>857</v>
      </c>
      <c r="AI107" s="42">
        <v>0.30270000000000002</v>
      </c>
      <c r="AJ107" s="39" t="s">
        <v>5471</v>
      </c>
      <c r="AK107" s="39" t="s">
        <v>5472</v>
      </c>
      <c r="AL107" s="39" t="s">
        <v>4975</v>
      </c>
      <c r="AM107" s="42">
        <v>1.89E-2</v>
      </c>
      <c r="AN107" s="42">
        <v>8.2500000000000004E-2</v>
      </c>
      <c r="AO107" s="39">
        <v>65</v>
      </c>
      <c r="AP107" s="39">
        <v>51</v>
      </c>
      <c r="AQ107" s="39">
        <v>61</v>
      </c>
      <c r="AR107" s="45">
        <v>110</v>
      </c>
      <c r="AS107" s="39">
        <v>17</v>
      </c>
      <c r="AT107" s="39" t="s">
        <v>129</v>
      </c>
      <c r="AU107" s="39">
        <v>18</v>
      </c>
      <c r="AV107" s="39" t="s">
        <v>4722</v>
      </c>
      <c r="AW107" s="39">
        <v>94.95</v>
      </c>
      <c r="AX107" s="39">
        <v>95.7</v>
      </c>
      <c r="AY107" s="39">
        <v>96.55</v>
      </c>
      <c r="AZ107" s="39">
        <v>93.35</v>
      </c>
      <c r="BA107" s="39">
        <v>92.5</v>
      </c>
      <c r="BB107" s="39">
        <v>91.75</v>
      </c>
      <c r="BC107" s="39">
        <v>4</v>
      </c>
      <c r="BD107" s="39">
        <v>5</v>
      </c>
      <c r="BE107" s="39">
        <v>3</v>
      </c>
      <c r="BF107" s="39" t="s">
        <v>130</v>
      </c>
      <c r="BG107" s="39">
        <v>48.3</v>
      </c>
      <c r="BH107" s="39">
        <v>0.5</v>
      </c>
      <c r="BI107" s="39" t="s">
        <v>132</v>
      </c>
      <c r="BJ107" s="39" t="s">
        <v>4563</v>
      </c>
      <c r="BK107" t="s">
        <v>5554</v>
      </c>
      <c r="BL107" t="s">
        <v>4883</v>
      </c>
    </row>
    <row r="108" spans="1:64" x14ac:dyDescent="0.35">
      <c r="A108" s="39" t="s">
        <v>448</v>
      </c>
      <c r="B108" s="39" t="s">
        <v>4884</v>
      </c>
      <c r="C108" s="48">
        <v>2291.1</v>
      </c>
      <c r="D108" s="39">
        <v>58</v>
      </c>
      <c r="G108" s="39" t="s">
        <v>4562</v>
      </c>
      <c r="H108" s="39" t="s">
        <v>5473</v>
      </c>
      <c r="I108" s="39" t="s">
        <v>4989</v>
      </c>
      <c r="J108" s="39" t="s">
        <v>5474</v>
      </c>
      <c r="K108" s="39" t="s">
        <v>4957</v>
      </c>
      <c r="L108" s="39" t="s">
        <v>5475</v>
      </c>
      <c r="M108" s="39" t="s">
        <v>4620</v>
      </c>
      <c r="N108" s="39">
        <v>0</v>
      </c>
      <c r="O108" s="39">
        <v>-6</v>
      </c>
      <c r="P108" s="39">
        <v>-6</v>
      </c>
      <c r="Q108" s="39" t="s">
        <v>4605</v>
      </c>
      <c r="R108" s="39">
        <v>-2.06</v>
      </c>
      <c r="S108" s="39">
        <v>-1.43</v>
      </c>
      <c r="T108" s="39">
        <v>7.95</v>
      </c>
      <c r="U108" s="39">
        <v>23.24</v>
      </c>
      <c r="V108" s="39">
        <v>2.4500000000000002</v>
      </c>
      <c r="W108" s="39">
        <v>15.99</v>
      </c>
      <c r="X108" s="39">
        <v>-4.95</v>
      </c>
      <c r="Y108" s="39">
        <v>-19.36</v>
      </c>
      <c r="Z108" s="39">
        <v>91.08</v>
      </c>
      <c r="AA108" s="39">
        <v>134.58000000000001</v>
      </c>
      <c r="AB108" s="39">
        <v>92.98</v>
      </c>
      <c r="AC108" s="39">
        <v>483.05</v>
      </c>
      <c r="AD108" s="39" t="s">
        <v>4606</v>
      </c>
      <c r="AE108" s="39" t="s">
        <v>134</v>
      </c>
      <c r="AF108" s="39">
        <v>125</v>
      </c>
      <c r="AG108" s="42">
        <v>0.13039999999999999</v>
      </c>
      <c r="AH108" s="39">
        <v>528</v>
      </c>
      <c r="AI108" s="42">
        <v>0.1719</v>
      </c>
      <c r="AJ108" s="39" t="s">
        <v>5476</v>
      </c>
      <c r="AK108" s="42">
        <v>0.55579999999999996</v>
      </c>
      <c r="AL108" s="39" t="s">
        <v>136</v>
      </c>
      <c r="AM108" s="39" t="s">
        <v>5477</v>
      </c>
      <c r="AN108" s="42">
        <v>4.6300000000000001E-2</v>
      </c>
      <c r="AO108" s="39">
        <v>70</v>
      </c>
      <c r="AP108" s="39">
        <v>30</v>
      </c>
      <c r="AQ108" s="39">
        <v>58</v>
      </c>
      <c r="AR108" s="45">
        <v>2200</v>
      </c>
      <c r="AS108" s="39">
        <v>-4</v>
      </c>
      <c r="AT108" s="39" t="s">
        <v>4562</v>
      </c>
      <c r="AU108" s="39">
        <v>27</v>
      </c>
      <c r="AV108" s="39" t="s">
        <v>4723</v>
      </c>
      <c r="AW108" s="39">
        <v>2330.9</v>
      </c>
      <c r="AX108" s="39">
        <v>2370.75</v>
      </c>
      <c r="AY108" s="39">
        <v>2408.6999999999998</v>
      </c>
      <c r="AZ108" s="39">
        <v>2253.1</v>
      </c>
      <c r="BA108" s="39">
        <v>2215.15</v>
      </c>
      <c r="BB108" s="39">
        <v>2175.3000000000002</v>
      </c>
      <c r="BC108" s="39">
        <v>10</v>
      </c>
      <c r="BD108" s="39">
        <v>7</v>
      </c>
      <c r="BE108" s="39">
        <v>5</v>
      </c>
      <c r="BF108" s="39" t="s">
        <v>130</v>
      </c>
      <c r="BG108" s="48">
        <v>905.3</v>
      </c>
      <c r="BH108" s="39">
        <v>0.4</v>
      </c>
      <c r="BI108" s="39" t="s">
        <v>131</v>
      </c>
      <c r="BJ108" s="39" t="s">
        <v>4563</v>
      </c>
      <c r="BK108" t="s">
        <v>5555</v>
      </c>
      <c r="BL108" t="s">
        <v>4884</v>
      </c>
    </row>
    <row r="109" spans="1:64" x14ac:dyDescent="0.35">
      <c r="A109" s="39" t="s">
        <v>401</v>
      </c>
      <c r="B109" s="39" t="s">
        <v>4885</v>
      </c>
      <c r="C109" s="48">
        <v>1242.05</v>
      </c>
      <c r="D109" s="39">
        <v>64</v>
      </c>
      <c r="G109" s="39" t="s">
        <v>4562</v>
      </c>
      <c r="H109" s="39" t="s">
        <v>5478</v>
      </c>
      <c r="I109" s="39" t="s">
        <v>4989</v>
      </c>
      <c r="J109" s="39" t="s">
        <v>5479</v>
      </c>
      <c r="K109" s="39" t="s">
        <v>133</v>
      </c>
      <c r="L109" s="39" t="s">
        <v>4998</v>
      </c>
      <c r="M109" s="39" t="s">
        <v>4959</v>
      </c>
      <c r="N109" s="39">
        <v>12</v>
      </c>
      <c r="O109" s="39">
        <v>-1</v>
      </c>
      <c r="P109" s="39">
        <v>11</v>
      </c>
      <c r="Q109" s="39" t="s">
        <v>14</v>
      </c>
      <c r="R109" s="39">
        <v>-1.04</v>
      </c>
      <c r="S109" s="39">
        <v>-8</v>
      </c>
      <c r="T109" s="39">
        <v>-3.62</v>
      </c>
      <c r="U109" s="39">
        <v>18.3</v>
      </c>
      <c r="V109" s="39">
        <v>26.57</v>
      </c>
      <c r="W109" s="39">
        <v>16.79</v>
      </c>
      <c r="X109" s="39">
        <v>17.11</v>
      </c>
      <c r="Y109" s="39">
        <v>-16.059999999999999</v>
      </c>
      <c r="Z109" s="39">
        <v>0.2</v>
      </c>
      <c r="AA109" s="39">
        <v>95.55</v>
      </c>
      <c r="AB109" s="39">
        <v>206.53</v>
      </c>
      <c r="AC109" s="39">
        <v>1206.05</v>
      </c>
      <c r="AD109" s="39" t="s">
        <v>4606</v>
      </c>
      <c r="AE109" s="39" t="s">
        <v>134</v>
      </c>
      <c r="AF109" s="39">
        <v>26</v>
      </c>
      <c r="AG109" s="42">
        <v>0.12509999999999999</v>
      </c>
      <c r="AH109" s="39">
        <v>449</v>
      </c>
      <c r="AI109" s="42">
        <v>8.6999999999999994E-2</v>
      </c>
      <c r="AJ109" s="39" t="s">
        <v>5480</v>
      </c>
      <c r="AK109" s="42">
        <v>0.1087</v>
      </c>
      <c r="AL109" s="39" t="s">
        <v>5261</v>
      </c>
      <c r="AM109" s="42">
        <v>7.1199999999999999E-2</v>
      </c>
      <c r="AN109" s="42">
        <v>3.6499999999999998E-2</v>
      </c>
      <c r="AO109" s="39">
        <v>30</v>
      </c>
      <c r="AP109" s="39">
        <v>36</v>
      </c>
      <c r="AQ109" s="39">
        <v>61</v>
      </c>
      <c r="AR109" s="45">
        <v>1349</v>
      </c>
      <c r="AS109" s="39">
        <v>9</v>
      </c>
      <c r="AT109" s="39" t="s">
        <v>4562</v>
      </c>
      <c r="AU109" s="39">
        <v>19</v>
      </c>
      <c r="AV109" s="39" t="s">
        <v>4724</v>
      </c>
      <c r="AW109" s="39">
        <v>1254.3499999999999</v>
      </c>
      <c r="AX109" s="39">
        <v>1267.0999999999999</v>
      </c>
      <c r="AY109" s="39">
        <v>1277.25</v>
      </c>
      <c r="AZ109" s="39">
        <v>1231.45</v>
      </c>
      <c r="BA109" s="39">
        <v>1221.3</v>
      </c>
      <c r="BB109" s="39">
        <v>1208.55</v>
      </c>
      <c r="BC109" s="39">
        <v>7</v>
      </c>
      <c r="BD109" s="39">
        <v>4</v>
      </c>
      <c r="BE109" s="39">
        <v>2</v>
      </c>
      <c r="BF109" s="39">
        <v>1</v>
      </c>
      <c r="BG109" s="48">
        <v>1086.3</v>
      </c>
      <c r="BH109" s="39">
        <v>0.9</v>
      </c>
      <c r="BI109" s="39" t="s">
        <v>131</v>
      </c>
      <c r="BJ109" s="39" t="s">
        <v>4563</v>
      </c>
      <c r="BK109" t="s">
        <v>5556</v>
      </c>
      <c r="BL109" s="57" t="s">
        <v>4885</v>
      </c>
    </row>
    <row r="110" spans="1:64" x14ac:dyDescent="0.35">
      <c r="A110" s="39" t="s">
        <v>776</v>
      </c>
      <c r="B110" s="39" t="s">
        <v>4886</v>
      </c>
      <c r="C110" s="39">
        <v>86.79</v>
      </c>
      <c r="D110" s="39">
        <v>50</v>
      </c>
      <c r="G110" s="39" t="s">
        <v>4562</v>
      </c>
      <c r="H110" s="39" t="s">
        <v>5481</v>
      </c>
      <c r="I110" s="39" t="s">
        <v>4989</v>
      </c>
      <c r="J110" s="39" t="s">
        <v>5482</v>
      </c>
      <c r="K110" s="39" t="s">
        <v>133</v>
      </c>
      <c r="L110" s="39" t="s">
        <v>5483</v>
      </c>
      <c r="M110" s="39" t="s">
        <v>4959</v>
      </c>
      <c r="N110" s="39">
        <v>0</v>
      </c>
      <c r="O110" s="39">
        <v>-10</v>
      </c>
      <c r="P110" s="39">
        <v>-10</v>
      </c>
      <c r="Q110" s="39" t="s">
        <v>4605</v>
      </c>
      <c r="R110" s="39">
        <v>-1.1200000000000001</v>
      </c>
      <c r="S110" s="39">
        <v>-7.91</v>
      </c>
      <c r="T110" s="39">
        <v>-6.59</v>
      </c>
      <c r="U110" s="39">
        <v>7.2</v>
      </c>
      <c r="V110" s="39">
        <v>7.95</v>
      </c>
      <c r="W110" s="39">
        <v>7.88</v>
      </c>
      <c r="X110" s="39">
        <v>6.82</v>
      </c>
      <c r="Y110" s="39">
        <v>10.42</v>
      </c>
      <c r="Z110" s="39">
        <v>139.75</v>
      </c>
      <c r="AA110" s="39">
        <v>110.4</v>
      </c>
      <c r="AB110" s="39">
        <v>26.15</v>
      </c>
      <c r="AC110" s="39">
        <v>232.53</v>
      </c>
      <c r="AD110" s="39" t="s">
        <v>4606</v>
      </c>
      <c r="AE110" s="39" t="s">
        <v>134</v>
      </c>
      <c r="AF110" s="39">
        <v>26</v>
      </c>
      <c r="AG110" s="42">
        <v>9.5200000000000007E-2</v>
      </c>
      <c r="AH110" s="39">
        <v>205</v>
      </c>
      <c r="AI110" s="42">
        <v>0.14960000000000001</v>
      </c>
      <c r="AJ110" s="39" t="s">
        <v>5061</v>
      </c>
      <c r="AK110" s="42">
        <v>0.51280000000000003</v>
      </c>
      <c r="AL110" s="39" t="s">
        <v>5484</v>
      </c>
      <c r="AM110" s="42">
        <v>4.2799999999999998E-2</v>
      </c>
      <c r="AN110" s="42">
        <v>0.1552</v>
      </c>
      <c r="AO110" s="39">
        <v>85</v>
      </c>
      <c r="AP110" s="39">
        <v>38</v>
      </c>
      <c r="AQ110" s="39">
        <v>65</v>
      </c>
      <c r="AR110" s="45">
        <v>790</v>
      </c>
      <c r="AS110" s="39">
        <v>-9</v>
      </c>
      <c r="AT110" s="39" t="s">
        <v>4562</v>
      </c>
      <c r="AU110" s="39">
        <v>13</v>
      </c>
      <c r="AV110" s="39" t="s">
        <v>4725</v>
      </c>
      <c r="AW110" s="39">
        <v>874.22</v>
      </c>
      <c r="AX110" s="39">
        <v>883.48</v>
      </c>
      <c r="AY110" s="39">
        <v>894.07</v>
      </c>
      <c r="AZ110" s="39">
        <v>854.37</v>
      </c>
      <c r="BA110" s="39">
        <v>843.78</v>
      </c>
      <c r="BB110" s="39">
        <v>834.52</v>
      </c>
      <c r="BC110" s="39">
        <v>12</v>
      </c>
      <c r="BD110" s="39" t="s">
        <v>130</v>
      </c>
      <c r="BE110" s="39">
        <v>9</v>
      </c>
      <c r="BF110" s="39" t="s">
        <v>130</v>
      </c>
      <c r="BG110" s="39">
        <v>528</v>
      </c>
      <c r="BH110" s="39">
        <v>0.6</v>
      </c>
      <c r="BI110" s="39" t="s">
        <v>131</v>
      </c>
      <c r="BJ110" s="39" t="s">
        <v>4563</v>
      </c>
      <c r="BK110" t="s">
        <v>5557</v>
      </c>
      <c r="BL110" t="s">
        <v>4886</v>
      </c>
    </row>
    <row r="111" spans="1:64" x14ac:dyDescent="0.35">
      <c r="A111" s="39" t="s">
        <v>352</v>
      </c>
      <c r="B111" s="39" t="s">
        <v>4887</v>
      </c>
      <c r="C111" s="48">
        <v>4188.75</v>
      </c>
      <c r="D111" s="39">
        <v>57</v>
      </c>
      <c r="G111" s="39" t="s">
        <v>4562</v>
      </c>
      <c r="H111" s="39" t="s">
        <v>5485</v>
      </c>
      <c r="I111" s="39" t="s">
        <v>4989</v>
      </c>
      <c r="J111" s="39" t="s">
        <v>5486</v>
      </c>
      <c r="K111" s="39" t="s">
        <v>4615</v>
      </c>
      <c r="L111" s="39" t="s">
        <v>5487</v>
      </c>
      <c r="N111" s="39">
        <v>15</v>
      </c>
      <c r="O111" s="39">
        <v>-2</v>
      </c>
      <c r="P111" s="39">
        <v>13</v>
      </c>
      <c r="Q111" s="39" t="s">
        <v>14</v>
      </c>
      <c r="R111" s="39">
        <v>-2.62</v>
      </c>
      <c r="S111" s="39">
        <v>-6.06</v>
      </c>
      <c r="T111" s="39">
        <v>-10.69</v>
      </c>
      <c r="U111" s="39">
        <v>12.12</v>
      </c>
      <c r="V111" s="39">
        <v>19.260000000000002</v>
      </c>
      <c r="W111" s="39">
        <v>6.38</v>
      </c>
      <c r="X111" s="39">
        <v>-6.21</v>
      </c>
      <c r="Y111" s="39">
        <v>-23.55</v>
      </c>
      <c r="Z111" s="39">
        <v>27.83</v>
      </c>
      <c r="AA111" s="39">
        <v>91.37</v>
      </c>
      <c r="AB111" s="39">
        <v>181.53</v>
      </c>
      <c r="AC111" s="39">
        <v>1225.97</v>
      </c>
      <c r="AD111" s="39" t="s">
        <v>4606</v>
      </c>
      <c r="AE111" s="39" t="s">
        <v>134</v>
      </c>
      <c r="AF111" s="39">
        <v>24</v>
      </c>
      <c r="AG111" s="42">
        <v>0.10340000000000001</v>
      </c>
      <c r="AH111" s="39">
        <v>719</v>
      </c>
      <c r="AI111" s="42">
        <v>0.31540000000000001</v>
      </c>
      <c r="AJ111" s="39" t="s">
        <v>5488</v>
      </c>
      <c r="AK111" s="42">
        <v>0.24310000000000001</v>
      </c>
      <c r="AL111" s="39" t="s">
        <v>5034</v>
      </c>
      <c r="AM111" s="43">
        <v>7.0000000000000007E-2</v>
      </c>
      <c r="AN111" s="42">
        <v>8.7900000000000006E-2</v>
      </c>
      <c r="AO111" s="39">
        <v>40</v>
      </c>
      <c r="AP111" s="39">
        <v>9</v>
      </c>
      <c r="AQ111" s="39">
        <v>49</v>
      </c>
      <c r="AR111" s="45">
        <v>4477</v>
      </c>
      <c r="AS111" s="39">
        <v>7</v>
      </c>
      <c r="AT111" s="39" t="s">
        <v>4562</v>
      </c>
      <c r="AU111" s="39">
        <v>21</v>
      </c>
      <c r="AV111" s="39" t="s">
        <v>4726</v>
      </c>
      <c r="AW111" s="39">
        <v>4264.43</v>
      </c>
      <c r="AX111" s="39">
        <v>4339.37</v>
      </c>
      <c r="AY111" s="39">
        <v>4382.7299999999996</v>
      </c>
      <c r="AZ111" s="39">
        <v>4146.13</v>
      </c>
      <c r="BA111" s="39">
        <v>4102.7700000000004</v>
      </c>
      <c r="BB111" s="39">
        <v>4027.83</v>
      </c>
      <c r="BC111" s="39">
        <v>3</v>
      </c>
      <c r="BD111" s="39" t="s">
        <v>130</v>
      </c>
      <c r="BE111" s="39">
        <v>0.4</v>
      </c>
      <c r="BF111" s="39">
        <v>1.42</v>
      </c>
      <c r="BG111" s="39">
        <v>5</v>
      </c>
      <c r="BH111" s="39">
        <v>5</v>
      </c>
      <c r="BI111" s="39" t="s">
        <v>4563</v>
      </c>
      <c r="BJ111" s="39" t="s">
        <v>4563</v>
      </c>
      <c r="BK111" t="s">
        <v>5558</v>
      </c>
      <c r="BL111" t="s">
        <v>4887</v>
      </c>
    </row>
    <row r="112" spans="1:64" x14ac:dyDescent="0.35">
      <c r="A112" s="39" t="s">
        <v>4539</v>
      </c>
      <c r="B112" s="39" t="s">
        <v>4888</v>
      </c>
      <c r="C112" s="39">
        <v>814.65</v>
      </c>
      <c r="G112" s="39" t="s">
        <v>5349</v>
      </c>
      <c r="I112" s="39" t="s">
        <v>4996</v>
      </c>
      <c r="J112" s="39" t="s">
        <v>5489</v>
      </c>
      <c r="M112" s="39" t="s">
        <v>4959</v>
      </c>
      <c r="R112" s="39">
        <v>-1.0900000000000001</v>
      </c>
      <c r="S112" s="39">
        <v>-6.42</v>
      </c>
      <c r="T112" s="39" t="s">
        <v>4538</v>
      </c>
      <c r="U112" s="39" t="s">
        <v>4538</v>
      </c>
      <c r="V112" s="39" t="s">
        <v>4538</v>
      </c>
      <c r="W112" s="39" t="s">
        <v>4538</v>
      </c>
      <c r="X112" s="39" t="s">
        <v>4538</v>
      </c>
      <c r="Y112" s="39" t="s">
        <v>4538</v>
      </c>
      <c r="Z112" s="39" t="s">
        <v>4538</v>
      </c>
      <c r="AA112" s="39" t="s">
        <v>4538</v>
      </c>
      <c r="AB112" s="39" t="s">
        <v>4538</v>
      </c>
      <c r="AC112" s="39" t="s">
        <v>4538</v>
      </c>
      <c r="AD112" s="39" t="s">
        <v>4606</v>
      </c>
      <c r="AE112" s="39" t="s">
        <v>134</v>
      </c>
      <c r="AF112" s="39">
        <v>10</v>
      </c>
      <c r="AG112" s="42">
        <v>4.41E-2</v>
      </c>
      <c r="AH112" s="39">
        <v>46</v>
      </c>
      <c r="AI112" s="42">
        <v>3.4099999999999998E-2</v>
      </c>
      <c r="AJ112" s="39" t="s">
        <v>5490</v>
      </c>
      <c r="AK112" s="42">
        <v>0.30059999999999998</v>
      </c>
      <c r="AN112" s="42">
        <v>0.11609999999999999</v>
      </c>
      <c r="AO112" s="39" t="s">
        <v>130</v>
      </c>
      <c r="AP112" s="39">
        <v>2</v>
      </c>
      <c r="AQ112" s="39">
        <v>10</v>
      </c>
      <c r="AS112" s="39" t="s">
        <v>4564</v>
      </c>
      <c r="AW112" s="39">
        <v>828.68</v>
      </c>
      <c r="AX112" s="39">
        <v>842.27</v>
      </c>
      <c r="AY112" s="39">
        <v>851.58</v>
      </c>
      <c r="AZ112" s="39">
        <v>805.78</v>
      </c>
      <c r="BA112" s="39">
        <v>796.47</v>
      </c>
      <c r="BB112" s="39">
        <v>782.88</v>
      </c>
      <c r="BC112" s="39">
        <v>952</v>
      </c>
      <c r="BG112" s="39">
        <v>811</v>
      </c>
      <c r="BI112" s="39" t="s">
        <v>4727</v>
      </c>
      <c r="BJ112" s="39" t="s">
        <v>132</v>
      </c>
      <c r="BK112" t="s">
        <v>5559</v>
      </c>
      <c r="BL112" t="s">
        <v>4888</v>
      </c>
    </row>
    <row r="113" spans="1:64" x14ac:dyDescent="0.35">
      <c r="A113" s="39" t="s">
        <v>393</v>
      </c>
      <c r="B113" s="39" t="s">
        <v>4889</v>
      </c>
      <c r="C113" s="39">
        <v>49.84</v>
      </c>
      <c r="D113" s="39">
        <v>58</v>
      </c>
      <c r="G113" s="39" t="s">
        <v>4562</v>
      </c>
      <c r="H113" s="39" t="s">
        <v>5491</v>
      </c>
      <c r="I113" s="39" t="s">
        <v>4624</v>
      </c>
      <c r="J113" s="39" t="s">
        <v>5492</v>
      </c>
      <c r="K113" s="39" t="s">
        <v>4615</v>
      </c>
      <c r="L113" s="39" t="s">
        <v>5493</v>
      </c>
      <c r="M113" s="39" t="s">
        <v>4959</v>
      </c>
      <c r="N113" s="39">
        <v>2</v>
      </c>
      <c r="O113" s="39">
        <v>-2</v>
      </c>
      <c r="P113" s="39">
        <v>0</v>
      </c>
      <c r="Q113" s="39" t="s">
        <v>4611</v>
      </c>
      <c r="R113" s="39">
        <v>0.28000000000000003</v>
      </c>
      <c r="S113" s="39">
        <v>-0.7</v>
      </c>
      <c r="T113" s="39">
        <v>9.32</v>
      </c>
      <c r="U113" s="39">
        <v>13.17</v>
      </c>
      <c r="V113" s="39">
        <v>24.76</v>
      </c>
      <c r="W113" s="39">
        <v>25.54</v>
      </c>
      <c r="X113" s="39">
        <v>43.84</v>
      </c>
      <c r="Y113" s="39">
        <v>89.87</v>
      </c>
      <c r="Z113" s="39">
        <v>139.62</v>
      </c>
      <c r="AA113" s="39">
        <v>115.29</v>
      </c>
      <c r="AB113" s="39">
        <v>95.83</v>
      </c>
      <c r="AC113" s="39">
        <v>205.77</v>
      </c>
      <c r="AD113" s="39" t="s">
        <v>4606</v>
      </c>
      <c r="AE113" s="39" t="s">
        <v>134</v>
      </c>
      <c r="AF113" s="39">
        <v>19</v>
      </c>
      <c r="AG113" s="42">
        <v>9.3700000000000006E-2</v>
      </c>
      <c r="AH113" s="39">
        <v>244</v>
      </c>
      <c r="AI113" s="42">
        <v>7.5800000000000006E-2</v>
      </c>
      <c r="AJ113" s="39" t="s">
        <v>5061</v>
      </c>
      <c r="AK113" s="42">
        <v>0.70950000000000002</v>
      </c>
      <c r="AL113" s="39" t="s">
        <v>136</v>
      </c>
      <c r="AM113" s="42">
        <v>3.4799999999999998E-2</v>
      </c>
      <c r="AN113" s="42">
        <v>4.9000000000000002E-2</v>
      </c>
      <c r="AO113" s="39">
        <v>60</v>
      </c>
      <c r="AP113" s="39">
        <v>56</v>
      </c>
      <c r="AQ113" s="39">
        <v>61</v>
      </c>
      <c r="AR113" s="45">
        <v>54</v>
      </c>
      <c r="AS113" s="39">
        <v>9</v>
      </c>
      <c r="AT113" s="39" t="s">
        <v>129</v>
      </c>
      <c r="AU113" s="39">
        <v>8</v>
      </c>
      <c r="AV113" s="39" t="s">
        <v>4728</v>
      </c>
      <c r="AW113" s="39">
        <v>50.08</v>
      </c>
      <c r="AX113" s="39">
        <v>50.32</v>
      </c>
      <c r="AY113" s="39">
        <v>50.68</v>
      </c>
      <c r="AZ113" s="39">
        <v>49.48</v>
      </c>
      <c r="BA113" s="39">
        <v>49.12</v>
      </c>
      <c r="BB113" s="39">
        <v>48.88</v>
      </c>
      <c r="BC113" s="39">
        <v>9</v>
      </c>
      <c r="BD113" s="39">
        <v>4</v>
      </c>
      <c r="BE113" s="39">
        <v>5</v>
      </c>
      <c r="BF113" s="39" t="s">
        <v>130</v>
      </c>
      <c r="BG113" s="48">
        <v>60.1</v>
      </c>
      <c r="BH113" s="39">
        <v>1.2</v>
      </c>
      <c r="BI113" s="39" t="s">
        <v>4563</v>
      </c>
      <c r="BJ113" s="39" t="s">
        <v>4563</v>
      </c>
      <c r="BK113" t="s">
        <v>5560</v>
      </c>
      <c r="BL113" t="s">
        <v>4889</v>
      </c>
    </row>
    <row r="114" spans="1:64" x14ac:dyDescent="0.35">
      <c r="A114" s="39" t="s">
        <v>1377</v>
      </c>
      <c r="B114" s="39" t="s">
        <v>4890</v>
      </c>
      <c r="C114" s="48">
        <v>2362.15</v>
      </c>
      <c r="D114" s="39">
        <v>68</v>
      </c>
      <c r="G114" s="39" t="s">
        <v>4562</v>
      </c>
      <c r="H114" s="39" t="s">
        <v>5494</v>
      </c>
      <c r="I114" s="39" t="s">
        <v>4989</v>
      </c>
      <c r="J114" s="39" t="s">
        <v>5495</v>
      </c>
      <c r="K114" s="39" t="s">
        <v>133</v>
      </c>
      <c r="L114" s="39" t="s">
        <v>5496</v>
      </c>
      <c r="M114" s="39" t="s">
        <v>135</v>
      </c>
      <c r="N114" s="39">
        <v>7</v>
      </c>
      <c r="O114" s="39">
        <v>0</v>
      </c>
      <c r="P114" s="39">
        <v>7</v>
      </c>
      <c r="Q114" s="39" t="s">
        <v>14</v>
      </c>
      <c r="R114" s="39">
        <v>-3.68</v>
      </c>
      <c r="S114" s="39">
        <v>-7.63</v>
      </c>
      <c r="T114" s="39">
        <v>-3.59</v>
      </c>
      <c r="U114" s="39">
        <v>11.44</v>
      </c>
      <c r="V114" s="39">
        <v>17.68</v>
      </c>
      <c r="W114" s="39">
        <v>25.22</v>
      </c>
      <c r="X114" s="39">
        <v>8.31</v>
      </c>
      <c r="Y114" s="39">
        <v>-11.2</v>
      </c>
      <c r="Z114" s="39">
        <v>88.42</v>
      </c>
      <c r="AA114" s="39">
        <v>129</v>
      </c>
      <c r="AB114" s="39">
        <v>24.49</v>
      </c>
      <c r="AC114" s="39">
        <v>2264.5100000000002</v>
      </c>
      <c r="AD114" s="39" t="s">
        <v>4606</v>
      </c>
      <c r="AE114" s="39" t="s">
        <v>134</v>
      </c>
      <c r="AF114" s="39">
        <v>3</v>
      </c>
      <c r="AG114" s="42">
        <v>0.19620000000000001</v>
      </c>
      <c r="AH114" s="39">
        <v>39</v>
      </c>
      <c r="AI114" s="42">
        <v>1.0200000000000001E-2</v>
      </c>
      <c r="AJ114" s="39" t="s">
        <v>5497</v>
      </c>
      <c r="AK114" s="42">
        <v>0.14760000000000001</v>
      </c>
      <c r="AL114" s="39" t="s">
        <v>5206</v>
      </c>
      <c r="AM114" s="42">
        <v>8.6599999999999996E-2</v>
      </c>
      <c r="AN114" s="42">
        <v>0.11210000000000001</v>
      </c>
      <c r="AO114" s="39">
        <v>85</v>
      </c>
      <c r="AP114" s="39">
        <v>45</v>
      </c>
      <c r="AQ114" s="39">
        <v>53</v>
      </c>
      <c r="AR114" s="45">
        <v>2681</v>
      </c>
      <c r="AS114" s="39">
        <v>13</v>
      </c>
      <c r="AT114" s="39" t="s">
        <v>4562</v>
      </c>
      <c r="AU114" s="39">
        <v>2</v>
      </c>
      <c r="AV114" s="39" t="s">
        <v>4729</v>
      </c>
      <c r="AW114" s="39">
        <v>2410.15</v>
      </c>
      <c r="AX114" s="39">
        <v>2449.75</v>
      </c>
      <c r="AY114" s="39">
        <v>2487.4499999999998</v>
      </c>
      <c r="AZ114" s="39">
        <v>2332.85</v>
      </c>
      <c r="BA114" s="39">
        <v>2295.15</v>
      </c>
      <c r="BB114" s="39">
        <v>2255.5500000000002</v>
      </c>
      <c r="BC114" s="39">
        <v>6</v>
      </c>
      <c r="BD114" s="39">
        <v>4</v>
      </c>
      <c r="BE114" s="39">
        <v>3</v>
      </c>
      <c r="BF114" s="39" t="s">
        <v>130</v>
      </c>
      <c r="BG114" s="48">
        <v>1352.7</v>
      </c>
      <c r="BH114" s="39">
        <v>0.6</v>
      </c>
      <c r="BI114" s="39" t="s">
        <v>4651</v>
      </c>
      <c r="BJ114" s="39" t="s">
        <v>4563</v>
      </c>
      <c r="BK114" t="s">
        <v>5561</v>
      </c>
      <c r="BL114" t="s">
        <v>4890</v>
      </c>
    </row>
    <row r="115" spans="1:64" x14ac:dyDescent="0.35">
      <c r="A115" s="39" t="s">
        <v>760</v>
      </c>
      <c r="C115" s="39">
        <v>123.4</v>
      </c>
      <c r="D115" s="39">
        <v>71</v>
      </c>
      <c r="G115" s="39" t="s">
        <v>129</v>
      </c>
      <c r="H115" s="39" t="s">
        <v>5498</v>
      </c>
      <c r="I115" s="39" t="s">
        <v>4624</v>
      </c>
      <c r="J115" s="39" t="s">
        <v>5499</v>
      </c>
      <c r="K115" s="39" t="s">
        <v>4615</v>
      </c>
      <c r="L115" s="39" t="s">
        <v>5500</v>
      </c>
      <c r="M115" s="39" t="s">
        <v>5047</v>
      </c>
      <c r="N115" s="39">
        <v>15</v>
      </c>
      <c r="O115" s="39">
        <v>-8</v>
      </c>
      <c r="P115" s="39">
        <v>7</v>
      </c>
      <c r="Q115" s="39" t="s">
        <v>14</v>
      </c>
      <c r="R115" s="39">
        <v>-1.48</v>
      </c>
      <c r="S115" s="39">
        <v>-7.29</v>
      </c>
      <c r="T115" s="39">
        <v>4.58</v>
      </c>
      <c r="U115" s="39">
        <v>43.29</v>
      </c>
      <c r="V115" s="39">
        <v>58.1</v>
      </c>
      <c r="W115" s="39">
        <v>43.32</v>
      </c>
      <c r="X115" s="39">
        <v>71.27</v>
      </c>
      <c r="Y115" s="39">
        <v>137.31</v>
      </c>
      <c r="Z115" s="39">
        <v>131.30000000000001</v>
      </c>
      <c r="AA115" s="39">
        <v>125.39</v>
      </c>
      <c r="AB115" s="39">
        <v>63.88</v>
      </c>
      <c r="AC115" s="39">
        <v>120.75</v>
      </c>
      <c r="AD115" s="39" t="s">
        <v>4606</v>
      </c>
      <c r="AE115" s="39" t="s">
        <v>134</v>
      </c>
      <c r="AF115" s="39">
        <v>11</v>
      </c>
      <c r="AG115" s="42">
        <v>5.0900000000000001E-2</v>
      </c>
      <c r="AH115" s="39">
        <v>45</v>
      </c>
      <c r="AI115" s="42">
        <v>8.0999999999999996E-3</v>
      </c>
      <c r="AJ115" s="39" t="s">
        <v>5061</v>
      </c>
      <c r="AK115" s="42">
        <v>0.79200000000000004</v>
      </c>
      <c r="AL115" s="39" t="s">
        <v>5501</v>
      </c>
      <c r="AM115" s="39" t="s">
        <v>5502</v>
      </c>
      <c r="AN115" s="42">
        <v>6.2399999999999997E-2</v>
      </c>
      <c r="AO115" s="39">
        <v>60</v>
      </c>
      <c r="AP115" s="39">
        <v>64</v>
      </c>
      <c r="AQ115" s="39">
        <v>65</v>
      </c>
      <c r="AS115" s="39" t="s">
        <v>4564</v>
      </c>
      <c r="AW115" s="39">
        <v>128.91999999999999</v>
      </c>
      <c r="AX115" s="39">
        <v>134.53</v>
      </c>
      <c r="AY115" s="39">
        <v>139.66999999999999</v>
      </c>
      <c r="AZ115" s="39">
        <v>118.17</v>
      </c>
      <c r="BA115" s="39">
        <v>113.03</v>
      </c>
      <c r="BB115" s="39">
        <v>107.42</v>
      </c>
      <c r="BC115" s="39">
        <v>5</v>
      </c>
      <c r="BD115" s="39">
        <v>3</v>
      </c>
      <c r="BE115" s="39" t="s">
        <v>130</v>
      </c>
      <c r="BF115" s="39">
        <v>1.05</v>
      </c>
      <c r="BG115" s="39">
        <v>6</v>
      </c>
      <c r="BH115" s="39">
        <v>159.80000000000001</v>
      </c>
      <c r="BI115" s="39" t="s">
        <v>4563</v>
      </c>
      <c r="BJ115" s="39" t="s">
        <v>4563</v>
      </c>
      <c r="BK115" t="s">
        <v>5562</v>
      </c>
      <c r="BL115" s="57" t="s">
        <v>4891</v>
      </c>
    </row>
    <row r="116" spans="1:64" x14ac:dyDescent="0.35">
      <c r="A116" s="39" t="s">
        <v>227</v>
      </c>
      <c r="C116" s="39">
        <v>215.15</v>
      </c>
      <c r="D116" s="39">
        <v>71</v>
      </c>
      <c r="G116" s="39" t="s">
        <v>129</v>
      </c>
      <c r="H116" s="39" t="s">
        <v>5503</v>
      </c>
      <c r="I116" s="39" t="s">
        <v>4624</v>
      </c>
      <c r="J116" s="39" t="s">
        <v>5504</v>
      </c>
      <c r="K116" s="39" t="s">
        <v>4615</v>
      </c>
      <c r="L116" s="39" t="s">
        <v>5505</v>
      </c>
      <c r="M116" s="39" t="s">
        <v>5047</v>
      </c>
      <c r="N116" s="39">
        <v>8</v>
      </c>
      <c r="O116" s="39">
        <v>-2</v>
      </c>
      <c r="P116" s="39">
        <v>6</v>
      </c>
      <c r="Q116" s="39" t="s">
        <v>14</v>
      </c>
      <c r="R116" s="39">
        <v>-0.28000000000000003</v>
      </c>
      <c r="S116" s="39">
        <v>1.01</v>
      </c>
      <c r="T116" s="39">
        <v>14.93</v>
      </c>
      <c r="U116" s="39">
        <v>22.94</v>
      </c>
      <c r="V116" s="39">
        <v>27.88</v>
      </c>
      <c r="W116" s="39">
        <v>29.34</v>
      </c>
      <c r="X116" s="39">
        <v>33.840000000000003</v>
      </c>
      <c r="Y116" s="39">
        <v>84.68</v>
      </c>
      <c r="Z116" s="39">
        <v>126.24</v>
      </c>
      <c r="AA116" s="39">
        <v>82.56</v>
      </c>
      <c r="AB116" s="39">
        <v>63.46</v>
      </c>
      <c r="AC116" s="39">
        <v>84.94</v>
      </c>
      <c r="AD116" s="39" t="s">
        <v>4606</v>
      </c>
      <c r="AE116" s="39" t="s">
        <v>134</v>
      </c>
      <c r="AF116" s="39">
        <v>35</v>
      </c>
      <c r="AG116" s="42">
        <v>0.20100000000000001</v>
      </c>
      <c r="AH116" s="39">
        <v>619</v>
      </c>
      <c r="AI116" s="42">
        <v>0.15770000000000001</v>
      </c>
      <c r="AJ116" s="39" t="s">
        <v>5061</v>
      </c>
      <c r="AK116" s="42">
        <v>0.51100000000000001</v>
      </c>
      <c r="AL116" s="39" t="s">
        <v>5506</v>
      </c>
      <c r="AM116" s="42">
        <v>5.7000000000000002E-2</v>
      </c>
      <c r="AN116" s="42">
        <v>2.1100000000000001E-2</v>
      </c>
      <c r="AO116" s="39">
        <v>55</v>
      </c>
      <c r="AP116" s="39">
        <v>62</v>
      </c>
      <c r="AQ116" s="39">
        <v>60</v>
      </c>
      <c r="AR116" s="39">
        <v>234</v>
      </c>
      <c r="AS116" s="39">
        <v>9</v>
      </c>
      <c r="AT116" s="39" t="s">
        <v>129</v>
      </c>
      <c r="AU116" s="39">
        <v>25</v>
      </c>
      <c r="AV116" s="39" t="s">
        <v>4730</v>
      </c>
      <c r="AW116" s="39">
        <v>216.77</v>
      </c>
      <c r="AX116" s="39">
        <v>218.38</v>
      </c>
      <c r="AY116" s="39">
        <v>220.12</v>
      </c>
      <c r="AZ116" s="39">
        <v>213.42</v>
      </c>
      <c r="BA116" s="39">
        <v>211.68</v>
      </c>
      <c r="BB116" s="39">
        <v>210.07</v>
      </c>
      <c r="BC116" s="39">
        <v>11</v>
      </c>
      <c r="BD116" s="39">
        <v>2</v>
      </c>
      <c r="BE116" s="39">
        <v>5</v>
      </c>
      <c r="BF116" s="39" t="s">
        <v>130</v>
      </c>
      <c r="BG116" s="39">
        <v>253.9</v>
      </c>
      <c r="BH116" s="39">
        <v>1.2</v>
      </c>
      <c r="BI116" s="39" t="s">
        <v>4563</v>
      </c>
      <c r="BJ116" s="39" t="s">
        <v>4563</v>
      </c>
      <c r="BK116" t="s">
        <v>5563</v>
      </c>
      <c r="BL116" t="s">
        <v>4892</v>
      </c>
    </row>
    <row r="117" spans="1:64" x14ac:dyDescent="0.35">
      <c r="A117" s="39" t="s">
        <v>428</v>
      </c>
      <c r="B117" s="39" t="s">
        <v>4893</v>
      </c>
      <c r="C117" s="39">
        <v>131.9</v>
      </c>
      <c r="D117" s="39">
        <v>37</v>
      </c>
      <c r="G117" s="39" t="s">
        <v>4625</v>
      </c>
      <c r="H117" s="39" t="s">
        <v>5507</v>
      </c>
      <c r="I117" s="39" t="s">
        <v>4976</v>
      </c>
      <c r="J117" s="39" t="s">
        <v>5508</v>
      </c>
      <c r="K117" s="39" t="s">
        <v>4615</v>
      </c>
      <c r="L117" s="39" t="s">
        <v>5008</v>
      </c>
      <c r="M117" s="39" t="s">
        <v>4620</v>
      </c>
      <c r="N117" s="39">
        <v>8</v>
      </c>
      <c r="O117" s="39">
        <v>-8</v>
      </c>
      <c r="P117" s="39">
        <v>0</v>
      </c>
      <c r="Q117" s="39" t="s">
        <v>4611</v>
      </c>
      <c r="R117" s="39">
        <v>-0.94</v>
      </c>
      <c r="S117" s="39">
        <v>-9.81</v>
      </c>
      <c r="T117" s="39">
        <v>-8.69</v>
      </c>
      <c r="U117" s="39">
        <v>4.8899999999999997</v>
      </c>
      <c r="V117" s="39">
        <v>-5.41</v>
      </c>
      <c r="W117" s="39">
        <v>-14.79</v>
      </c>
      <c r="X117" s="39">
        <v>-43</v>
      </c>
      <c r="Y117" s="39" t="s">
        <v>4538</v>
      </c>
      <c r="Z117" s="39" t="s">
        <v>4538</v>
      </c>
      <c r="AA117" s="39" t="s">
        <v>4538</v>
      </c>
      <c r="AB117" s="39" t="s">
        <v>4538</v>
      </c>
      <c r="AC117" s="39" t="s">
        <v>4538</v>
      </c>
      <c r="AD117" s="39" t="s">
        <v>4606</v>
      </c>
      <c r="AE117" s="39" t="s">
        <v>134</v>
      </c>
      <c r="AF117" s="39">
        <v>20</v>
      </c>
      <c r="AG117" s="42">
        <v>8.5000000000000006E-2</v>
      </c>
      <c r="AH117" s="39">
        <v>175</v>
      </c>
      <c r="AI117" s="42">
        <v>0.1004</v>
      </c>
      <c r="AJ117" s="39" t="s">
        <v>5509</v>
      </c>
      <c r="AK117" s="39" t="s">
        <v>5510</v>
      </c>
      <c r="AL117" s="39" t="s">
        <v>5511</v>
      </c>
      <c r="AM117" s="42">
        <v>6.4100000000000004E-2</v>
      </c>
      <c r="AN117" s="42">
        <v>0.1163</v>
      </c>
      <c r="AO117" s="39">
        <v>50</v>
      </c>
      <c r="AP117" s="39">
        <v>4</v>
      </c>
      <c r="AQ117" s="39">
        <v>35</v>
      </c>
      <c r="AR117" s="45">
        <v>168</v>
      </c>
      <c r="AS117" s="39">
        <v>28</v>
      </c>
      <c r="AT117" s="39" t="s">
        <v>4562</v>
      </c>
      <c r="AU117" s="39">
        <v>21</v>
      </c>
      <c r="AV117" s="39" t="s">
        <v>4731</v>
      </c>
      <c r="AW117" s="39">
        <v>133.35</v>
      </c>
      <c r="AX117" s="39">
        <v>134.69999999999999</v>
      </c>
      <c r="AY117" s="39">
        <v>136</v>
      </c>
      <c r="AZ117" s="39">
        <v>130.69999999999999</v>
      </c>
      <c r="BA117" s="39">
        <v>129.4</v>
      </c>
      <c r="BB117" s="39">
        <v>128.05000000000001</v>
      </c>
      <c r="BC117" s="39">
        <v>4</v>
      </c>
      <c r="BD117" s="39">
        <v>9</v>
      </c>
      <c r="BE117" s="39">
        <v>1</v>
      </c>
      <c r="BF117" s="39" t="s">
        <v>130</v>
      </c>
      <c r="BG117" s="39">
        <v>2.6</v>
      </c>
      <c r="BH117" s="39">
        <v>0.02</v>
      </c>
      <c r="BK117" t="s">
        <v>5564</v>
      </c>
      <c r="BL117" t="s">
        <v>4893</v>
      </c>
    </row>
    <row r="118" spans="1:64" x14ac:dyDescent="0.35">
      <c r="A118" s="39" t="s">
        <v>468</v>
      </c>
      <c r="B118" s="39" t="s">
        <v>4894</v>
      </c>
      <c r="C118" s="48">
        <v>1072.25</v>
      </c>
      <c r="D118" s="39">
        <v>50</v>
      </c>
      <c r="G118" s="39" t="s">
        <v>4562</v>
      </c>
      <c r="H118" s="39" t="s">
        <v>5512</v>
      </c>
      <c r="I118" s="39" t="s">
        <v>4624</v>
      </c>
      <c r="J118" s="39" t="s">
        <v>5513</v>
      </c>
      <c r="K118" s="39" t="s">
        <v>4615</v>
      </c>
      <c r="L118" s="39" t="s">
        <v>5514</v>
      </c>
      <c r="M118" s="39" t="s">
        <v>4959</v>
      </c>
      <c r="N118" s="39">
        <v>12</v>
      </c>
      <c r="O118" s="39">
        <v>-20</v>
      </c>
      <c r="P118" s="39">
        <v>-8</v>
      </c>
      <c r="Q118" s="39" t="s">
        <v>4605</v>
      </c>
      <c r="R118" s="39">
        <v>-0.22</v>
      </c>
      <c r="S118" s="39">
        <v>-0.67</v>
      </c>
      <c r="T118" s="39">
        <v>1.72</v>
      </c>
      <c r="U118" s="39">
        <v>20.46</v>
      </c>
      <c r="V118" s="39">
        <v>24.48</v>
      </c>
      <c r="W118" s="39">
        <v>23.59</v>
      </c>
      <c r="X118" s="39">
        <v>9.17</v>
      </c>
      <c r="Y118" s="39">
        <v>56.83</v>
      </c>
      <c r="Z118" s="39">
        <v>194.05</v>
      </c>
      <c r="AA118" s="39">
        <v>100.46</v>
      </c>
      <c r="AB118" s="39">
        <v>126.38</v>
      </c>
      <c r="AC118" s="39">
        <v>484.97</v>
      </c>
      <c r="AD118" s="39" t="s">
        <v>4606</v>
      </c>
      <c r="AE118" s="39" t="s">
        <v>134</v>
      </c>
      <c r="AF118" s="39">
        <v>28</v>
      </c>
      <c r="AG118" s="42">
        <v>9.3299999999999994E-2</v>
      </c>
      <c r="AH118" s="39">
        <v>280</v>
      </c>
      <c r="AI118" s="42">
        <v>0.18160000000000001</v>
      </c>
      <c r="AJ118" s="39" t="s">
        <v>5515</v>
      </c>
      <c r="AK118" s="42">
        <v>0.58550000000000002</v>
      </c>
      <c r="AL118" s="39" t="s">
        <v>5516</v>
      </c>
      <c r="AM118" s="42">
        <v>4.5999999999999999E-2</v>
      </c>
      <c r="AN118" s="42">
        <v>2.2599999999999999E-2</v>
      </c>
      <c r="AO118" s="39">
        <v>70</v>
      </c>
      <c r="AP118" s="39">
        <v>30</v>
      </c>
      <c r="AQ118" s="39">
        <v>61</v>
      </c>
      <c r="AR118" s="45">
        <v>1074</v>
      </c>
      <c r="AS118" s="39">
        <v>0</v>
      </c>
      <c r="AT118" s="39" t="s">
        <v>4562</v>
      </c>
      <c r="AU118" s="39">
        <v>24</v>
      </c>
      <c r="AV118" s="39" t="s">
        <v>4732</v>
      </c>
      <c r="AW118" s="39">
        <v>1084.3800000000001</v>
      </c>
      <c r="AX118" s="39">
        <v>1095.1199999999999</v>
      </c>
      <c r="AY118" s="39">
        <v>1109.1300000000001</v>
      </c>
      <c r="AZ118" s="39">
        <v>1059.6300000000001</v>
      </c>
      <c r="BA118" s="39">
        <v>1045.6199999999999</v>
      </c>
      <c r="BB118" s="39">
        <v>1034.8800000000001</v>
      </c>
      <c r="BC118" s="39">
        <v>9</v>
      </c>
      <c r="BD118" s="39">
        <v>7</v>
      </c>
      <c r="BE118" s="39">
        <v>4</v>
      </c>
      <c r="BF118" s="39" t="s">
        <v>130</v>
      </c>
      <c r="BG118" s="39">
        <v>615.5</v>
      </c>
      <c r="BH118" s="39">
        <v>0.6</v>
      </c>
      <c r="BI118" s="39" t="s">
        <v>131</v>
      </c>
      <c r="BJ118" s="39" t="s">
        <v>4563</v>
      </c>
      <c r="BK118" t="s">
        <v>5565</v>
      </c>
      <c r="BL118" t="s">
        <v>4894</v>
      </c>
    </row>
    <row r="119" spans="1:64" x14ac:dyDescent="0.35">
      <c r="A119" s="39" t="s">
        <v>505</v>
      </c>
      <c r="C119" s="39">
        <v>175.2</v>
      </c>
      <c r="D119" s="39">
        <v>81</v>
      </c>
      <c r="G119" s="39" t="s">
        <v>4633</v>
      </c>
      <c r="H119" s="39" t="s">
        <v>5517</v>
      </c>
      <c r="I119" s="39" t="s">
        <v>4624</v>
      </c>
      <c r="J119" s="39" t="s">
        <v>5518</v>
      </c>
      <c r="K119" s="39" t="s">
        <v>133</v>
      </c>
      <c r="L119" s="39" t="s">
        <v>5519</v>
      </c>
      <c r="M119" s="39" t="s">
        <v>4955</v>
      </c>
      <c r="N119" s="39">
        <v>11</v>
      </c>
      <c r="O119" s="39">
        <v>-4</v>
      </c>
      <c r="P119" s="39">
        <v>7</v>
      </c>
      <c r="Q119" s="39" t="s">
        <v>14</v>
      </c>
      <c r="R119" s="39">
        <v>-1.38</v>
      </c>
      <c r="S119" s="39">
        <v>-1.1000000000000001</v>
      </c>
      <c r="T119" s="39">
        <v>4.97</v>
      </c>
      <c r="U119" s="39">
        <v>5.32</v>
      </c>
      <c r="V119" s="39">
        <v>11.91</v>
      </c>
      <c r="W119" s="39">
        <v>19.350000000000001</v>
      </c>
      <c r="X119" s="39">
        <v>29.3</v>
      </c>
      <c r="Y119" s="39">
        <v>54.91</v>
      </c>
      <c r="Z119" s="39">
        <v>117.37</v>
      </c>
      <c r="AA119" s="39">
        <v>36.71</v>
      </c>
      <c r="AB119" s="39">
        <v>7.42</v>
      </c>
      <c r="AC119" s="39">
        <v>-3.35</v>
      </c>
      <c r="AD119" s="39" t="s">
        <v>4606</v>
      </c>
      <c r="AE119" s="39" t="s">
        <v>134</v>
      </c>
      <c r="AF119" s="39">
        <v>32</v>
      </c>
      <c r="AG119" s="42">
        <v>8.6900000000000005E-2</v>
      </c>
      <c r="AH119" s="39">
        <v>660</v>
      </c>
      <c r="AI119" s="42">
        <v>8.1100000000000005E-2</v>
      </c>
      <c r="AJ119" s="39" t="s">
        <v>5061</v>
      </c>
      <c r="AK119" s="42">
        <v>0.58889999999999998</v>
      </c>
      <c r="AL119" s="39" t="s">
        <v>136</v>
      </c>
      <c r="AM119" s="42">
        <v>9.9000000000000005E-2</v>
      </c>
      <c r="AN119" s="42">
        <v>2.5000000000000001E-2</v>
      </c>
      <c r="AO119" s="39">
        <v>55</v>
      </c>
      <c r="AP119" s="39">
        <v>46</v>
      </c>
      <c r="AQ119" s="39">
        <v>68</v>
      </c>
      <c r="AR119" s="39">
        <v>215</v>
      </c>
      <c r="AS119" s="39">
        <v>4</v>
      </c>
      <c r="AT119" s="39" t="s">
        <v>4633</v>
      </c>
      <c r="AU119" s="39">
        <v>3</v>
      </c>
      <c r="AV119" s="39" t="s">
        <v>4733</v>
      </c>
      <c r="AW119" s="39">
        <v>211.5</v>
      </c>
      <c r="AX119" s="39">
        <v>216.25</v>
      </c>
      <c r="AY119" s="39">
        <v>221.25</v>
      </c>
      <c r="AZ119" s="39">
        <v>201.75</v>
      </c>
      <c r="BA119" s="39">
        <v>196.75</v>
      </c>
      <c r="BB119" s="39">
        <v>192</v>
      </c>
      <c r="BC119" s="39">
        <v>7</v>
      </c>
      <c r="BD119" s="39">
        <v>5</v>
      </c>
      <c r="BE119" s="39">
        <v>4</v>
      </c>
      <c r="BF119" s="39" t="s">
        <v>130</v>
      </c>
      <c r="BG119" s="39">
        <v>169.1</v>
      </c>
      <c r="BH119" s="39">
        <v>0.8</v>
      </c>
      <c r="BI119" s="39" t="s">
        <v>4563</v>
      </c>
      <c r="BJ119" s="39" t="s">
        <v>4563</v>
      </c>
      <c r="BK119" t="s">
        <v>5566</v>
      </c>
      <c r="BL119" t="s">
        <v>4895</v>
      </c>
    </row>
    <row r="120" spans="1:64" x14ac:dyDescent="0.35">
      <c r="A120" s="39" t="s">
        <v>225</v>
      </c>
      <c r="C120" s="39">
        <v>175.2</v>
      </c>
      <c r="D120" s="39">
        <v>81</v>
      </c>
      <c r="G120" s="39" t="s">
        <v>4633</v>
      </c>
      <c r="H120" s="39" t="s">
        <v>5517</v>
      </c>
      <c r="I120" s="39" t="s">
        <v>4624</v>
      </c>
      <c r="J120" s="39" t="s">
        <v>5518</v>
      </c>
      <c r="K120" s="39" t="s">
        <v>133</v>
      </c>
      <c r="L120" s="39" t="s">
        <v>5519</v>
      </c>
      <c r="M120" s="39" t="s">
        <v>4955</v>
      </c>
      <c r="N120" s="39">
        <v>11</v>
      </c>
      <c r="O120" s="39">
        <v>-4</v>
      </c>
      <c r="P120" s="39">
        <v>7</v>
      </c>
      <c r="Q120" s="39" t="s">
        <v>14</v>
      </c>
      <c r="R120" s="39">
        <v>-1.38</v>
      </c>
      <c r="S120" s="39">
        <v>-1.1000000000000001</v>
      </c>
      <c r="T120" s="39">
        <v>4.97</v>
      </c>
      <c r="U120" s="39">
        <v>5.32</v>
      </c>
      <c r="V120" s="39">
        <v>11.91</v>
      </c>
      <c r="W120" s="39">
        <v>19.350000000000001</v>
      </c>
      <c r="X120" s="39">
        <v>29.3</v>
      </c>
      <c r="Y120" s="39">
        <v>54.91</v>
      </c>
      <c r="Z120" s="39">
        <v>117.37</v>
      </c>
      <c r="AA120" s="39">
        <v>36.71</v>
      </c>
      <c r="AB120" s="39">
        <v>7.42</v>
      </c>
      <c r="AC120" s="39">
        <v>-3.35</v>
      </c>
      <c r="AD120" s="39" t="s">
        <v>4606</v>
      </c>
      <c r="AE120" s="39" t="s">
        <v>134</v>
      </c>
      <c r="AF120" s="39">
        <v>32</v>
      </c>
      <c r="AG120" s="42">
        <v>8.6900000000000005E-2</v>
      </c>
      <c r="AH120" s="39">
        <v>660</v>
      </c>
      <c r="AI120" s="42">
        <v>8.1100000000000005E-2</v>
      </c>
      <c r="AJ120" s="39" t="s">
        <v>5061</v>
      </c>
      <c r="AK120" s="42">
        <v>0.58889999999999998</v>
      </c>
      <c r="AL120" s="39" t="s">
        <v>136</v>
      </c>
      <c r="AM120" s="42">
        <v>9.9000000000000005E-2</v>
      </c>
      <c r="AN120" s="42">
        <v>2.5000000000000001E-2</v>
      </c>
      <c r="AO120" s="39">
        <v>50</v>
      </c>
      <c r="AP120" s="39">
        <v>75</v>
      </c>
      <c r="AQ120" s="39">
        <v>59</v>
      </c>
      <c r="AR120" s="39">
        <v>190</v>
      </c>
      <c r="AS120" s="39">
        <v>9</v>
      </c>
      <c r="AT120" s="39" t="s">
        <v>129</v>
      </c>
      <c r="AU120" s="39">
        <v>27</v>
      </c>
      <c r="AV120" s="39" t="s">
        <v>4734</v>
      </c>
      <c r="AW120" s="39">
        <v>177.25</v>
      </c>
      <c r="AX120" s="39">
        <v>179.2</v>
      </c>
      <c r="AY120" s="39">
        <v>180.75</v>
      </c>
      <c r="AZ120" s="39">
        <v>173.75</v>
      </c>
      <c r="BA120" s="39">
        <v>172.2</v>
      </c>
      <c r="BB120" s="39">
        <v>170.25</v>
      </c>
      <c r="BC120" s="39">
        <v>11</v>
      </c>
      <c r="BD120" s="39">
        <v>4</v>
      </c>
      <c r="BE120" s="39">
        <v>6</v>
      </c>
      <c r="BF120" s="39" t="s">
        <v>130</v>
      </c>
      <c r="BG120" s="39">
        <v>397.5</v>
      </c>
      <c r="BH120" s="39">
        <v>2.2999999999999998</v>
      </c>
      <c r="BI120" s="39" t="s">
        <v>4563</v>
      </c>
      <c r="BJ120" s="39" t="s">
        <v>4639</v>
      </c>
      <c r="BK120" t="s">
        <v>5566</v>
      </c>
      <c r="BL120" t="s">
        <v>4896</v>
      </c>
    </row>
    <row r="121" spans="1:64" x14ac:dyDescent="0.35">
      <c r="A121" s="39" t="s">
        <v>1703</v>
      </c>
      <c r="B121" s="39" t="s">
        <v>4897</v>
      </c>
      <c r="C121" s="39">
        <v>540</v>
      </c>
      <c r="D121" s="39">
        <v>51</v>
      </c>
      <c r="G121" s="39" t="s">
        <v>4562</v>
      </c>
      <c r="H121" s="39" t="s">
        <v>5520</v>
      </c>
      <c r="I121" s="39" t="s">
        <v>4624</v>
      </c>
      <c r="J121" s="39" t="s">
        <v>5521</v>
      </c>
      <c r="K121" s="39" t="s">
        <v>4603</v>
      </c>
      <c r="L121" s="39" t="s">
        <v>5522</v>
      </c>
      <c r="M121" s="39" t="s">
        <v>4620</v>
      </c>
      <c r="N121" s="39">
        <v>14</v>
      </c>
      <c r="O121" s="39">
        <v>-7</v>
      </c>
      <c r="P121" s="39">
        <v>7</v>
      </c>
      <c r="Q121" s="39" t="s">
        <v>14</v>
      </c>
      <c r="R121" s="39">
        <v>0.59</v>
      </c>
      <c r="S121" s="39">
        <v>-4.46</v>
      </c>
      <c r="T121" s="39">
        <v>-8.24</v>
      </c>
      <c r="U121" s="39">
        <v>26.46</v>
      </c>
      <c r="V121" s="39">
        <v>29.34</v>
      </c>
      <c r="W121" s="39">
        <v>47.8</v>
      </c>
      <c r="X121" s="39">
        <v>75.5</v>
      </c>
      <c r="Y121" s="39">
        <v>35.92</v>
      </c>
      <c r="Z121" s="39">
        <v>10185.709999999999</v>
      </c>
      <c r="AA121" s="39" t="s">
        <v>4538</v>
      </c>
      <c r="AB121" s="39">
        <v>7187.45</v>
      </c>
      <c r="AC121" s="39">
        <v>1178.1099999999999</v>
      </c>
      <c r="AD121" s="39" t="s">
        <v>4606</v>
      </c>
      <c r="AE121" s="39" t="s">
        <v>134</v>
      </c>
      <c r="AF121" s="39">
        <v>10</v>
      </c>
      <c r="AG121" s="42">
        <v>9.7799999999999998E-2</v>
      </c>
      <c r="AH121" s="39">
        <v>2</v>
      </c>
      <c r="AI121" s="42">
        <v>4.4999999999999997E-3</v>
      </c>
      <c r="AJ121" s="39" t="s">
        <v>5523</v>
      </c>
      <c r="AK121" s="42">
        <v>0.72399999999999998</v>
      </c>
      <c r="AL121" s="39" t="s">
        <v>5524</v>
      </c>
      <c r="AM121" s="42">
        <v>4.6399999999999997E-2</v>
      </c>
      <c r="AN121" s="42">
        <v>3.1E-2</v>
      </c>
      <c r="AO121" s="39">
        <v>75</v>
      </c>
      <c r="AP121" s="39">
        <v>37</v>
      </c>
      <c r="AQ121" s="39">
        <v>63</v>
      </c>
      <c r="AS121" s="39" t="s">
        <v>4564</v>
      </c>
      <c r="AW121" s="39">
        <v>546.13</v>
      </c>
      <c r="AX121" s="39">
        <v>555.07000000000005</v>
      </c>
      <c r="AY121" s="39">
        <v>562.13</v>
      </c>
      <c r="AZ121" s="39">
        <v>530.13</v>
      </c>
      <c r="BA121" s="39">
        <v>523.07000000000005</v>
      </c>
      <c r="BB121" s="39">
        <v>514.13</v>
      </c>
      <c r="BC121" s="39">
        <v>2</v>
      </c>
      <c r="BD121" s="39">
        <v>1</v>
      </c>
      <c r="BE121" s="39">
        <v>1</v>
      </c>
      <c r="BF121" s="39">
        <v>1.8</v>
      </c>
      <c r="BG121" s="39">
        <v>10</v>
      </c>
      <c r="BH121" s="39">
        <v>206.4</v>
      </c>
      <c r="BI121" s="39" t="s">
        <v>131</v>
      </c>
      <c r="BJ121" s="39" t="s">
        <v>4565</v>
      </c>
      <c r="BK121" t="s">
        <v>5567</v>
      </c>
      <c r="BL121" t="s">
        <v>4897</v>
      </c>
    </row>
    <row r="122" spans="1:64" x14ac:dyDescent="0.35">
      <c r="A122" s="39" t="s">
        <v>992</v>
      </c>
      <c r="B122" s="39" t="s">
        <v>4898</v>
      </c>
      <c r="C122" s="39">
        <v>237.8</v>
      </c>
      <c r="D122" s="39">
        <v>44</v>
      </c>
      <c r="G122" s="39" t="s">
        <v>4625</v>
      </c>
      <c r="H122" s="39" t="s">
        <v>5525</v>
      </c>
      <c r="I122" s="39" t="s">
        <v>4976</v>
      </c>
      <c r="J122" s="39" t="s">
        <v>5526</v>
      </c>
      <c r="K122" s="39" t="s">
        <v>133</v>
      </c>
      <c r="L122" s="39" t="s">
        <v>4998</v>
      </c>
      <c r="M122" s="39" t="s">
        <v>4620</v>
      </c>
      <c r="N122" s="39">
        <v>1</v>
      </c>
      <c r="O122" s="39">
        <v>-4</v>
      </c>
      <c r="P122" s="39">
        <v>-3</v>
      </c>
      <c r="Q122" s="39" t="s">
        <v>4611</v>
      </c>
      <c r="R122" s="39">
        <v>-0.75</v>
      </c>
      <c r="S122" s="39">
        <v>0.17</v>
      </c>
      <c r="T122" s="39">
        <v>0.72</v>
      </c>
      <c r="U122" s="39">
        <v>7.48</v>
      </c>
      <c r="V122" s="39">
        <v>-13.51</v>
      </c>
      <c r="W122" s="39">
        <v>-10.01</v>
      </c>
      <c r="X122" s="39">
        <v>-12.99</v>
      </c>
      <c r="Y122" s="39">
        <v>-26.74</v>
      </c>
      <c r="Z122" s="39">
        <v>34.92</v>
      </c>
      <c r="AA122" s="39">
        <v>47.02</v>
      </c>
      <c r="AB122" s="39">
        <v>57.07</v>
      </c>
      <c r="AC122" s="39" t="s">
        <v>4538</v>
      </c>
      <c r="AD122" s="39" t="s">
        <v>4606</v>
      </c>
      <c r="AE122" s="39" t="s">
        <v>134</v>
      </c>
      <c r="AF122" s="39">
        <v>16</v>
      </c>
      <c r="AG122" s="42">
        <v>0.26910000000000001</v>
      </c>
      <c r="AH122" s="39">
        <v>81</v>
      </c>
      <c r="AI122" s="42">
        <v>5.5100000000000003E-2</v>
      </c>
      <c r="AJ122" s="39" t="s">
        <v>5527</v>
      </c>
      <c r="AK122" s="42">
        <v>0.24629999999999999</v>
      </c>
      <c r="AL122" s="39" t="s">
        <v>5528</v>
      </c>
      <c r="AM122" s="42">
        <v>6.6400000000000001E-2</v>
      </c>
      <c r="AN122" s="42">
        <v>0.12609999999999999</v>
      </c>
      <c r="AO122" s="39">
        <v>45</v>
      </c>
      <c r="AP122" s="39">
        <v>21</v>
      </c>
      <c r="AQ122" s="39">
        <v>39</v>
      </c>
      <c r="AR122" s="39">
        <v>261</v>
      </c>
      <c r="AS122" s="39">
        <v>10</v>
      </c>
      <c r="AT122" s="39" t="s">
        <v>129</v>
      </c>
      <c r="AU122" s="39">
        <v>13</v>
      </c>
      <c r="AV122" s="39" t="s">
        <v>4735</v>
      </c>
      <c r="AW122" s="39">
        <v>244.4</v>
      </c>
      <c r="AX122" s="39">
        <v>250.7</v>
      </c>
      <c r="AY122" s="39">
        <v>254.4</v>
      </c>
      <c r="AZ122" s="39">
        <v>234.4</v>
      </c>
      <c r="BA122" s="39">
        <v>230.7</v>
      </c>
      <c r="BB122" s="39">
        <v>224.4</v>
      </c>
      <c r="BC122" s="39">
        <v>4</v>
      </c>
      <c r="BD122" s="39">
        <v>8</v>
      </c>
      <c r="BE122" s="39">
        <v>1</v>
      </c>
      <c r="BF122" s="39">
        <v>1</v>
      </c>
      <c r="BG122" s="39">
        <v>47</v>
      </c>
      <c r="BH122" s="39">
        <v>0.2</v>
      </c>
      <c r="BI122" s="39" t="s">
        <v>132</v>
      </c>
      <c r="BJ122" s="39" t="s">
        <v>4563</v>
      </c>
      <c r="BK122" t="s">
        <v>5568</v>
      </c>
      <c r="BL122" s="57" t="s">
        <v>4898</v>
      </c>
    </row>
    <row r="123" spans="1:64" x14ac:dyDescent="0.35">
      <c r="A123" s="39" t="s">
        <v>1764</v>
      </c>
      <c r="B123" s="39" t="s">
        <v>4899</v>
      </c>
      <c r="C123" s="48">
        <v>4080.3</v>
      </c>
      <c r="D123" s="39">
        <v>29</v>
      </c>
      <c r="G123" s="39" t="s">
        <v>4963</v>
      </c>
      <c r="H123" s="39" t="s">
        <v>5877</v>
      </c>
      <c r="I123" s="39" t="s">
        <v>4624</v>
      </c>
      <c r="J123" s="39" t="s">
        <v>5878</v>
      </c>
      <c r="N123" s="39">
        <v>0</v>
      </c>
      <c r="O123" s="39">
        <v>-21</v>
      </c>
      <c r="P123" s="39">
        <v>-21</v>
      </c>
      <c r="Q123" s="39" t="s">
        <v>5879</v>
      </c>
      <c r="R123" s="39">
        <v>-2.65</v>
      </c>
      <c r="S123" s="39">
        <v>-4.84</v>
      </c>
      <c r="T123" s="39">
        <v>4.68</v>
      </c>
      <c r="U123" s="39">
        <v>55.61</v>
      </c>
      <c r="V123" s="39">
        <v>58.77</v>
      </c>
      <c r="W123" s="39">
        <v>40.61</v>
      </c>
      <c r="X123" s="39">
        <v>25.61</v>
      </c>
      <c r="Y123" s="39">
        <v>41.93</v>
      </c>
      <c r="Z123" s="39">
        <v>54.19</v>
      </c>
      <c r="AA123" s="39">
        <v>566.92999999999995</v>
      </c>
      <c r="AB123" s="39">
        <v>309.16000000000003</v>
      </c>
      <c r="AC123" s="39">
        <v>134.5</v>
      </c>
      <c r="AD123" s="39" t="s">
        <v>4606</v>
      </c>
      <c r="AE123" s="39" t="s">
        <v>134</v>
      </c>
      <c r="AF123" s="39">
        <v>0</v>
      </c>
      <c r="AG123" s="42">
        <v>0</v>
      </c>
      <c r="AH123" s="39">
        <v>9</v>
      </c>
      <c r="AI123" s="42">
        <v>3.2000000000000002E-3</v>
      </c>
      <c r="AJ123" s="39" t="s">
        <v>5880</v>
      </c>
      <c r="AK123" s="42">
        <v>0.50009999999999999</v>
      </c>
      <c r="AL123" s="39" t="s">
        <v>5881</v>
      </c>
      <c r="AM123" s="42">
        <v>7.6399999999999996E-2</v>
      </c>
      <c r="AN123" s="42">
        <v>0.27829999999999999</v>
      </c>
      <c r="AO123" s="39" t="s">
        <v>130</v>
      </c>
      <c r="AP123" s="39">
        <v>8</v>
      </c>
      <c r="AQ123" s="39">
        <v>62</v>
      </c>
      <c r="AR123" s="45"/>
      <c r="AS123" s="39" t="s">
        <v>4564</v>
      </c>
      <c r="AW123" s="39">
        <v>4194.37</v>
      </c>
      <c r="AX123" s="39">
        <v>4308.03</v>
      </c>
      <c r="AY123" s="39">
        <v>4383.22</v>
      </c>
      <c r="AZ123" s="39">
        <v>4005.52</v>
      </c>
      <c r="BA123" s="39">
        <v>3930.33</v>
      </c>
      <c r="BB123" s="39">
        <v>3816.67</v>
      </c>
      <c r="BC123" s="39" t="s">
        <v>130</v>
      </c>
      <c r="BD123" s="39">
        <v>-0.62</v>
      </c>
      <c r="BE123" s="39">
        <v>1.36</v>
      </c>
      <c r="BF123" s="39">
        <v>0.95</v>
      </c>
      <c r="BG123" s="48">
        <v>3</v>
      </c>
      <c r="BH123" s="39">
        <v>11</v>
      </c>
      <c r="BI123" s="39" t="s">
        <v>4563</v>
      </c>
      <c r="BJ123" s="39" t="s">
        <v>4651</v>
      </c>
      <c r="BK123" t="s">
        <v>5569</v>
      </c>
      <c r="BL123" s="39" t="s">
        <v>4899</v>
      </c>
    </row>
    <row r="124" spans="1:64" x14ac:dyDescent="0.35">
      <c r="A124" s="39" t="s">
        <v>1764</v>
      </c>
      <c r="B124" s="39" t="s">
        <v>4899</v>
      </c>
      <c r="C124" s="48">
        <v>4080.3</v>
      </c>
      <c r="D124" s="39">
        <v>29</v>
      </c>
      <c r="G124" s="39" t="s">
        <v>4963</v>
      </c>
      <c r="H124" s="39" t="s">
        <v>5877</v>
      </c>
      <c r="I124" s="39" t="s">
        <v>4624</v>
      </c>
      <c r="J124" s="39" t="s">
        <v>5878</v>
      </c>
      <c r="N124" s="39">
        <v>0</v>
      </c>
      <c r="O124" s="39">
        <v>-21</v>
      </c>
      <c r="P124" s="39">
        <v>-21</v>
      </c>
      <c r="Q124" s="39" t="s">
        <v>5879</v>
      </c>
      <c r="R124" s="39">
        <v>-2.65</v>
      </c>
      <c r="S124" s="39">
        <v>-4.84</v>
      </c>
      <c r="T124" s="39">
        <v>4.68</v>
      </c>
      <c r="U124" s="39">
        <v>55.61</v>
      </c>
      <c r="V124" s="39">
        <v>58.77</v>
      </c>
      <c r="W124" s="39">
        <v>40.61</v>
      </c>
      <c r="X124" s="39">
        <v>25.61</v>
      </c>
      <c r="Y124" s="39">
        <v>41.93</v>
      </c>
      <c r="Z124" s="39">
        <v>54.19</v>
      </c>
      <c r="AA124" s="39">
        <v>566.92999999999995</v>
      </c>
      <c r="AB124" s="39">
        <v>309.16000000000003</v>
      </c>
      <c r="AC124" s="39">
        <v>134.5</v>
      </c>
      <c r="AD124" s="39" t="s">
        <v>4606</v>
      </c>
      <c r="AE124" s="39" t="s">
        <v>134</v>
      </c>
      <c r="AF124" s="39">
        <v>0</v>
      </c>
      <c r="AG124" s="42">
        <v>0</v>
      </c>
      <c r="AH124" s="39">
        <v>9</v>
      </c>
      <c r="AI124" s="42">
        <v>3.2000000000000002E-3</v>
      </c>
      <c r="AJ124" s="39" t="s">
        <v>5880</v>
      </c>
      <c r="AK124" s="42">
        <v>0.50009999999999999</v>
      </c>
      <c r="AL124" s="39" t="s">
        <v>5881</v>
      </c>
      <c r="AM124" s="42">
        <v>7.6399999999999996E-2</v>
      </c>
      <c r="AN124" s="42">
        <v>0.27829999999999999</v>
      </c>
      <c r="AO124" s="39">
        <v>40</v>
      </c>
      <c r="AP124" s="39">
        <v>5</v>
      </c>
      <c r="AQ124" s="39">
        <v>50</v>
      </c>
      <c r="AR124" s="45">
        <v>39204</v>
      </c>
      <c r="AS124" s="39">
        <v>-3</v>
      </c>
      <c r="AT124" s="39" t="s">
        <v>4625</v>
      </c>
      <c r="AU124" s="39">
        <v>22</v>
      </c>
      <c r="AV124" s="39" t="s">
        <v>4736</v>
      </c>
      <c r="AW124" s="39">
        <v>40966.769999999997</v>
      </c>
      <c r="AX124" s="39">
        <v>41633.480000000003</v>
      </c>
      <c r="AY124" s="39">
        <v>42246.92</v>
      </c>
      <c r="AZ124" s="39">
        <v>39686.620000000003</v>
      </c>
      <c r="BA124" s="39">
        <v>39073.18</v>
      </c>
      <c r="BB124" s="39">
        <v>38406.47</v>
      </c>
      <c r="BC124" s="39">
        <v>6</v>
      </c>
      <c r="BD124" s="39">
        <v>9</v>
      </c>
      <c r="BE124" s="39">
        <v>4</v>
      </c>
      <c r="BF124" s="39" t="s">
        <v>130</v>
      </c>
      <c r="BG124" s="48">
        <v>3599.7</v>
      </c>
      <c r="BH124" s="39">
        <v>0.1</v>
      </c>
      <c r="BI124" s="39" t="s">
        <v>4651</v>
      </c>
      <c r="BK124" t="s">
        <v>5569</v>
      </c>
      <c r="BL124" s="39" t="s">
        <v>4899</v>
      </c>
    </row>
    <row r="125" spans="1:64" x14ac:dyDescent="0.35">
      <c r="A125" s="39" t="s">
        <v>1586</v>
      </c>
      <c r="B125" s="39" t="s">
        <v>4900</v>
      </c>
      <c r="C125" s="39">
        <v>657.4</v>
      </c>
      <c r="D125" s="39">
        <v>50</v>
      </c>
      <c r="G125" s="39" t="s">
        <v>4562</v>
      </c>
      <c r="H125" s="39" t="s">
        <v>5570</v>
      </c>
      <c r="I125" s="39" t="s">
        <v>4624</v>
      </c>
      <c r="J125" s="39" t="s">
        <v>5571</v>
      </c>
      <c r="K125" s="39" t="s">
        <v>4615</v>
      </c>
      <c r="L125" s="39" t="s">
        <v>5008</v>
      </c>
      <c r="M125" s="39" t="s">
        <v>4959</v>
      </c>
      <c r="N125" s="39">
        <v>3</v>
      </c>
      <c r="O125" s="39">
        <v>-16</v>
      </c>
      <c r="P125" s="39">
        <v>-13</v>
      </c>
      <c r="Q125" s="39" t="s">
        <v>4605</v>
      </c>
      <c r="R125" s="39">
        <v>-3.57</v>
      </c>
      <c r="S125" s="39">
        <v>3.72</v>
      </c>
      <c r="T125" s="39">
        <v>-2.5099999999999998</v>
      </c>
      <c r="U125" s="39">
        <v>24.59</v>
      </c>
      <c r="V125" s="39">
        <v>32.75</v>
      </c>
      <c r="W125" s="39">
        <v>9.15</v>
      </c>
      <c r="X125" s="39">
        <v>0.6</v>
      </c>
      <c r="Y125" s="39" t="s">
        <v>4538</v>
      </c>
      <c r="Z125" s="39" t="s">
        <v>4538</v>
      </c>
      <c r="AA125" s="39" t="s">
        <v>4538</v>
      </c>
      <c r="AB125" s="39" t="s">
        <v>4538</v>
      </c>
      <c r="AC125" s="39" t="s">
        <v>4538</v>
      </c>
      <c r="AD125" s="39" t="s">
        <v>4606</v>
      </c>
      <c r="AE125" s="39" t="s">
        <v>134</v>
      </c>
      <c r="AF125" s="39">
        <v>1</v>
      </c>
      <c r="AG125" s="42">
        <v>2.2100000000000002E-2</v>
      </c>
      <c r="AH125" s="39">
        <v>7</v>
      </c>
      <c r="AI125" s="42">
        <v>1.1000000000000001E-3</v>
      </c>
      <c r="AJ125" s="39" t="s">
        <v>5572</v>
      </c>
      <c r="AK125" s="42">
        <v>0.25280000000000002</v>
      </c>
      <c r="AL125" s="39" t="s">
        <v>5573</v>
      </c>
      <c r="AM125" s="42">
        <v>2.2100000000000002E-2</v>
      </c>
      <c r="AN125" s="42">
        <v>0.29599999999999999</v>
      </c>
      <c r="AO125" s="39" t="s">
        <v>130</v>
      </c>
      <c r="AP125" s="39">
        <v>16</v>
      </c>
      <c r="AQ125" s="39">
        <v>62</v>
      </c>
      <c r="AR125" s="45"/>
      <c r="AS125" s="39" t="s">
        <v>4564</v>
      </c>
      <c r="BC125" s="39">
        <v>6</v>
      </c>
      <c r="BD125" s="39">
        <v>4</v>
      </c>
      <c r="BE125" s="39" t="s">
        <v>130</v>
      </c>
      <c r="BF125" s="39">
        <v>-0.63</v>
      </c>
      <c r="BG125" s="48">
        <v>7</v>
      </c>
      <c r="BH125" s="39">
        <v>0.4</v>
      </c>
      <c r="BI125" s="39" t="s">
        <v>131</v>
      </c>
      <c r="BK125" t="s">
        <v>5622</v>
      </c>
      <c r="BL125" t="s">
        <v>4900</v>
      </c>
    </row>
    <row r="126" spans="1:64" x14ac:dyDescent="0.35">
      <c r="A126" s="39" t="s">
        <v>636</v>
      </c>
      <c r="B126" s="39" t="s">
        <v>4901</v>
      </c>
      <c r="C126" s="48">
        <v>3914.35</v>
      </c>
      <c r="D126" s="39">
        <v>35</v>
      </c>
      <c r="G126" s="39" t="s">
        <v>4625</v>
      </c>
      <c r="H126" s="39" t="s">
        <v>5574</v>
      </c>
      <c r="I126" s="39" t="s">
        <v>4976</v>
      </c>
      <c r="J126" s="39" t="s">
        <v>5575</v>
      </c>
      <c r="K126" s="39" t="s">
        <v>133</v>
      </c>
      <c r="L126" s="39" t="s">
        <v>5576</v>
      </c>
      <c r="M126" s="39" t="s">
        <v>4620</v>
      </c>
      <c r="N126" s="39">
        <v>1</v>
      </c>
      <c r="O126" s="39">
        <v>-16</v>
      </c>
      <c r="P126" s="39">
        <v>-15</v>
      </c>
      <c r="Q126" s="39" t="s">
        <v>4605</v>
      </c>
      <c r="R126" s="39">
        <v>1.82</v>
      </c>
      <c r="S126" s="39">
        <v>-1.21</v>
      </c>
      <c r="T126" s="39">
        <v>1.45</v>
      </c>
      <c r="U126" s="39">
        <v>2.4900000000000002</v>
      </c>
      <c r="V126" s="39">
        <v>1.28</v>
      </c>
      <c r="W126" s="39">
        <v>-11.59</v>
      </c>
      <c r="X126" s="39">
        <v>-7.14</v>
      </c>
      <c r="Y126" s="39">
        <v>-33.43</v>
      </c>
      <c r="Z126" s="39">
        <v>-14.46</v>
      </c>
      <c r="AA126" s="39">
        <v>30.32</v>
      </c>
      <c r="AB126" s="39">
        <v>28.6</v>
      </c>
      <c r="AC126" s="39">
        <v>271.7</v>
      </c>
      <c r="AD126" s="39" t="s">
        <v>4606</v>
      </c>
      <c r="AE126" s="39" t="s">
        <v>134</v>
      </c>
      <c r="AF126" s="39">
        <v>21</v>
      </c>
      <c r="AG126" s="42">
        <v>6.1699999999999998E-2</v>
      </c>
      <c r="AH126" s="39">
        <v>101</v>
      </c>
      <c r="AI126" s="42">
        <v>2.81E-2</v>
      </c>
      <c r="AJ126" s="39" t="s">
        <v>5577</v>
      </c>
      <c r="AK126" s="42">
        <v>0.39750000000000002</v>
      </c>
      <c r="AL126" s="39" t="s">
        <v>136</v>
      </c>
      <c r="AM126" s="42">
        <v>7.5399999999999995E-2</v>
      </c>
      <c r="AN126" s="42">
        <v>0.1368</v>
      </c>
      <c r="AO126" s="39">
        <v>70</v>
      </c>
      <c r="AP126" s="39">
        <v>32</v>
      </c>
      <c r="AQ126" s="39">
        <v>47</v>
      </c>
      <c r="AR126" s="45">
        <v>4460</v>
      </c>
      <c r="AS126" s="39">
        <v>14</v>
      </c>
      <c r="AT126" s="39" t="s">
        <v>129</v>
      </c>
      <c r="AU126" s="39">
        <v>5</v>
      </c>
      <c r="AV126" s="39" t="s">
        <v>4737</v>
      </c>
      <c r="AW126" s="39">
        <v>3967.87</v>
      </c>
      <c r="AX126" s="39">
        <v>4022.88</v>
      </c>
      <c r="AY126" s="39">
        <v>4085.82</v>
      </c>
      <c r="AZ126" s="39">
        <v>3849.92</v>
      </c>
      <c r="BA126" s="39">
        <v>3786.98</v>
      </c>
      <c r="BB126" s="39">
        <v>3731.97</v>
      </c>
      <c r="BC126" s="39">
        <v>7</v>
      </c>
      <c r="BD126" s="39">
        <v>5</v>
      </c>
      <c r="BE126" s="39">
        <v>2</v>
      </c>
      <c r="BF126" s="39" t="s">
        <v>130</v>
      </c>
      <c r="BG126" s="48">
        <v>1536.7</v>
      </c>
      <c r="BH126" s="39">
        <v>0.4</v>
      </c>
      <c r="BI126" s="39" t="s">
        <v>131</v>
      </c>
      <c r="BJ126" s="39" t="s">
        <v>4563</v>
      </c>
      <c r="BK126" t="s">
        <v>5623</v>
      </c>
      <c r="BL126" t="s">
        <v>4901</v>
      </c>
    </row>
    <row r="127" spans="1:64" x14ac:dyDescent="0.35">
      <c r="A127" s="39" t="s">
        <v>884</v>
      </c>
      <c r="B127" s="39" t="s">
        <v>4902</v>
      </c>
      <c r="C127" s="48">
        <v>5232.1499999999996</v>
      </c>
      <c r="D127" s="39">
        <v>71</v>
      </c>
      <c r="E127" s="39" t="s">
        <v>4987</v>
      </c>
      <c r="F127" s="39" t="s">
        <v>5578</v>
      </c>
      <c r="G127" s="39" t="s">
        <v>129</v>
      </c>
      <c r="H127" s="39" t="s">
        <v>5579</v>
      </c>
      <c r="I127" s="39" t="s">
        <v>4989</v>
      </c>
      <c r="J127" s="39" t="s">
        <v>5580</v>
      </c>
      <c r="K127" s="39" t="s">
        <v>4957</v>
      </c>
      <c r="L127" s="39" t="s">
        <v>5581</v>
      </c>
      <c r="N127" s="39">
        <v>8</v>
      </c>
      <c r="O127" s="39">
        <v>0</v>
      </c>
      <c r="P127" s="39">
        <v>8</v>
      </c>
      <c r="Q127" s="39" t="s">
        <v>14</v>
      </c>
      <c r="R127" s="39">
        <v>-0.72</v>
      </c>
      <c r="S127" s="39">
        <v>-1.32</v>
      </c>
      <c r="T127" s="39">
        <v>1.97</v>
      </c>
      <c r="U127" s="39">
        <v>3.8</v>
      </c>
      <c r="V127" s="39">
        <v>13.75</v>
      </c>
      <c r="W127" s="39">
        <v>30.24</v>
      </c>
      <c r="X127" s="39">
        <v>19.82</v>
      </c>
      <c r="Y127" s="39">
        <v>-3.8</v>
      </c>
      <c r="Z127" s="39">
        <v>11.03</v>
      </c>
      <c r="AA127" s="39">
        <v>17.600000000000001</v>
      </c>
      <c r="AB127" s="39">
        <v>86.03</v>
      </c>
      <c r="AC127" s="39">
        <v>844.6</v>
      </c>
      <c r="AD127" s="39" t="s">
        <v>4606</v>
      </c>
      <c r="AE127" s="39" t="s">
        <v>134</v>
      </c>
      <c r="AF127" s="39">
        <v>12</v>
      </c>
      <c r="AG127" s="42">
        <v>8.1000000000000003E-2</v>
      </c>
      <c r="AH127" s="39">
        <v>110</v>
      </c>
      <c r="AI127" s="42">
        <v>7.1499999999999994E-2</v>
      </c>
      <c r="AJ127" s="39" t="s">
        <v>5582</v>
      </c>
      <c r="AK127" s="42">
        <v>0.51819999999999999</v>
      </c>
      <c r="AL127" s="39" t="s">
        <v>5583</v>
      </c>
      <c r="AM127" s="42">
        <v>3.3599999999999998E-2</v>
      </c>
      <c r="AN127" s="42">
        <v>0.2364</v>
      </c>
      <c r="AO127" s="39">
        <v>75</v>
      </c>
      <c r="AP127" s="39">
        <v>19</v>
      </c>
      <c r="AQ127" s="39">
        <v>59</v>
      </c>
      <c r="AR127" s="45">
        <v>5235</v>
      </c>
      <c r="AS127" s="39">
        <v>0</v>
      </c>
      <c r="AT127" s="39" t="s">
        <v>4633</v>
      </c>
      <c r="AU127" s="39">
        <v>1</v>
      </c>
      <c r="AV127" s="39" t="s">
        <v>4738</v>
      </c>
      <c r="AW127" s="39">
        <v>5300.42</v>
      </c>
      <c r="AX127" s="39">
        <v>5358.98</v>
      </c>
      <c r="AY127" s="39">
        <v>5394.57</v>
      </c>
      <c r="AZ127" s="39">
        <v>5206.2700000000004</v>
      </c>
      <c r="BA127" s="39">
        <v>5170.68</v>
      </c>
      <c r="BB127" s="39">
        <v>5112.12</v>
      </c>
      <c r="BC127" s="39">
        <v>6</v>
      </c>
      <c r="BD127" s="39">
        <v>2</v>
      </c>
      <c r="BE127" s="39">
        <v>1</v>
      </c>
      <c r="BF127" s="39" t="s">
        <v>130</v>
      </c>
      <c r="BG127" s="48">
        <v>1101.0999999999999</v>
      </c>
      <c r="BH127" s="39">
        <v>0.2</v>
      </c>
      <c r="BI127" s="39" t="s">
        <v>131</v>
      </c>
      <c r="BJ127" s="39" t="s">
        <v>132</v>
      </c>
      <c r="BK127" t="s">
        <v>5624</v>
      </c>
      <c r="BL127" t="s">
        <v>4902</v>
      </c>
    </row>
    <row r="128" spans="1:64" x14ac:dyDescent="0.35">
      <c r="A128" s="39" t="s">
        <v>360</v>
      </c>
      <c r="B128" s="39" t="s">
        <v>4903</v>
      </c>
      <c r="C128" s="48">
        <v>3759.8</v>
      </c>
      <c r="D128" s="39">
        <v>77</v>
      </c>
      <c r="E128" s="39" t="s">
        <v>4987</v>
      </c>
      <c r="F128" s="39" t="s">
        <v>5584</v>
      </c>
      <c r="G128" s="39" t="s">
        <v>129</v>
      </c>
      <c r="H128" s="39" t="s">
        <v>5585</v>
      </c>
      <c r="I128" s="39" t="s">
        <v>4989</v>
      </c>
      <c r="J128" s="39" t="s">
        <v>5586</v>
      </c>
      <c r="K128" s="39" t="s">
        <v>4957</v>
      </c>
      <c r="L128" s="39" t="s">
        <v>5587</v>
      </c>
      <c r="M128" s="39" t="s">
        <v>4959</v>
      </c>
      <c r="N128" s="39">
        <v>22</v>
      </c>
      <c r="O128" s="39">
        <v>-1</v>
      </c>
      <c r="P128" s="39">
        <v>21</v>
      </c>
      <c r="Q128" s="39" t="s">
        <v>5060</v>
      </c>
      <c r="R128" s="39">
        <v>-1.78</v>
      </c>
      <c r="S128" s="39">
        <v>-2.38</v>
      </c>
      <c r="T128" s="39">
        <v>3.28</v>
      </c>
      <c r="U128" s="39">
        <v>15.65</v>
      </c>
      <c r="V128" s="39">
        <v>14.23</v>
      </c>
      <c r="W128" s="39">
        <v>9.84</v>
      </c>
      <c r="X128" s="39">
        <v>9.89</v>
      </c>
      <c r="Y128" s="39">
        <v>18.09</v>
      </c>
      <c r="Z128" s="39">
        <v>91.68</v>
      </c>
      <c r="AA128" s="39">
        <v>233.54</v>
      </c>
      <c r="AB128" s="39">
        <v>382.06</v>
      </c>
      <c r="AC128" s="39">
        <v>2708.97</v>
      </c>
      <c r="AD128" s="39" t="s">
        <v>4606</v>
      </c>
      <c r="AE128" s="39" t="s">
        <v>134</v>
      </c>
      <c r="AF128" s="39">
        <v>31</v>
      </c>
      <c r="AG128" s="42">
        <v>0.16789999999999999</v>
      </c>
      <c r="AH128" s="39">
        <v>645</v>
      </c>
      <c r="AI128" s="42">
        <v>0.19170000000000001</v>
      </c>
      <c r="AJ128" s="39" t="s">
        <v>5588</v>
      </c>
      <c r="AK128" s="42">
        <v>0.20449999999999999</v>
      </c>
      <c r="AL128" s="39" t="s">
        <v>5589</v>
      </c>
      <c r="AM128" s="42">
        <v>5.6899999999999999E-2</v>
      </c>
      <c r="AN128" s="42">
        <v>8.3699999999999997E-2</v>
      </c>
      <c r="AO128" s="39">
        <v>85</v>
      </c>
      <c r="AP128" s="39">
        <v>21</v>
      </c>
      <c r="AQ128" s="39">
        <v>65</v>
      </c>
      <c r="AR128" s="45">
        <v>4101</v>
      </c>
      <c r="AS128" s="39">
        <v>9</v>
      </c>
      <c r="AT128" s="39" t="s">
        <v>129</v>
      </c>
      <c r="AU128" s="39">
        <v>26</v>
      </c>
      <c r="AV128" s="39" t="s">
        <v>4739</v>
      </c>
      <c r="AW128" s="39">
        <v>3831.43</v>
      </c>
      <c r="AX128" s="39">
        <v>3902.67</v>
      </c>
      <c r="AY128" s="39">
        <v>3950.33</v>
      </c>
      <c r="AZ128" s="39">
        <v>3712.53</v>
      </c>
      <c r="BA128" s="39">
        <v>3664.87</v>
      </c>
      <c r="BB128" s="39">
        <v>3593.63</v>
      </c>
      <c r="BC128" s="39">
        <v>16</v>
      </c>
      <c r="BD128" s="39" t="s">
        <v>130</v>
      </c>
      <c r="BE128" s="39">
        <v>6</v>
      </c>
      <c r="BF128" s="39" t="s">
        <v>130</v>
      </c>
      <c r="BG128" s="39">
        <v>972.9</v>
      </c>
      <c r="BH128" s="39">
        <v>0.3</v>
      </c>
      <c r="BI128" s="39" t="s">
        <v>131</v>
      </c>
      <c r="BJ128" s="39" t="s">
        <v>132</v>
      </c>
      <c r="BK128" t="s">
        <v>5625</v>
      </c>
      <c r="BL128" t="s">
        <v>4903</v>
      </c>
    </row>
    <row r="129" spans="1:64" x14ac:dyDescent="0.35">
      <c r="A129" s="39" t="s">
        <v>1967</v>
      </c>
      <c r="B129" s="39" t="s">
        <v>4904</v>
      </c>
      <c r="C129" s="48">
        <v>1192.7</v>
      </c>
      <c r="D129" s="39">
        <v>60</v>
      </c>
      <c r="G129" s="39" t="s">
        <v>4562</v>
      </c>
      <c r="H129" s="39" t="s">
        <v>5590</v>
      </c>
      <c r="I129" s="39" t="s">
        <v>4624</v>
      </c>
      <c r="J129" s="39" t="s">
        <v>5591</v>
      </c>
      <c r="K129" s="39" t="s">
        <v>4615</v>
      </c>
      <c r="L129" s="39" t="s">
        <v>5592</v>
      </c>
      <c r="M129" s="39" t="s">
        <v>4620</v>
      </c>
      <c r="N129" s="39">
        <v>5</v>
      </c>
      <c r="O129" s="39">
        <v>-7</v>
      </c>
      <c r="P129" s="39">
        <v>-2</v>
      </c>
      <c r="Q129" s="39" t="s">
        <v>4611</v>
      </c>
      <c r="R129" s="39">
        <v>-2.33</v>
      </c>
      <c r="S129" s="39">
        <v>-12.83</v>
      </c>
      <c r="T129" s="39">
        <v>-1.07</v>
      </c>
      <c r="U129" s="39">
        <v>29.86</v>
      </c>
      <c r="V129" s="39">
        <v>58.06</v>
      </c>
      <c r="W129" s="39">
        <v>39.1</v>
      </c>
      <c r="X129" s="39">
        <v>30.63</v>
      </c>
      <c r="Y129" s="39">
        <v>57.01</v>
      </c>
      <c r="Z129" s="39">
        <v>788.75</v>
      </c>
      <c r="AA129" s="39">
        <v>787.76</v>
      </c>
      <c r="AB129" s="39">
        <v>485.52</v>
      </c>
      <c r="AC129" s="39">
        <v>3508.77</v>
      </c>
      <c r="AD129" s="39" t="s">
        <v>4606</v>
      </c>
      <c r="AE129" s="39" t="s">
        <v>134</v>
      </c>
      <c r="AF129" s="39">
        <v>0</v>
      </c>
      <c r="AG129" s="42">
        <v>0</v>
      </c>
      <c r="AH129" s="39">
        <v>10</v>
      </c>
      <c r="AI129" s="42">
        <v>5.4999999999999997E-3</v>
      </c>
      <c r="AJ129" s="39" t="s">
        <v>5593</v>
      </c>
      <c r="AK129" s="42">
        <v>0.1116</v>
      </c>
      <c r="AL129" s="39" t="s">
        <v>5594</v>
      </c>
      <c r="AM129" s="42">
        <v>3.0499999999999999E-2</v>
      </c>
      <c r="AN129" s="42">
        <v>0.27489999999999998</v>
      </c>
      <c r="AO129" s="39">
        <v>65</v>
      </c>
      <c r="AP129" s="39">
        <v>34</v>
      </c>
      <c r="AQ129" s="39">
        <v>63</v>
      </c>
      <c r="AS129" s="39" t="s">
        <v>4564</v>
      </c>
      <c r="AW129" s="39">
        <v>1227.83</v>
      </c>
      <c r="AX129" s="39">
        <v>1261.32</v>
      </c>
      <c r="AY129" s="39">
        <v>1287.73</v>
      </c>
      <c r="AZ129" s="39">
        <v>1167.93</v>
      </c>
      <c r="BA129" s="39">
        <v>1141.52</v>
      </c>
      <c r="BB129" s="39">
        <v>1108.03</v>
      </c>
      <c r="BC129" s="39">
        <v>9</v>
      </c>
      <c r="BD129" s="39">
        <v>1</v>
      </c>
      <c r="BE129" s="39" t="s">
        <v>130</v>
      </c>
      <c r="BF129" s="39">
        <v>1.1200000000000001</v>
      </c>
      <c r="BG129" s="39">
        <v>5</v>
      </c>
      <c r="BH129" s="39">
        <v>564.79999999999995</v>
      </c>
      <c r="BI129" s="39" t="s">
        <v>4563</v>
      </c>
      <c r="BJ129" s="39" t="s">
        <v>4565</v>
      </c>
      <c r="BK129" t="s">
        <v>5626</v>
      </c>
      <c r="BL129" t="s">
        <v>4904</v>
      </c>
    </row>
    <row r="130" spans="1:64" x14ac:dyDescent="0.35">
      <c r="A130" s="39" t="s">
        <v>485</v>
      </c>
      <c r="B130" s="39" t="s">
        <v>4905</v>
      </c>
      <c r="C130" s="39">
        <v>727.35</v>
      </c>
      <c r="D130" s="39">
        <v>60</v>
      </c>
      <c r="G130" s="39" t="s">
        <v>4562</v>
      </c>
      <c r="H130" s="39" t="s">
        <v>5595</v>
      </c>
      <c r="I130" s="39" t="s">
        <v>4624</v>
      </c>
      <c r="J130" s="39" t="s">
        <v>5596</v>
      </c>
      <c r="K130" s="39" t="s">
        <v>4615</v>
      </c>
      <c r="L130" s="39" t="s">
        <v>5008</v>
      </c>
      <c r="N130" s="39">
        <v>7</v>
      </c>
      <c r="O130" s="39">
        <v>0</v>
      </c>
      <c r="P130" s="39">
        <v>7</v>
      </c>
      <c r="Q130" s="39" t="s">
        <v>14</v>
      </c>
      <c r="R130" s="39">
        <v>2.37</v>
      </c>
      <c r="S130" s="39">
        <v>0.1</v>
      </c>
      <c r="T130" s="39">
        <v>-1.3</v>
      </c>
      <c r="U130" s="39">
        <v>14.62</v>
      </c>
      <c r="V130" s="39">
        <v>50.15</v>
      </c>
      <c r="W130" s="39">
        <v>62.52</v>
      </c>
      <c r="X130" s="39">
        <v>29.97</v>
      </c>
      <c r="Y130" s="39" t="s">
        <v>4538</v>
      </c>
      <c r="Z130" s="39" t="s">
        <v>4538</v>
      </c>
      <c r="AA130" s="39" t="s">
        <v>4538</v>
      </c>
      <c r="AB130" s="39" t="s">
        <v>4538</v>
      </c>
      <c r="AC130" s="39" t="s">
        <v>4538</v>
      </c>
      <c r="AD130" s="39" t="s">
        <v>4974</v>
      </c>
      <c r="AE130" s="39" t="s">
        <v>134</v>
      </c>
      <c r="AF130" s="39">
        <v>20</v>
      </c>
      <c r="AG130" s="42">
        <v>7.4499999999999997E-2</v>
      </c>
      <c r="AH130" s="39">
        <v>321</v>
      </c>
      <c r="AI130" s="42">
        <v>0.496</v>
      </c>
      <c r="AL130" s="39" t="s">
        <v>5597</v>
      </c>
      <c r="AM130" s="42">
        <v>0.1331</v>
      </c>
      <c r="AN130" s="42">
        <v>6.0600000000000001E-2</v>
      </c>
      <c r="AO130" s="39">
        <v>30</v>
      </c>
      <c r="AP130" s="39">
        <v>5</v>
      </c>
      <c r="AQ130" s="39">
        <v>64</v>
      </c>
      <c r="AR130" s="39">
        <v>834</v>
      </c>
      <c r="AS130" s="39">
        <v>15</v>
      </c>
      <c r="AT130" s="39" t="s">
        <v>4562</v>
      </c>
      <c r="AU130" s="39">
        <v>14</v>
      </c>
      <c r="AV130" s="39" t="s">
        <v>4740</v>
      </c>
      <c r="AW130" s="39">
        <v>738.53</v>
      </c>
      <c r="AX130" s="39">
        <v>750.27</v>
      </c>
      <c r="AY130" s="39">
        <v>765.53</v>
      </c>
      <c r="AZ130" s="39">
        <v>711.53</v>
      </c>
      <c r="BA130" s="39">
        <v>696.27</v>
      </c>
      <c r="BB130" s="39">
        <v>684.53</v>
      </c>
      <c r="BC130" s="39">
        <v>6</v>
      </c>
      <c r="BD130" s="39" t="s">
        <v>130</v>
      </c>
      <c r="BE130" s="39">
        <v>3.15</v>
      </c>
      <c r="BF130" s="39">
        <v>1.21</v>
      </c>
      <c r="BG130" s="39">
        <v>3</v>
      </c>
      <c r="BH130" s="39">
        <v>4</v>
      </c>
      <c r="BI130" s="39" t="s">
        <v>4563</v>
      </c>
      <c r="BJ130" s="39" t="s">
        <v>4563</v>
      </c>
      <c r="BK130" t="s">
        <v>5627</v>
      </c>
      <c r="BL130" t="s">
        <v>4905</v>
      </c>
    </row>
    <row r="131" spans="1:64" x14ac:dyDescent="0.35">
      <c r="A131" s="39" t="s">
        <v>543</v>
      </c>
      <c r="B131" s="39" t="s">
        <v>4906</v>
      </c>
      <c r="C131" s="39">
        <v>420.85</v>
      </c>
      <c r="D131" s="39">
        <v>70</v>
      </c>
      <c r="G131" s="39" t="s">
        <v>129</v>
      </c>
      <c r="H131" s="39" t="s">
        <v>5598</v>
      </c>
      <c r="I131" s="39" t="s">
        <v>4624</v>
      </c>
      <c r="J131" s="39" t="s">
        <v>5599</v>
      </c>
      <c r="K131" s="39" t="s">
        <v>4615</v>
      </c>
      <c r="L131" s="39" t="s">
        <v>5600</v>
      </c>
      <c r="M131" s="39" t="s">
        <v>4959</v>
      </c>
      <c r="N131" s="39">
        <v>23</v>
      </c>
      <c r="O131" s="39">
        <v>-3</v>
      </c>
      <c r="P131" s="39">
        <v>20</v>
      </c>
      <c r="Q131" s="39" t="s">
        <v>5060</v>
      </c>
      <c r="R131" s="39">
        <v>-1.8</v>
      </c>
      <c r="S131" s="39">
        <v>-3.67</v>
      </c>
      <c r="T131" s="39">
        <v>13.51</v>
      </c>
      <c r="U131" s="39">
        <v>25.16</v>
      </c>
      <c r="V131" s="39">
        <v>33.880000000000003</v>
      </c>
      <c r="W131" s="39">
        <v>36.549999999999997</v>
      </c>
      <c r="X131" s="39">
        <v>45.7</v>
      </c>
      <c r="Y131" s="39">
        <v>116.71</v>
      </c>
      <c r="Z131" s="39">
        <v>1248.8800000000001</v>
      </c>
      <c r="AA131" s="39">
        <v>501.21</v>
      </c>
      <c r="AB131" s="39">
        <v>196.79</v>
      </c>
      <c r="AC131" s="39">
        <v>446.56</v>
      </c>
      <c r="AD131" s="39" t="s">
        <v>4606</v>
      </c>
      <c r="AE131" s="39" t="s">
        <v>134</v>
      </c>
      <c r="AF131" s="39">
        <v>14</v>
      </c>
      <c r="AG131" s="42">
        <v>6.13E-2</v>
      </c>
      <c r="AH131" s="39">
        <v>93</v>
      </c>
      <c r="AI131" s="42">
        <v>7.1800000000000003E-2</v>
      </c>
      <c r="AJ131" s="39" t="s">
        <v>5601</v>
      </c>
      <c r="AK131" s="42">
        <v>0.62119999999999997</v>
      </c>
      <c r="AL131" s="39" t="s">
        <v>5159</v>
      </c>
      <c r="AM131" s="42">
        <v>2.47E-2</v>
      </c>
      <c r="AN131" s="42">
        <v>0.15190000000000001</v>
      </c>
      <c r="AO131" s="39">
        <v>55</v>
      </c>
      <c r="AP131" s="39">
        <v>20</v>
      </c>
      <c r="AQ131" s="39">
        <v>60</v>
      </c>
      <c r="AR131" s="39">
        <v>434</v>
      </c>
      <c r="AS131" s="39">
        <v>3</v>
      </c>
      <c r="AT131" s="39" t="s">
        <v>4633</v>
      </c>
      <c r="AU131" s="39">
        <v>6</v>
      </c>
      <c r="AV131" s="39" t="s">
        <v>4741</v>
      </c>
      <c r="AW131" s="39">
        <v>429</v>
      </c>
      <c r="AX131" s="39">
        <v>437.3</v>
      </c>
      <c r="AY131" s="39">
        <v>442.1</v>
      </c>
      <c r="AZ131" s="39">
        <v>415.9</v>
      </c>
      <c r="BA131" s="39">
        <v>411.1</v>
      </c>
      <c r="BB131" s="39">
        <v>402.8</v>
      </c>
      <c r="BC131" s="39">
        <v>19</v>
      </c>
      <c r="BD131" s="39">
        <v>3</v>
      </c>
      <c r="BE131" s="39">
        <v>5</v>
      </c>
      <c r="BF131" s="39" t="s">
        <v>130</v>
      </c>
      <c r="BG131" s="39">
        <v>142</v>
      </c>
      <c r="BH131" s="39">
        <v>0.3</v>
      </c>
      <c r="BI131" s="39" t="s">
        <v>4565</v>
      </c>
      <c r="BJ131" s="39" t="s">
        <v>132</v>
      </c>
      <c r="BK131" t="s">
        <v>5628</v>
      </c>
      <c r="BL131" t="s">
        <v>4906</v>
      </c>
    </row>
    <row r="132" spans="1:64" x14ac:dyDescent="0.35">
      <c r="A132" s="39" t="s">
        <v>230</v>
      </c>
      <c r="B132" s="39" t="s">
        <v>4907</v>
      </c>
      <c r="C132" s="39">
        <v>240.65</v>
      </c>
      <c r="D132" s="39">
        <v>60</v>
      </c>
      <c r="G132" s="39" t="s">
        <v>4562</v>
      </c>
      <c r="H132" s="39" t="s">
        <v>5602</v>
      </c>
      <c r="I132" s="39" t="s">
        <v>4989</v>
      </c>
      <c r="J132" s="39" t="s">
        <v>5603</v>
      </c>
      <c r="K132" s="39" t="s">
        <v>133</v>
      </c>
      <c r="L132" s="39" t="s">
        <v>5604</v>
      </c>
      <c r="M132" s="39" t="s">
        <v>4620</v>
      </c>
      <c r="N132" s="39">
        <v>6</v>
      </c>
      <c r="O132" s="39">
        <v>-4</v>
      </c>
      <c r="P132" s="39">
        <v>2</v>
      </c>
      <c r="Q132" s="39" t="s">
        <v>4611</v>
      </c>
      <c r="R132" s="39">
        <v>-1.23</v>
      </c>
      <c r="S132" s="39">
        <v>-1.49</v>
      </c>
      <c r="T132" s="39">
        <v>-0.21</v>
      </c>
      <c r="U132" s="39">
        <v>2.27</v>
      </c>
      <c r="V132" s="39">
        <v>12.58</v>
      </c>
      <c r="W132" s="39">
        <v>12.53</v>
      </c>
      <c r="X132" s="39">
        <v>4.09</v>
      </c>
      <c r="Y132" s="39">
        <v>33.4</v>
      </c>
      <c r="Z132" s="39">
        <v>80.41</v>
      </c>
      <c r="AA132" s="39">
        <v>51.89</v>
      </c>
      <c r="AB132" s="39">
        <v>71.400000000000006</v>
      </c>
      <c r="AC132" s="39">
        <v>227.92</v>
      </c>
      <c r="AD132" s="39" t="s">
        <v>4606</v>
      </c>
      <c r="AE132" s="39" t="s">
        <v>134</v>
      </c>
      <c r="AF132" s="39">
        <v>34</v>
      </c>
      <c r="AG132" s="42">
        <v>8.7400000000000005E-2</v>
      </c>
      <c r="AH132" s="39">
        <v>1154</v>
      </c>
      <c r="AI132" s="42">
        <v>0.33129999999999998</v>
      </c>
      <c r="AJ132" s="39" t="s">
        <v>5061</v>
      </c>
      <c r="AK132" s="42">
        <v>0.49399999999999999</v>
      </c>
      <c r="AL132" s="39" t="s">
        <v>5605</v>
      </c>
      <c r="AM132" s="42">
        <v>2.6200000000000001E-2</v>
      </c>
      <c r="AN132" s="42">
        <v>2.5499999999999998E-2</v>
      </c>
      <c r="AO132" s="39">
        <v>65</v>
      </c>
      <c r="AP132" s="39">
        <v>54</v>
      </c>
      <c r="AQ132" s="39">
        <v>49</v>
      </c>
      <c r="AR132" s="39">
        <v>260</v>
      </c>
      <c r="AS132" s="39">
        <v>8</v>
      </c>
      <c r="AT132" s="39" t="s">
        <v>129</v>
      </c>
      <c r="AU132" s="39">
        <v>22</v>
      </c>
      <c r="AV132" s="39" t="s">
        <v>4742</v>
      </c>
      <c r="AW132" s="39">
        <v>243.07</v>
      </c>
      <c r="AX132" s="39">
        <v>245.13</v>
      </c>
      <c r="AY132" s="39">
        <v>246.62</v>
      </c>
      <c r="AZ132" s="39">
        <v>239.52</v>
      </c>
      <c r="BA132" s="39">
        <v>238.03</v>
      </c>
      <c r="BB132" s="39">
        <v>235.97</v>
      </c>
      <c r="BC132" s="39">
        <v>3</v>
      </c>
      <c r="BD132" s="39">
        <v>4</v>
      </c>
      <c r="BE132" s="39">
        <v>2</v>
      </c>
      <c r="BF132" s="39" t="s">
        <v>130</v>
      </c>
      <c r="BG132" s="39">
        <v>241.7</v>
      </c>
      <c r="BH132" s="39">
        <v>1</v>
      </c>
      <c r="BI132" s="39" t="s">
        <v>4563</v>
      </c>
      <c r="BJ132" s="39" t="s">
        <v>4563</v>
      </c>
      <c r="BK132" t="s">
        <v>5629</v>
      </c>
      <c r="BL132" t="s">
        <v>4907</v>
      </c>
    </row>
    <row r="133" spans="1:64" x14ac:dyDescent="0.35">
      <c r="A133" s="39" t="s">
        <v>863</v>
      </c>
      <c r="B133" s="39" t="s">
        <v>4908</v>
      </c>
      <c r="C133" s="39">
        <v>98.75</v>
      </c>
      <c r="D133" s="39">
        <v>14</v>
      </c>
      <c r="G133" s="39" t="s">
        <v>4963</v>
      </c>
      <c r="H133" s="39" t="s">
        <v>5606</v>
      </c>
      <c r="I133" s="39" t="s">
        <v>4996</v>
      </c>
      <c r="J133" s="39" t="s">
        <v>5607</v>
      </c>
      <c r="K133" s="39" t="s">
        <v>4603</v>
      </c>
      <c r="L133" s="39" t="s">
        <v>5437</v>
      </c>
      <c r="N133" s="39">
        <v>0</v>
      </c>
      <c r="O133" s="39">
        <v>-14</v>
      </c>
      <c r="P133" s="39">
        <v>-14</v>
      </c>
      <c r="Q133" s="39" t="s">
        <v>4605</v>
      </c>
      <c r="R133" s="39">
        <v>-0.8</v>
      </c>
      <c r="S133" s="39">
        <v>0.61</v>
      </c>
      <c r="T133" s="39">
        <v>0.78</v>
      </c>
      <c r="U133" s="39">
        <v>39.700000000000003</v>
      </c>
      <c r="V133" s="39">
        <v>10.6</v>
      </c>
      <c r="W133" s="39">
        <v>-11.91</v>
      </c>
      <c r="X133" s="39" t="s">
        <v>4538</v>
      </c>
      <c r="Y133" s="39" t="s">
        <v>4538</v>
      </c>
      <c r="Z133" s="39" t="s">
        <v>4538</v>
      </c>
      <c r="AA133" s="39" t="s">
        <v>4538</v>
      </c>
      <c r="AB133" s="39" t="s">
        <v>4538</v>
      </c>
      <c r="AC133" s="39" t="s">
        <v>4538</v>
      </c>
      <c r="AD133" s="39" t="s">
        <v>4974</v>
      </c>
      <c r="AE133" s="39" t="s">
        <v>134</v>
      </c>
      <c r="AF133" s="39">
        <v>9</v>
      </c>
      <c r="AG133" s="42">
        <v>9.1000000000000004E-3</v>
      </c>
      <c r="AH133" s="39">
        <v>141</v>
      </c>
      <c r="AI133" s="42">
        <v>0.35010000000000002</v>
      </c>
      <c r="AJ133" s="39" t="s">
        <v>5608</v>
      </c>
      <c r="AK133" s="39" t="s">
        <v>5609</v>
      </c>
      <c r="AL133" s="39" t="s">
        <v>5610</v>
      </c>
      <c r="AM133" s="43">
        <v>0.2</v>
      </c>
      <c r="AN133" s="42">
        <v>0.16769999999999999</v>
      </c>
      <c r="AO133" s="39">
        <v>30</v>
      </c>
      <c r="AP133" s="39">
        <v>24</v>
      </c>
      <c r="AQ133" s="39">
        <v>51</v>
      </c>
      <c r="AR133" s="39">
        <v>127</v>
      </c>
      <c r="AS133" s="39">
        <v>28</v>
      </c>
      <c r="AT133" s="39" t="s">
        <v>4633</v>
      </c>
      <c r="AU133" s="39">
        <v>5</v>
      </c>
      <c r="AV133" s="39" t="s">
        <v>4743</v>
      </c>
      <c r="AW133" s="39">
        <v>100.45</v>
      </c>
      <c r="AX133" s="39">
        <v>102.1</v>
      </c>
      <c r="AY133" s="39">
        <v>103.3</v>
      </c>
      <c r="AZ133" s="39">
        <v>97.6</v>
      </c>
      <c r="BA133" s="39">
        <v>96.4</v>
      </c>
      <c r="BB133" s="39">
        <v>94.75</v>
      </c>
      <c r="BC133" s="39">
        <v>2</v>
      </c>
      <c r="BD133" s="39" t="s">
        <v>130</v>
      </c>
      <c r="BE133" s="39">
        <v>-1.4</v>
      </c>
      <c r="BF133" s="39">
        <v>1.31</v>
      </c>
      <c r="BG133" s="39">
        <v>8</v>
      </c>
      <c r="BH133" s="39">
        <v>2</v>
      </c>
      <c r="BI133" s="39" t="s">
        <v>4563</v>
      </c>
      <c r="BJ133" s="39" t="s">
        <v>132</v>
      </c>
      <c r="BK133" t="s">
        <v>5630</v>
      </c>
      <c r="BL133" t="s">
        <v>4908</v>
      </c>
    </row>
    <row r="134" spans="1:64" x14ac:dyDescent="0.35">
      <c r="A134" s="47" t="s">
        <v>965</v>
      </c>
      <c r="B134" s="39" t="s">
        <v>4909</v>
      </c>
      <c r="C134" s="39">
        <v>477.8</v>
      </c>
      <c r="D134" s="39">
        <v>75</v>
      </c>
      <c r="E134" s="39" t="s">
        <v>4987</v>
      </c>
      <c r="F134" s="39" t="s">
        <v>5011</v>
      </c>
      <c r="G134" s="39" t="s">
        <v>129</v>
      </c>
      <c r="H134" s="39" t="s">
        <v>5611</v>
      </c>
      <c r="I134" s="39" t="s">
        <v>4624</v>
      </c>
      <c r="J134" s="39" t="s">
        <v>5612</v>
      </c>
      <c r="K134" s="39" t="s">
        <v>133</v>
      </c>
      <c r="L134" s="39" t="s">
        <v>5613</v>
      </c>
      <c r="M134" s="39" t="s">
        <v>135</v>
      </c>
      <c r="N134" s="39">
        <v>15</v>
      </c>
      <c r="O134" s="39">
        <v>-4</v>
      </c>
      <c r="P134" s="39">
        <v>11</v>
      </c>
      <c r="Q134" s="39" t="s">
        <v>14</v>
      </c>
      <c r="R134" s="39">
        <v>-1.37</v>
      </c>
      <c r="S134" s="39">
        <v>0.64</v>
      </c>
      <c r="T134" s="39">
        <v>13.28</v>
      </c>
      <c r="U134" s="39">
        <v>33.18</v>
      </c>
      <c r="V134" s="39">
        <v>31.83</v>
      </c>
      <c r="W134" s="39">
        <v>34.08</v>
      </c>
      <c r="X134" s="39">
        <v>25.99</v>
      </c>
      <c r="Y134" s="39">
        <v>47.45</v>
      </c>
      <c r="Z134" s="39">
        <v>593.47</v>
      </c>
      <c r="AA134" s="39">
        <v>344.88</v>
      </c>
      <c r="AB134" s="39">
        <v>500.25</v>
      </c>
      <c r="AC134" s="39">
        <v>1347.88</v>
      </c>
      <c r="AD134" s="39" t="s">
        <v>5015</v>
      </c>
      <c r="AE134" s="39" t="s">
        <v>134</v>
      </c>
      <c r="AF134" s="39">
        <v>15</v>
      </c>
      <c r="AG134" s="42">
        <v>6.5699999999999995E-2</v>
      </c>
      <c r="AH134" s="39">
        <v>114</v>
      </c>
      <c r="AI134" s="42">
        <v>0.183</v>
      </c>
      <c r="AJ134" s="39" t="s">
        <v>5614</v>
      </c>
      <c r="AK134" s="42">
        <v>0.2107</v>
      </c>
      <c r="AL134" s="39" t="s">
        <v>5615</v>
      </c>
      <c r="AM134" s="42">
        <v>2.4799999999999999E-2</v>
      </c>
      <c r="AN134" s="42">
        <v>0.3251</v>
      </c>
      <c r="AO134" s="39">
        <v>65</v>
      </c>
      <c r="AP134" s="39">
        <v>27</v>
      </c>
      <c r="AQ134" s="39">
        <v>68</v>
      </c>
      <c r="AR134" s="45">
        <v>495</v>
      </c>
      <c r="AS134" s="39">
        <v>3</v>
      </c>
      <c r="AT134" s="39" t="s">
        <v>4633</v>
      </c>
      <c r="AU134" s="39">
        <v>6</v>
      </c>
      <c r="AV134" s="39" t="s">
        <v>4744</v>
      </c>
      <c r="AW134" s="39">
        <v>488.73</v>
      </c>
      <c r="AX134" s="39">
        <v>499.42</v>
      </c>
      <c r="AY134" s="39">
        <v>506.78</v>
      </c>
      <c r="AZ134" s="39">
        <v>470.68</v>
      </c>
      <c r="BA134" s="39">
        <v>463.32</v>
      </c>
      <c r="BB134" s="39">
        <v>452.63</v>
      </c>
      <c r="BC134" s="39">
        <v>12</v>
      </c>
      <c r="BD134" s="39">
        <v>4</v>
      </c>
      <c r="BE134" s="39">
        <v>4</v>
      </c>
      <c r="BF134" s="39" t="s">
        <v>130</v>
      </c>
      <c r="BG134" s="39">
        <v>136</v>
      </c>
      <c r="BH134" s="39">
        <v>0.3</v>
      </c>
      <c r="BI134" s="39" t="s">
        <v>4563</v>
      </c>
      <c r="BJ134" s="39" t="s">
        <v>132</v>
      </c>
      <c r="BK134" t="s">
        <v>5631</v>
      </c>
      <c r="BL134" t="s">
        <v>4909</v>
      </c>
    </row>
    <row r="135" spans="1:64" x14ac:dyDescent="0.35">
      <c r="A135" s="39" t="s">
        <v>661</v>
      </c>
      <c r="B135" s="39" t="s">
        <v>4910</v>
      </c>
      <c r="C135" s="48">
        <v>1720.15</v>
      </c>
      <c r="D135" s="39">
        <v>44</v>
      </c>
      <c r="G135" s="39" t="s">
        <v>4625</v>
      </c>
      <c r="H135" s="39" t="s">
        <v>5616</v>
      </c>
      <c r="I135" s="39" t="s">
        <v>4989</v>
      </c>
      <c r="J135" s="39" t="s">
        <v>5617</v>
      </c>
      <c r="K135" s="39" t="s">
        <v>4603</v>
      </c>
      <c r="L135" s="39" t="s">
        <v>5437</v>
      </c>
      <c r="M135" s="39" t="s">
        <v>5047</v>
      </c>
      <c r="N135" s="39">
        <v>11</v>
      </c>
      <c r="O135" s="39">
        <v>-11</v>
      </c>
      <c r="P135" s="39">
        <v>0</v>
      </c>
      <c r="Q135" s="39" t="s">
        <v>4611</v>
      </c>
      <c r="R135" s="39">
        <v>0.22</v>
      </c>
      <c r="S135" s="39">
        <v>5.09</v>
      </c>
      <c r="T135" s="39">
        <v>22.53</v>
      </c>
      <c r="U135" s="39">
        <v>25.09</v>
      </c>
      <c r="V135" s="39">
        <v>4.12</v>
      </c>
      <c r="W135" s="39">
        <v>0.14000000000000001</v>
      </c>
      <c r="X135" s="39">
        <v>-10.29</v>
      </c>
      <c r="Y135" s="39">
        <v>23.91</v>
      </c>
      <c r="Z135" s="39">
        <v>36.409999999999997</v>
      </c>
      <c r="AA135" s="39">
        <v>24.35</v>
      </c>
      <c r="AB135" s="39">
        <v>31.6</v>
      </c>
      <c r="AC135" s="39">
        <v>372.24</v>
      </c>
      <c r="AD135" s="39" t="s">
        <v>5220</v>
      </c>
      <c r="AE135" s="39">
        <v>4.21</v>
      </c>
      <c r="AF135" s="39">
        <v>24</v>
      </c>
      <c r="AG135" s="42">
        <v>0.28270000000000001</v>
      </c>
      <c r="AH135" s="39">
        <v>200</v>
      </c>
      <c r="AI135" s="42">
        <v>0.26840000000000003</v>
      </c>
      <c r="AJ135" s="39" t="s">
        <v>5618</v>
      </c>
      <c r="AK135" s="42">
        <v>0.16159999999999999</v>
      </c>
      <c r="AL135" s="39" t="s">
        <v>5619</v>
      </c>
      <c r="AM135" s="42">
        <v>8.6499999999999994E-2</v>
      </c>
      <c r="AN135" s="42">
        <v>9.11E-2</v>
      </c>
      <c r="AO135" s="39">
        <v>45</v>
      </c>
      <c r="AP135" s="39">
        <v>15</v>
      </c>
      <c r="AQ135" s="39">
        <v>54</v>
      </c>
      <c r="AR135" s="45">
        <v>1842</v>
      </c>
      <c r="AS135" s="39">
        <v>7</v>
      </c>
      <c r="AT135" s="39" t="s">
        <v>129</v>
      </c>
      <c r="AU135" s="39">
        <v>24</v>
      </c>
      <c r="AV135" s="39" t="s">
        <v>4745</v>
      </c>
      <c r="AW135" s="39">
        <v>1738.2</v>
      </c>
      <c r="AX135" s="39">
        <v>1755.55</v>
      </c>
      <c r="AY135" s="39">
        <v>1767.15</v>
      </c>
      <c r="AZ135" s="39">
        <v>1709.25</v>
      </c>
      <c r="BA135" s="39">
        <v>1697.65</v>
      </c>
      <c r="BB135" s="39">
        <v>1680.3</v>
      </c>
      <c r="BC135" s="39">
        <v>3</v>
      </c>
      <c r="BD135" s="39">
        <v>1</v>
      </c>
      <c r="BE135" s="39">
        <v>1.1000000000000001</v>
      </c>
      <c r="BF135" s="39">
        <v>-0.31</v>
      </c>
      <c r="BG135" s="39">
        <v>4</v>
      </c>
      <c r="BH135" s="39">
        <v>11</v>
      </c>
      <c r="BI135" s="39" t="s">
        <v>4563</v>
      </c>
      <c r="BJ135" s="39" t="s">
        <v>4639</v>
      </c>
      <c r="BK135" t="s">
        <v>5632</v>
      </c>
      <c r="BL135" t="s">
        <v>4910</v>
      </c>
    </row>
    <row r="136" spans="1:64" x14ac:dyDescent="0.35">
      <c r="A136" s="39" t="s">
        <v>4540</v>
      </c>
      <c r="C136" s="48">
        <v>1720.15</v>
      </c>
      <c r="D136" s="39">
        <v>44</v>
      </c>
      <c r="G136" s="39" t="s">
        <v>4625</v>
      </c>
      <c r="H136" s="39" t="s">
        <v>5616</v>
      </c>
      <c r="I136" s="39" t="s">
        <v>4989</v>
      </c>
      <c r="J136" s="39" t="s">
        <v>5617</v>
      </c>
      <c r="K136" s="39" t="s">
        <v>4603</v>
      </c>
      <c r="L136" s="39" t="s">
        <v>5437</v>
      </c>
      <c r="M136" s="39" t="s">
        <v>5047</v>
      </c>
      <c r="N136" s="39">
        <v>11</v>
      </c>
      <c r="O136" s="39">
        <v>-11</v>
      </c>
      <c r="P136" s="39">
        <v>0</v>
      </c>
      <c r="Q136" s="39" t="s">
        <v>4611</v>
      </c>
      <c r="R136" s="39">
        <v>0.22</v>
      </c>
      <c r="S136" s="39">
        <v>5.09</v>
      </c>
      <c r="T136" s="39">
        <v>22.53</v>
      </c>
      <c r="U136" s="39">
        <v>25.09</v>
      </c>
      <c r="V136" s="39">
        <v>4.12</v>
      </c>
      <c r="W136" s="39">
        <v>0.14000000000000001</v>
      </c>
      <c r="X136" s="39">
        <v>-10.29</v>
      </c>
      <c r="Y136" s="39">
        <v>23.91</v>
      </c>
      <c r="Z136" s="39">
        <v>36.409999999999997</v>
      </c>
      <c r="AA136" s="39">
        <v>24.35</v>
      </c>
      <c r="AB136" s="39">
        <v>31.6</v>
      </c>
      <c r="AC136" s="39">
        <v>372.24</v>
      </c>
      <c r="AD136" s="39" t="s">
        <v>5220</v>
      </c>
      <c r="AE136" s="39">
        <v>4.21</v>
      </c>
      <c r="AF136" s="39">
        <v>24</v>
      </c>
      <c r="AG136" s="42">
        <v>0.28270000000000001</v>
      </c>
      <c r="AH136" s="39">
        <v>200</v>
      </c>
      <c r="AI136" s="42">
        <v>0.26840000000000003</v>
      </c>
      <c r="AJ136" s="39" t="s">
        <v>5618</v>
      </c>
      <c r="AK136" s="42">
        <v>0.16159999999999999</v>
      </c>
      <c r="AL136" s="39" t="s">
        <v>5619</v>
      </c>
      <c r="AM136" s="42">
        <v>8.6499999999999994E-2</v>
      </c>
      <c r="AN136" s="42">
        <v>9.11E-2</v>
      </c>
      <c r="AR136" s="45"/>
      <c r="BK136" t="s">
        <v>5632</v>
      </c>
      <c r="BL136" s="39"/>
    </row>
    <row r="137" spans="1:64" x14ac:dyDescent="0.35">
      <c r="A137" s="39" t="s">
        <v>1292</v>
      </c>
      <c r="B137" s="39" t="s">
        <v>4911</v>
      </c>
      <c r="C137" s="39">
        <v>168.9</v>
      </c>
      <c r="D137" s="39">
        <v>71</v>
      </c>
      <c r="G137" s="39" t="s">
        <v>129</v>
      </c>
      <c r="H137" s="39" t="s">
        <v>5620</v>
      </c>
      <c r="I137" s="39" t="s">
        <v>4624</v>
      </c>
      <c r="J137" s="39" t="s">
        <v>5621</v>
      </c>
      <c r="K137" s="39" t="s">
        <v>133</v>
      </c>
      <c r="L137" s="39" t="s">
        <v>4998</v>
      </c>
      <c r="N137" s="39">
        <v>11</v>
      </c>
      <c r="O137" s="39">
        <v>-6</v>
      </c>
      <c r="P137" s="39">
        <v>5</v>
      </c>
      <c r="Q137" s="39" t="s">
        <v>4611</v>
      </c>
      <c r="R137" s="39">
        <v>-0.12</v>
      </c>
      <c r="S137" s="39">
        <v>-1.4</v>
      </c>
      <c r="T137" s="39">
        <v>20.21</v>
      </c>
      <c r="U137" s="39">
        <v>41.16</v>
      </c>
      <c r="V137" s="39">
        <v>46.61</v>
      </c>
      <c r="W137" s="39">
        <v>33.68</v>
      </c>
      <c r="X137" s="39">
        <v>72.52</v>
      </c>
      <c r="Y137" s="39">
        <v>32.729999999999997</v>
      </c>
      <c r="Z137" s="39" t="s">
        <v>4538</v>
      </c>
      <c r="AA137" s="39" t="s">
        <v>4538</v>
      </c>
      <c r="AB137" s="39" t="s">
        <v>4538</v>
      </c>
      <c r="AC137" s="39" t="s">
        <v>4538</v>
      </c>
      <c r="AD137" s="39" t="s">
        <v>4606</v>
      </c>
      <c r="AE137" s="39" t="s">
        <v>134</v>
      </c>
      <c r="AF137" s="39">
        <v>3</v>
      </c>
      <c r="AG137" s="42">
        <v>1.12E-2</v>
      </c>
      <c r="AH137" s="39">
        <v>21</v>
      </c>
      <c r="AI137" s="42">
        <v>1.3100000000000001E-2</v>
      </c>
      <c r="AJ137" s="39" t="s">
        <v>5061</v>
      </c>
      <c r="AK137" s="42">
        <v>0.72840000000000005</v>
      </c>
      <c r="AN137" s="43">
        <v>0.2</v>
      </c>
      <c r="AO137" s="39">
        <v>60</v>
      </c>
      <c r="AP137" s="39">
        <v>34</v>
      </c>
      <c r="AQ137" s="39">
        <v>63</v>
      </c>
      <c r="AR137" s="39">
        <v>143</v>
      </c>
      <c r="AS137" s="39">
        <v>-16</v>
      </c>
      <c r="AT137" s="39" t="s">
        <v>4562</v>
      </c>
      <c r="AU137" s="39">
        <v>3</v>
      </c>
      <c r="AV137" s="39" t="s">
        <v>4746</v>
      </c>
      <c r="AW137" s="39">
        <v>171.03</v>
      </c>
      <c r="AX137" s="39">
        <v>173.22</v>
      </c>
      <c r="AY137" s="39">
        <v>175.53</v>
      </c>
      <c r="AZ137" s="39">
        <v>166.53</v>
      </c>
      <c r="BA137" s="39">
        <v>164.22</v>
      </c>
      <c r="BB137" s="39">
        <v>162.03</v>
      </c>
      <c r="BC137" s="39">
        <v>7</v>
      </c>
      <c r="BD137" s="39">
        <v>3</v>
      </c>
      <c r="BE137" s="39">
        <v>3</v>
      </c>
      <c r="BF137" s="39" t="s">
        <v>130</v>
      </c>
      <c r="BG137" s="39">
        <v>85.2</v>
      </c>
      <c r="BH137" s="39">
        <v>0.5</v>
      </c>
      <c r="BI137" s="39" t="s">
        <v>4639</v>
      </c>
      <c r="BJ137" s="39" t="s">
        <v>4651</v>
      </c>
      <c r="BK137" t="s">
        <v>5633</v>
      </c>
      <c r="BL137" t="s">
        <v>4911</v>
      </c>
    </row>
    <row r="138" spans="1:64" x14ac:dyDescent="0.35">
      <c r="A138" s="39" t="s">
        <v>611</v>
      </c>
      <c r="B138" s="39" t="s">
        <v>5863</v>
      </c>
      <c r="C138" s="39">
        <v>852.7</v>
      </c>
      <c r="D138" s="39">
        <v>42</v>
      </c>
      <c r="G138" s="39" t="s">
        <v>4625</v>
      </c>
      <c r="H138" s="39" t="s">
        <v>5882</v>
      </c>
      <c r="I138" s="39" t="s">
        <v>4996</v>
      </c>
      <c r="J138" s="39" t="s">
        <v>5883</v>
      </c>
      <c r="K138" s="39" t="s">
        <v>4615</v>
      </c>
      <c r="L138" s="39" t="s">
        <v>5884</v>
      </c>
      <c r="M138" s="39" t="s">
        <v>4620</v>
      </c>
      <c r="N138" s="39">
        <v>9</v>
      </c>
      <c r="O138" s="39">
        <v>-13</v>
      </c>
      <c r="P138" s="39">
        <v>-4</v>
      </c>
      <c r="Q138" s="39" t="s">
        <v>4611</v>
      </c>
      <c r="R138" s="39">
        <v>1.4</v>
      </c>
      <c r="S138" s="39">
        <v>-0.2</v>
      </c>
      <c r="T138" s="39">
        <v>-7.28</v>
      </c>
      <c r="U138" s="39">
        <v>9.01</v>
      </c>
      <c r="V138" s="39">
        <v>16.329999999999998</v>
      </c>
      <c r="W138" s="39">
        <v>21.81</v>
      </c>
      <c r="X138" s="39">
        <v>10.16</v>
      </c>
      <c r="Y138" s="39">
        <v>-13.85</v>
      </c>
      <c r="Z138" s="39">
        <v>22.57</v>
      </c>
      <c r="AA138" s="39">
        <v>16.79</v>
      </c>
      <c r="AB138" s="39">
        <v>25.36</v>
      </c>
      <c r="AC138" s="39">
        <v>437.13</v>
      </c>
      <c r="AD138" s="39" t="s">
        <v>4606</v>
      </c>
      <c r="AE138" s="39">
        <v>21.09</v>
      </c>
      <c r="AF138" s="39">
        <v>22</v>
      </c>
      <c r="AG138" s="42">
        <v>0.17599999999999999</v>
      </c>
      <c r="AH138" s="39">
        <v>124</v>
      </c>
      <c r="AI138" s="42">
        <v>7.9500000000000001E-2</v>
      </c>
      <c r="AJ138" s="39" t="s">
        <v>5885</v>
      </c>
      <c r="AK138" s="42">
        <v>0.21360000000000001</v>
      </c>
      <c r="AL138" s="39" t="s">
        <v>5886</v>
      </c>
      <c r="AM138" s="42">
        <v>8.0299999999999996E-2</v>
      </c>
      <c r="AN138" s="42">
        <v>0.10440000000000001</v>
      </c>
      <c r="AO138" s="39">
        <v>40</v>
      </c>
      <c r="AP138" s="39">
        <v>28</v>
      </c>
      <c r="AQ138" s="39">
        <v>52</v>
      </c>
      <c r="AR138" s="39">
        <v>872</v>
      </c>
      <c r="AS138" s="39">
        <v>2</v>
      </c>
      <c r="AT138" s="39" t="s">
        <v>4562</v>
      </c>
      <c r="AU138" s="39">
        <v>32</v>
      </c>
      <c r="AV138" s="39" t="s">
        <v>5862</v>
      </c>
      <c r="AW138" s="39">
        <v>862.82</v>
      </c>
      <c r="AX138" s="39">
        <v>873.53</v>
      </c>
      <c r="AY138" s="39">
        <v>889.07</v>
      </c>
      <c r="AZ138" s="39">
        <v>836.57</v>
      </c>
      <c r="BA138" s="39">
        <v>821.03</v>
      </c>
      <c r="BB138" s="39">
        <v>810.32</v>
      </c>
      <c r="BC138" s="39">
        <v>3</v>
      </c>
      <c r="BD138" s="39">
        <v>9</v>
      </c>
      <c r="BE138" s="39">
        <v>5</v>
      </c>
      <c r="BF138" s="39" t="s">
        <v>130</v>
      </c>
      <c r="BG138" s="39">
        <v>278.3</v>
      </c>
      <c r="BH138" s="39">
        <v>0.3</v>
      </c>
      <c r="BI138" s="39" t="s">
        <v>4563</v>
      </c>
      <c r="BJ138" s="39" t="s">
        <v>132</v>
      </c>
      <c r="BK138" t="s">
        <v>5890</v>
      </c>
      <c r="BL138" s="58" t="s">
        <v>5863</v>
      </c>
    </row>
    <row r="139" spans="1:64" x14ac:dyDescent="0.35">
      <c r="A139" s="39" t="s">
        <v>681</v>
      </c>
      <c r="B139" s="39" t="s">
        <v>4912</v>
      </c>
      <c r="C139" s="48">
        <v>2605.5</v>
      </c>
      <c r="D139" s="39">
        <v>72</v>
      </c>
      <c r="E139" s="39" t="s">
        <v>4987</v>
      </c>
      <c r="F139" s="39" t="s">
        <v>5634</v>
      </c>
      <c r="G139" s="39" t="s">
        <v>129</v>
      </c>
      <c r="H139" s="39" t="s">
        <v>5635</v>
      </c>
      <c r="I139" s="39" t="s">
        <v>4624</v>
      </c>
      <c r="J139" s="39" t="s">
        <v>5636</v>
      </c>
      <c r="K139" s="39" t="s">
        <v>133</v>
      </c>
      <c r="L139" s="39" t="s">
        <v>5637</v>
      </c>
      <c r="M139" s="39" t="s">
        <v>4620</v>
      </c>
      <c r="N139" s="39">
        <v>14</v>
      </c>
      <c r="O139" s="39">
        <v>-2</v>
      </c>
      <c r="P139" s="39">
        <v>12</v>
      </c>
      <c r="Q139" s="39" t="s">
        <v>14</v>
      </c>
      <c r="R139" s="39">
        <v>0.6</v>
      </c>
      <c r="S139" s="39">
        <v>-0.5</v>
      </c>
      <c r="T139" s="39">
        <v>1.52</v>
      </c>
      <c r="U139" s="39">
        <v>10.06</v>
      </c>
      <c r="V139" s="39">
        <v>23.93</v>
      </c>
      <c r="W139" s="39">
        <v>33.54</v>
      </c>
      <c r="X139" s="39">
        <v>51.16</v>
      </c>
      <c r="Y139" s="39">
        <v>85.83</v>
      </c>
      <c r="Z139" s="39">
        <v>250.58</v>
      </c>
      <c r="AA139" s="39">
        <v>338.64</v>
      </c>
      <c r="AB139" s="39">
        <v>358.82</v>
      </c>
      <c r="AC139" s="39">
        <v>2919.29</v>
      </c>
      <c r="AD139" s="39" t="s">
        <v>4606</v>
      </c>
      <c r="AE139" s="39" t="s">
        <v>134</v>
      </c>
      <c r="AF139" s="39">
        <v>18</v>
      </c>
      <c r="AG139" s="42">
        <v>0.16300000000000001</v>
      </c>
      <c r="AH139" s="39">
        <v>106</v>
      </c>
      <c r="AI139" s="42">
        <v>0.12790000000000001</v>
      </c>
      <c r="AJ139" s="39" t="s">
        <v>5638</v>
      </c>
      <c r="AK139" s="42">
        <v>0.1545</v>
      </c>
      <c r="AL139" s="39" t="s">
        <v>5639</v>
      </c>
      <c r="AM139" s="42">
        <v>6.0999999999999999E-2</v>
      </c>
      <c r="AN139" s="42">
        <v>9.1200000000000003E-2</v>
      </c>
      <c r="AO139" s="39">
        <v>70</v>
      </c>
      <c r="AP139" s="39">
        <v>27</v>
      </c>
      <c r="AQ139" s="39">
        <v>59</v>
      </c>
      <c r="AR139" s="45">
        <v>2787</v>
      </c>
      <c r="AS139" s="39">
        <v>7</v>
      </c>
      <c r="AT139" s="39" t="s">
        <v>4633</v>
      </c>
      <c r="AU139" s="39">
        <v>4</v>
      </c>
      <c r="AV139" s="39" t="s">
        <v>4747</v>
      </c>
      <c r="AW139" s="39">
        <v>2637.5</v>
      </c>
      <c r="AX139" s="39">
        <v>2666.25</v>
      </c>
      <c r="AY139" s="39">
        <v>2704.5</v>
      </c>
      <c r="AZ139" s="39">
        <v>2570.5</v>
      </c>
      <c r="BA139" s="39">
        <v>2532.25</v>
      </c>
      <c r="BB139" s="39">
        <v>2503.5</v>
      </c>
      <c r="BC139" s="39">
        <v>13</v>
      </c>
      <c r="BD139" s="39">
        <v>2</v>
      </c>
      <c r="BE139" s="39">
        <v>4</v>
      </c>
      <c r="BF139" s="39" t="s">
        <v>130</v>
      </c>
      <c r="BG139" s="39">
        <v>826.6</v>
      </c>
      <c r="BH139" s="39">
        <v>0.3</v>
      </c>
      <c r="BI139" s="39" t="s">
        <v>131</v>
      </c>
      <c r="BJ139" s="39" t="s">
        <v>132</v>
      </c>
      <c r="BK139" t="s">
        <v>5793</v>
      </c>
      <c r="BL139" t="s">
        <v>4912</v>
      </c>
    </row>
    <row r="140" spans="1:64" x14ac:dyDescent="0.35">
      <c r="A140" s="39" t="s">
        <v>185</v>
      </c>
      <c r="B140" s="39" t="s">
        <v>4913</v>
      </c>
      <c r="C140" s="48">
        <v>2556.6999999999998</v>
      </c>
      <c r="D140" s="39">
        <v>54</v>
      </c>
      <c r="G140" s="39" t="s">
        <v>4562</v>
      </c>
      <c r="H140" s="39" t="s">
        <v>5640</v>
      </c>
      <c r="I140" s="39" t="s">
        <v>4624</v>
      </c>
      <c r="J140" s="39" t="s">
        <v>5641</v>
      </c>
      <c r="K140" s="39" t="s">
        <v>4615</v>
      </c>
      <c r="L140" s="39" t="s">
        <v>5642</v>
      </c>
      <c r="M140" s="39" t="s">
        <v>135</v>
      </c>
      <c r="N140" s="39">
        <v>1</v>
      </c>
      <c r="O140" s="39">
        <v>-8</v>
      </c>
      <c r="P140" s="39">
        <v>-7</v>
      </c>
      <c r="Q140" s="39" t="s">
        <v>4605</v>
      </c>
      <c r="R140" s="39">
        <v>0.75</v>
      </c>
      <c r="S140" s="39">
        <v>0.34</v>
      </c>
      <c r="T140" s="39">
        <v>-0.63</v>
      </c>
      <c r="U140" s="39">
        <v>15.23</v>
      </c>
      <c r="V140" s="39">
        <v>14.95</v>
      </c>
      <c r="W140" s="39">
        <v>10.06</v>
      </c>
      <c r="X140" s="39">
        <v>5.41</v>
      </c>
      <c r="Y140" s="39">
        <v>29.15</v>
      </c>
      <c r="Z140" s="39">
        <v>32.369999999999997</v>
      </c>
      <c r="AA140" s="39">
        <v>119.56</v>
      </c>
      <c r="AB140" s="39">
        <v>133.05000000000001</v>
      </c>
      <c r="AC140" s="39">
        <v>579.79</v>
      </c>
      <c r="AD140" s="39" t="s">
        <v>4606</v>
      </c>
      <c r="AE140" s="39" t="s">
        <v>134</v>
      </c>
      <c r="AF140" s="39">
        <v>84</v>
      </c>
      <c r="AG140" s="42">
        <v>6.4500000000000002E-2</v>
      </c>
      <c r="AH140" s="39">
        <v>1864</v>
      </c>
      <c r="AI140" s="42">
        <v>0.22550000000000001</v>
      </c>
      <c r="AJ140" s="39" t="s">
        <v>5643</v>
      </c>
      <c r="AK140" s="42">
        <v>0.11219999999999999</v>
      </c>
      <c r="AL140" s="39" t="s">
        <v>136</v>
      </c>
      <c r="AM140" s="42">
        <v>6.59E-2</v>
      </c>
      <c r="AN140" s="42">
        <v>8.5900000000000004E-2</v>
      </c>
      <c r="AO140" s="39">
        <v>40</v>
      </c>
      <c r="AP140" s="39">
        <v>28</v>
      </c>
      <c r="AQ140" s="39">
        <v>37</v>
      </c>
      <c r="AS140" s="39" t="s">
        <v>4564</v>
      </c>
      <c r="AX140" s="39">
        <v>1.32</v>
      </c>
      <c r="AY140" s="39">
        <v>1.33</v>
      </c>
      <c r="BB140" s="39">
        <v>1.18</v>
      </c>
      <c r="BC140" s="39">
        <v>1</v>
      </c>
      <c r="BD140" s="39">
        <v>-0.11</v>
      </c>
      <c r="BE140" s="39">
        <v>-0.47</v>
      </c>
      <c r="BF140" s="39">
        <v>0.04</v>
      </c>
      <c r="BG140" s="39">
        <v>1</v>
      </c>
      <c r="BH140" s="39">
        <v>13</v>
      </c>
      <c r="BI140" s="39" t="s">
        <v>132</v>
      </c>
      <c r="BJ140" s="39" t="s">
        <v>4651</v>
      </c>
      <c r="BK140" t="s">
        <v>5794</v>
      </c>
      <c r="BL140" t="s">
        <v>4913</v>
      </c>
    </row>
    <row r="141" spans="1:64" x14ac:dyDescent="0.35">
      <c r="A141" s="39" t="s">
        <v>848</v>
      </c>
      <c r="B141" s="39" t="s">
        <v>4914</v>
      </c>
      <c r="C141" s="39">
        <v>452.1</v>
      </c>
      <c r="D141" s="39">
        <v>57</v>
      </c>
      <c r="G141" s="39" t="s">
        <v>4562</v>
      </c>
      <c r="H141" s="39" t="s">
        <v>5644</v>
      </c>
      <c r="I141" s="39" t="s">
        <v>4624</v>
      </c>
      <c r="J141" s="39" t="s">
        <v>5645</v>
      </c>
      <c r="K141" s="39" t="s">
        <v>133</v>
      </c>
      <c r="L141" s="39" t="s">
        <v>5646</v>
      </c>
      <c r="M141" s="39" t="s">
        <v>4959</v>
      </c>
      <c r="N141" s="39">
        <v>4</v>
      </c>
      <c r="O141" s="39">
        <v>-12</v>
      </c>
      <c r="P141" s="39">
        <v>-8</v>
      </c>
      <c r="Q141" s="39" t="s">
        <v>4605</v>
      </c>
      <c r="R141" s="39">
        <v>-1.18</v>
      </c>
      <c r="S141" s="39">
        <v>-4.6900000000000004</v>
      </c>
      <c r="T141" s="39">
        <v>10.61</v>
      </c>
      <c r="U141" s="39">
        <v>15.85</v>
      </c>
      <c r="V141" s="39">
        <v>34.47</v>
      </c>
      <c r="W141" s="39">
        <v>33.130000000000003</v>
      </c>
      <c r="X141" s="39">
        <v>66.52</v>
      </c>
      <c r="Y141" s="39">
        <v>70.44</v>
      </c>
      <c r="Z141" s="39">
        <v>72.260000000000005</v>
      </c>
      <c r="AA141" s="39">
        <v>97.68</v>
      </c>
      <c r="AB141" s="39">
        <v>82.3</v>
      </c>
      <c r="AC141" s="39" t="s">
        <v>4538</v>
      </c>
      <c r="AD141" s="39" t="s">
        <v>4606</v>
      </c>
      <c r="AE141" s="39" t="s">
        <v>134</v>
      </c>
      <c r="AF141" s="39">
        <v>8</v>
      </c>
      <c r="AG141" s="42">
        <v>6.9800000000000001E-2</v>
      </c>
      <c r="AH141" s="39">
        <v>129</v>
      </c>
      <c r="AI141" s="42">
        <v>3.4500000000000003E-2</v>
      </c>
      <c r="AJ141" s="39" t="s">
        <v>5061</v>
      </c>
      <c r="AK141" s="42">
        <v>0.72199999999999998</v>
      </c>
      <c r="AL141" s="39" t="s">
        <v>136</v>
      </c>
      <c r="AM141" s="42">
        <v>7.2999999999999995E-2</v>
      </c>
      <c r="AN141" s="42">
        <v>6.9699999999999998E-2</v>
      </c>
      <c r="AO141" s="39" t="s">
        <v>130</v>
      </c>
      <c r="AP141" s="39">
        <v>34</v>
      </c>
      <c r="AQ141" s="39">
        <v>27</v>
      </c>
      <c r="AS141" s="39" t="s">
        <v>4564</v>
      </c>
      <c r="AW141" s="39">
        <v>37.479999999999997</v>
      </c>
      <c r="AX141" s="39">
        <v>38.69</v>
      </c>
      <c r="AY141" s="39">
        <v>39.659999999999997</v>
      </c>
      <c r="AZ141" s="39">
        <v>35.299999999999997</v>
      </c>
      <c r="BA141" s="39">
        <v>34.33</v>
      </c>
      <c r="BB141" s="39">
        <v>33.119999999999997</v>
      </c>
      <c r="BC141" s="39">
        <v>1</v>
      </c>
      <c r="BD141" s="39">
        <v>-0.31</v>
      </c>
      <c r="BE141" s="39">
        <v>-0.42</v>
      </c>
      <c r="BF141" s="39">
        <v>0.13</v>
      </c>
      <c r="BG141" s="39">
        <v>2</v>
      </c>
      <c r="BH141" s="39">
        <v>11</v>
      </c>
      <c r="BI141" s="39" t="s">
        <v>4563</v>
      </c>
      <c r="BJ141" s="39" t="s">
        <v>131</v>
      </c>
      <c r="BK141" t="s">
        <v>5795</v>
      </c>
      <c r="BL141" t="s">
        <v>4914</v>
      </c>
    </row>
    <row r="142" spans="1:64" x14ac:dyDescent="0.35">
      <c r="A142" s="39" t="s">
        <v>1041</v>
      </c>
      <c r="B142" s="39" t="s">
        <v>4915</v>
      </c>
      <c r="C142" s="39">
        <v>587.1</v>
      </c>
      <c r="D142" s="39">
        <v>33</v>
      </c>
      <c r="G142" s="39" t="s">
        <v>4625</v>
      </c>
      <c r="H142" s="39" t="s">
        <v>5647</v>
      </c>
      <c r="I142" s="39" t="s">
        <v>4996</v>
      </c>
      <c r="J142" s="39" t="s">
        <v>5648</v>
      </c>
      <c r="K142" s="39" t="s">
        <v>4603</v>
      </c>
      <c r="L142" s="39" t="s">
        <v>5437</v>
      </c>
      <c r="M142" s="39" t="s">
        <v>4959</v>
      </c>
      <c r="N142" s="39">
        <v>21</v>
      </c>
      <c r="O142" s="39">
        <v>-11</v>
      </c>
      <c r="P142" s="39">
        <v>10</v>
      </c>
      <c r="Q142" s="39" t="s">
        <v>14</v>
      </c>
      <c r="R142" s="39">
        <v>-0.73</v>
      </c>
      <c r="S142" s="39">
        <v>-2.33</v>
      </c>
      <c r="T142" s="39">
        <v>-6.32</v>
      </c>
      <c r="U142" s="39">
        <v>23.52</v>
      </c>
      <c r="V142" s="39">
        <v>24.74</v>
      </c>
      <c r="W142" s="39">
        <v>19</v>
      </c>
      <c r="X142" s="39" t="s">
        <v>4538</v>
      </c>
      <c r="Y142" s="39" t="s">
        <v>4538</v>
      </c>
      <c r="Z142" s="39" t="s">
        <v>4538</v>
      </c>
      <c r="AA142" s="39" t="s">
        <v>4538</v>
      </c>
      <c r="AB142" s="39" t="s">
        <v>4538</v>
      </c>
      <c r="AC142" s="39" t="s">
        <v>4538</v>
      </c>
      <c r="AD142" s="39" t="s">
        <v>4606</v>
      </c>
      <c r="AE142" s="39" t="s">
        <v>134</v>
      </c>
      <c r="AF142" s="39">
        <v>10</v>
      </c>
      <c r="AG142" s="42">
        <v>3.8399999999999997E-2</v>
      </c>
      <c r="AH142" s="39">
        <v>7</v>
      </c>
      <c r="AI142" s="42">
        <v>1.49E-2</v>
      </c>
      <c r="AJ142" s="39" t="s">
        <v>5649</v>
      </c>
      <c r="AK142" s="42">
        <v>0.4204</v>
      </c>
      <c r="AL142" s="39" t="s">
        <v>5650</v>
      </c>
      <c r="AM142" s="42">
        <v>2.2499999999999999E-2</v>
      </c>
      <c r="AN142" s="42">
        <v>1.5900000000000001E-2</v>
      </c>
      <c r="AO142" s="39">
        <v>45</v>
      </c>
      <c r="AP142" s="39">
        <v>15</v>
      </c>
      <c r="AQ142" s="39">
        <v>39</v>
      </c>
      <c r="AR142" s="45"/>
      <c r="AS142" s="39" t="s">
        <v>4564</v>
      </c>
      <c r="AW142" s="39">
        <v>600.5</v>
      </c>
      <c r="AX142" s="39">
        <v>610.20000000000005</v>
      </c>
      <c r="AY142" s="39">
        <v>616.45000000000005</v>
      </c>
      <c r="AZ142" s="39">
        <v>584.54999999999995</v>
      </c>
      <c r="BA142" s="39">
        <v>578.29999999999995</v>
      </c>
      <c r="BB142" s="39">
        <v>568.6</v>
      </c>
      <c r="BC142" s="39">
        <v>2</v>
      </c>
      <c r="BD142" s="39" t="s">
        <v>130</v>
      </c>
      <c r="BE142" s="39">
        <v>0.68</v>
      </c>
      <c r="BF142" s="39">
        <v>0.88</v>
      </c>
      <c r="BG142" s="48">
        <v>6</v>
      </c>
      <c r="BH142" s="39">
        <v>4</v>
      </c>
      <c r="BI142" s="39" t="s">
        <v>4563</v>
      </c>
      <c r="BJ142" s="39" t="s">
        <v>4563</v>
      </c>
      <c r="BK142" t="s">
        <v>5796</v>
      </c>
      <c r="BL142" t="s">
        <v>4915</v>
      </c>
    </row>
    <row r="143" spans="1:64" x14ac:dyDescent="0.35">
      <c r="A143" s="39" t="s">
        <v>1411</v>
      </c>
      <c r="B143" s="39" t="s">
        <v>4916</v>
      </c>
      <c r="C143" s="39">
        <v>231.55</v>
      </c>
      <c r="D143" s="39">
        <v>46</v>
      </c>
      <c r="G143" s="39" t="s">
        <v>4625</v>
      </c>
      <c r="H143" s="39" t="s">
        <v>5651</v>
      </c>
      <c r="I143" s="39" t="s">
        <v>4624</v>
      </c>
      <c r="J143" s="39" t="s">
        <v>5652</v>
      </c>
      <c r="K143" s="39" t="s">
        <v>4603</v>
      </c>
      <c r="L143" s="39" t="s">
        <v>5653</v>
      </c>
      <c r="N143" s="39">
        <v>14</v>
      </c>
      <c r="O143" s="39">
        <v>-6</v>
      </c>
      <c r="P143" s="39">
        <v>8</v>
      </c>
      <c r="Q143" s="39" t="s">
        <v>14</v>
      </c>
      <c r="R143" s="39">
        <v>-2.2999999999999998</v>
      </c>
      <c r="S143" s="39">
        <v>-7.05</v>
      </c>
      <c r="T143" s="39">
        <v>11.91</v>
      </c>
      <c r="U143" s="39">
        <v>15.34</v>
      </c>
      <c r="V143" s="39">
        <v>6.34</v>
      </c>
      <c r="W143" s="39">
        <v>-1.19</v>
      </c>
      <c r="X143" s="39">
        <v>15.98</v>
      </c>
      <c r="Y143" s="39">
        <v>-21.17</v>
      </c>
      <c r="Z143" s="39">
        <v>140</v>
      </c>
      <c r="AA143" s="39">
        <v>99.11</v>
      </c>
      <c r="AB143" s="39">
        <v>52.6</v>
      </c>
      <c r="AC143" s="39">
        <v>605.95000000000005</v>
      </c>
      <c r="AD143" s="39" t="s">
        <v>4606</v>
      </c>
      <c r="AE143" s="39">
        <v>84.79</v>
      </c>
      <c r="AF143" s="39">
        <v>7</v>
      </c>
      <c r="AG143" s="42">
        <v>8.0500000000000002E-2</v>
      </c>
      <c r="AH143" s="39">
        <v>28</v>
      </c>
      <c r="AI143" s="42">
        <v>2.9899999999999999E-2</v>
      </c>
      <c r="AJ143" s="39" t="s">
        <v>5654</v>
      </c>
      <c r="AK143" s="42">
        <v>6.13E-2</v>
      </c>
      <c r="AL143" s="39" t="s">
        <v>5655</v>
      </c>
      <c r="AM143" s="42">
        <v>0.19639999999999999</v>
      </c>
      <c r="AN143" s="42">
        <v>6.5199999999999994E-2</v>
      </c>
      <c r="AO143" s="39">
        <v>40</v>
      </c>
      <c r="AP143" s="39">
        <v>27</v>
      </c>
      <c r="AQ143" s="39">
        <v>62</v>
      </c>
      <c r="AR143" s="45">
        <v>249</v>
      </c>
      <c r="AS143" s="39">
        <v>8</v>
      </c>
      <c r="AT143" s="39" t="s">
        <v>129</v>
      </c>
      <c r="AU143" s="39">
        <v>8</v>
      </c>
      <c r="AV143" s="39" t="s">
        <v>4748</v>
      </c>
      <c r="AW143" s="39">
        <v>242.17</v>
      </c>
      <c r="AX143" s="39">
        <v>253.28</v>
      </c>
      <c r="AY143" s="39">
        <v>259.37</v>
      </c>
      <c r="AZ143" s="39">
        <v>224.97</v>
      </c>
      <c r="BA143" s="39">
        <v>218.88</v>
      </c>
      <c r="BB143" s="39">
        <v>207.77</v>
      </c>
      <c r="BC143" s="39">
        <v>4</v>
      </c>
      <c r="BD143" s="39" t="s">
        <v>130</v>
      </c>
      <c r="BE143" s="39">
        <v>0.75</v>
      </c>
      <c r="BF143" s="39">
        <v>0.12</v>
      </c>
      <c r="BG143" s="39">
        <v>11</v>
      </c>
      <c r="BH143" s="39">
        <v>2</v>
      </c>
      <c r="BI143" s="39" t="s">
        <v>131</v>
      </c>
      <c r="BJ143" s="39" t="s">
        <v>132</v>
      </c>
      <c r="BK143" t="s">
        <v>5797</v>
      </c>
      <c r="BL143" t="s">
        <v>4916</v>
      </c>
    </row>
    <row r="144" spans="1:64" x14ac:dyDescent="0.35">
      <c r="A144" s="39" t="s">
        <v>446</v>
      </c>
      <c r="B144" s="39" t="s">
        <v>4917</v>
      </c>
      <c r="C144" s="39">
        <v>84.32</v>
      </c>
      <c r="D144" s="39">
        <v>50</v>
      </c>
      <c r="G144" s="39" t="s">
        <v>4562</v>
      </c>
      <c r="H144" s="39" t="s">
        <v>5656</v>
      </c>
      <c r="I144" s="39" t="s">
        <v>4989</v>
      </c>
      <c r="J144" s="39" t="s">
        <v>5657</v>
      </c>
      <c r="K144" s="39" t="s">
        <v>4615</v>
      </c>
      <c r="L144" s="39" t="s">
        <v>5658</v>
      </c>
      <c r="M144" s="39" t="s">
        <v>5047</v>
      </c>
      <c r="N144" s="39">
        <v>0</v>
      </c>
      <c r="O144" s="39">
        <v>-19</v>
      </c>
      <c r="P144" s="39">
        <v>-19</v>
      </c>
      <c r="Q144" s="39" t="s">
        <v>4605</v>
      </c>
      <c r="R144" s="39">
        <v>-0.71</v>
      </c>
      <c r="S144" s="39">
        <v>-7.47</v>
      </c>
      <c r="T144" s="39">
        <v>-6.62</v>
      </c>
      <c r="U144" s="39">
        <v>2.19</v>
      </c>
      <c r="V144" s="39">
        <v>-2.1800000000000002</v>
      </c>
      <c r="W144" s="39">
        <v>2.14</v>
      </c>
      <c r="X144" s="39">
        <v>1.41</v>
      </c>
      <c r="Y144" s="39">
        <v>-34.33</v>
      </c>
      <c r="Z144" s="39">
        <v>106.92</v>
      </c>
      <c r="AA144" s="39">
        <v>133.25</v>
      </c>
      <c r="AB144" s="39">
        <v>11.31</v>
      </c>
      <c r="AC144" s="39">
        <v>105.91</v>
      </c>
      <c r="AD144" s="39" t="s">
        <v>4606</v>
      </c>
      <c r="AE144" s="39" t="s">
        <v>134</v>
      </c>
      <c r="AF144" s="39">
        <v>32</v>
      </c>
      <c r="AG144" s="42">
        <v>3.4099999999999998E-2</v>
      </c>
      <c r="AH144" s="39">
        <v>140</v>
      </c>
      <c r="AI144" s="42">
        <v>3.8199999999999998E-2</v>
      </c>
      <c r="AJ144" s="39" t="s">
        <v>5061</v>
      </c>
      <c r="AK144" s="43">
        <v>0.65</v>
      </c>
      <c r="AL144" s="39" t="s">
        <v>136</v>
      </c>
      <c r="AM144" s="42">
        <v>6.93E-2</v>
      </c>
      <c r="AN144" s="42">
        <v>0.1507</v>
      </c>
      <c r="AO144" s="39">
        <v>50</v>
      </c>
      <c r="AP144" s="39">
        <v>67</v>
      </c>
      <c r="AQ144" s="39">
        <v>47</v>
      </c>
      <c r="AR144" s="39">
        <v>91</v>
      </c>
      <c r="AS144" s="39">
        <v>8</v>
      </c>
      <c r="AT144" s="39" t="s">
        <v>4562</v>
      </c>
      <c r="AU144" s="39">
        <v>23</v>
      </c>
      <c r="AV144" s="39" t="s">
        <v>4749</v>
      </c>
      <c r="AW144" s="39">
        <v>85.27</v>
      </c>
      <c r="AX144" s="39">
        <v>86.18</v>
      </c>
      <c r="AY144" s="39">
        <v>86.87</v>
      </c>
      <c r="AZ144" s="39">
        <v>83.67</v>
      </c>
      <c r="BA144" s="39">
        <v>82.98</v>
      </c>
      <c r="BB144" s="39">
        <v>82.07</v>
      </c>
      <c r="BC144" s="39">
        <v>5</v>
      </c>
      <c r="BD144" s="39">
        <v>6</v>
      </c>
      <c r="BE144" s="39">
        <v>1</v>
      </c>
      <c r="BF144" s="39">
        <v>1</v>
      </c>
      <c r="BG144" s="39">
        <v>107</v>
      </c>
      <c r="BH144" s="39">
        <v>1.3</v>
      </c>
      <c r="BI144" s="39" t="s">
        <v>4563</v>
      </c>
      <c r="BJ144" s="39" t="s">
        <v>4565</v>
      </c>
      <c r="BK144" t="s">
        <v>5798</v>
      </c>
      <c r="BL144" t="s">
        <v>4917</v>
      </c>
    </row>
    <row r="145" spans="1:64" x14ac:dyDescent="0.35">
      <c r="A145" s="39" t="s">
        <v>699</v>
      </c>
      <c r="B145" s="39" t="s">
        <v>4918</v>
      </c>
      <c r="C145" s="48">
        <v>7144.4</v>
      </c>
      <c r="D145" s="39">
        <v>70</v>
      </c>
      <c r="G145" s="39" t="s">
        <v>129</v>
      </c>
      <c r="H145" s="39" t="s">
        <v>5659</v>
      </c>
      <c r="I145" s="39" t="s">
        <v>4624</v>
      </c>
      <c r="J145" s="39" t="s">
        <v>5660</v>
      </c>
      <c r="K145" s="39" t="s">
        <v>133</v>
      </c>
      <c r="L145" s="39" t="s">
        <v>5661</v>
      </c>
      <c r="M145" s="39" t="s">
        <v>135</v>
      </c>
      <c r="N145" s="39">
        <v>5</v>
      </c>
      <c r="O145" s="39">
        <v>-6</v>
      </c>
      <c r="P145" s="39">
        <v>-1</v>
      </c>
      <c r="Q145" s="39" t="s">
        <v>4611</v>
      </c>
      <c r="R145" s="39">
        <v>-0.2</v>
      </c>
      <c r="S145" s="39">
        <v>0.43</v>
      </c>
      <c r="T145" s="39">
        <v>2.64</v>
      </c>
      <c r="U145" s="39">
        <v>11.64</v>
      </c>
      <c r="V145" s="39">
        <v>33.15</v>
      </c>
      <c r="W145" s="39">
        <v>22.13</v>
      </c>
      <c r="X145" s="39">
        <v>12.07</v>
      </c>
      <c r="Y145" s="39">
        <v>-19.78</v>
      </c>
      <c r="Z145" s="39">
        <v>-15.21</v>
      </c>
      <c r="AA145" s="39">
        <v>13.46</v>
      </c>
      <c r="AB145" s="39">
        <v>12.45</v>
      </c>
      <c r="AC145" s="39">
        <v>197.45</v>
      </c>
      <c r="AD145" s="39" t="s">
        <v>4606</v>
      </c>
      <c r="AE145" s="39" t="s">
        <v>134</v>
      </c>
      <c r="AF145" s="39">
        <v>19</v>
      </c>
      <c r="AG145" s="42">
        <v>9.5500000000000002E-2</v>
      </c>
      <c r="AH145" s="39">
        <v>140</v>
      </c>
      <c r="AI145" s="42">
        <v>6.7199999999999996E-2</v>
      </c>
      <c r="AJ145" s="39" t="s">
        <v>5662</v>
      </c>
      <c r="AK145" s="42">
        <v>0.60370000000000001</v>
      </c>
      <c r="AL145" s="39" t="s">
        <v>5663</v>
      </c>
      <c r="AM145" s="42">
        <v>5.9499999999999997E-2</v>
      </c>
      <c r="AN145" s="42">
        <v>8.8900000000000007E-2</v>
      </c>
      <c r="AO145" s="39">
        <v>55</v>
      </c>
      <c r="AP145" s="39">
        <v>19</v>
      </c>
      <c r="AQ145" s="39">
        <v>60</v>
      </c>
      <c r="AR145" s="45">
        <v>7282</v>
      </c>
      <c r="AS145" s="39">
        <v>2</v>
      </c>
      <c r="AT145" s="39" t="s">
        <v>129</v>
      </c>
      <c r="AU145" s="39">
        <v>7</v>
      </c>
      <c r="AV145" s="39" t="s">
        <v>4750</v>
      </c>
      <c r="AW145" s="39">
        <v>7207.07</v>
      </c>
      <c r="AX145" s="39">
        <v>7268.83</v>
      </c>
      <c r="AY145" s="39">
        <v>7312.67</v>
      </c>
      <c r="AZ145" s="39">
        <v>7101.47</v>
      </c>
      <c r="BA145" s="39">
        <v>7057.63</v>
      </c>
      <c r="BB145" s="39">
        <v>6995.87</v>
      </c>
      <c r="BC145" s="39">
        <v>7</v>
      </c>
      <c r="BD145" s="39">
        <v>6</v>
      </c>
      <c r="BE145" s="39">
        <v>5</v>
      </c>
      <c r="BF145" s="39" t="s">
        <v>130</v>
      </c>
      <c r="BG145" s="48">
        <v>1766.6</v>
      </c>
      <c r="BH145" s="39">
        <v>0.2</v>
      </c>
      <c r="BI145" s="39" t="s">
        <v>131</v>
      </c>
      <c r="BJ145" s="39" t="s">
        <v>132</v>
      </c>
      <c r="BK145" t="s">
        <v>5799</v>
      </c>
      <c r="BL145" t="s">
        <v>4918</v>
      </c>
    </row>
    <row r="146" spans="1:64" x14ac:dyDescent="0.35">
      <c r="A146" s="39" t="s">
        <v>252</v>
      </c>
      <c r="B146" s="39" t="s">
        <v>4919</v>
      </c>
      <c r="C146" s="48">
        <v>1281.8</v>
      </c>
      <c r="D146" s="39">
        <v>71</v>
      </c>
      <c r="E146" s="39" t="s">
        <v>4987</v>
      </c>
      <c r="F146" s="39" t="s">
        <v>5664</v>
      </c>
      <c r="G146" s="39" t="s">
        <v>129</v>
      </c>
      <c r="H146" s="39" t="s">
        <v>5665</v>
      </c>
      <c r="I146" s="39" t="s">
        <v>4989</v>
      </c>
      <c r="J146" s="39" t="s">
        <v>5666</v>
      </c>
      <c r="K146" s="39" t="s">
        <v>133</v>
      </c>
      <c r="L146" s="39" t="s">
        <v>5667</v>
      </c>
      <c r="N146" s="39">
        <v>18</v>
      </c>
      <c r="O146" s="39">
        <v>0</v>
      </c>
      <c r="P146" s="39">
        <v>18</v>
      </c>
      <c r="Q146" s="39" t="s">
        <v>14</v>
      </c>
      <c r="R146" s="39">
        <v>-0.12</v>
      </c>
      <c r="S146" s="39">
        <v>-2.1800000000000002</v>
      </c>
      <c r="T146" s="39">
        <v>-2.52</v>
      </c>
      <c r="U146" s="39">
        <v>11.18</v>
      </c>
      <c r="V146" s="39">
        <v>11.58</v>
      </c>
      <c r="W146" s="39">
        <v>4.08</v>
      </c>
      <c r="X146" s="39">
        <v>-3.18</v>
      </c>
      <c r="Y146" s="39">
        <v>15</v>
      </c>
      <c r="Z146" s="39">
        <v>49.03</v>
      </c>
      <c r="AA146" s="39">
        <v>53.41</v>
      </c>
      <c r="AB146" s="39">
        <v>95.92</v>
      </c>
      <c r="AC146" s="39" t="s">
        <v>4538</v>
      </c>
      <c r="AD146" s="39" t="s">
        <v>4606</v>
      </c>
      <c r="AE146" s="39" t="s">
        <v>134</v>
      </c>
      <c r="AF146" s="39">
        <v>32</v>
      </c>
      <c r="AG146" s="42">
        <v>0.1057</v>
      </c>
      <c r="AH146" s="39">
        <v>757</v>
      </c>
      <c r="AI146" s="42">
        <v>0.26219999999999999</v>
      </c>
      <c r="AJ146" s="39" t="s">
        <v>5668</v>
      </c>
      <c r="AK146" s="42">
        <v>0.55449999999999999</v>
      </c>
      <c r="AL146" s="39" t="s">
        <v>5669</v>
      </c>
      <c r="AM146" s="42">
        <v>3.6700000000000003E-2</v>
      </c>
      <c r="AN146" s="42">
        <v>2.01E-2</v>
      </c>
      <c r="AO146" s="39">
        <v>50</v>
      </c>
      <c r="AP146" s="39">
        <v>30</v>
      </c>
      <c r="AQ146" s="39">
        <v>57</v>
      </c>
      <c r="AR146" s="45">
        <v>1579</v>
      </c>
      <c r="AS146" s="39">
        <v>23</v>
      </c>
      <c r="AT146" s="39" t="s">
        <v>129</v>
      </c>
      <c r="AU146" s="39">
        <v>30</v>
      </c>
      <c r="AV146" s="39" t="s">
        <v>4751</v>
      </c>
      <c r="AW146" s="39">
        <v>1290.2</v>
      </c>
      <c r="AX146" s="39">
        <v>1297.95</v>
      </c>
      <c r="AY146" s="39">
        <v>1310.05</v>
      </c>
      <c r="AZ146" s="39">
        <v>1270.3499999999999</v>
      </c>
      <c r="BA146" s="39">
        <v>1258.25</v>
      </c>
      <c r="BB146" s="39">
        <v>1250.5</v>
      </c>
      <c r="BC146" s="39">
        <v>8</v>
      </c>
      <c r="BD146" s="39">
        <v>3</v>
      </c>
      <c r="BE146" s="39">
        <v>5</v>
      </c>
      <c r="BF146" s="39" t="s">
        <v>130</v>
      </c>
      <c r="BG146" s="39">
        <v>231.8</v>
      </c>
      <c r="BH146" s="39">
        <v>0.2</v>
      </c>
      <c r="BI146" s="39" t="s">
        <v>4639</v>
      </c>
      <c r="BJ146" s="39" t="s">
        <v>4563</v>
      </c>
      <c r="BK146" t="s">
        <v>5800</v>
      </c>
      <c r="BL146" t="s">
        <v>4919</v>
      </c>
    </row>
    <row r="147" spans="1:64" x14ac:dyDescent="0.35">
      <c r="A147" s="39" t="s">
        <v>197</v>
      </c>
      <c r="B147" s="39" t="s">
        <v>4920</v>
      </c>
      <c r="C147" s="39">
        <v>573.04999999999995</v>
      </c>
      <c r="D147" s="39">
        <v>74</v>
      </c>
      <c r="G147" s="39" t="s">
        <v>129</v>
      </c>
      <c r="H147" s="39" t="s">
        <v>5670</v>
      </c>
      <c r="I147" s="39" t="s">
        <v>4989</v>
      </c>
      <c r="J147" s="39" t="s">
        <v>5671</v>
      </c>
      <c r="K147" s="39" t="s">
        <v>133</v>
      </c>
      <c r="L147" s="39" t="s">
        <v>5672</v>
      </c>
      <c r="M147" s="39" t="s">
        <v>135</v>
      </c>
      <c r="N147" s="39">
        <v>30</v>
      </c>
      <c r="O147" s="39">
        <v>-5</v>
      </c>
      <c r="P147" s="39">
        <v>25</v>
      </c>
      <c r="Q147" s="39" t="s">
        <v>5060</v>
      </c>
      <c r="R147" s="39">
        <v>0.17</v>
      </c>
      <c r="S147" s="39">
        <v>-0.2</v>
      </c>
      <c r="T147" s="39">
        <v>-3.23</v>
      </c>
      <c r="U147" s="39">
        <v>-0.19</v>
      </c>
      <c r="V147" s="39">
        <v>7.94</v>
      </c>
      <c r="W147" s="39">
        <v>-6.55</v>
      </c>
      <c r="X147" s="39">
        <v>7.64</v>
      </c>
      <c r="Y147" s="39">
        <v>36.49</v>
      </c>
      <c r="Z147" s="39">
        <v>193.72</v>
      </c>
      <c r="AA147" s="39">
        <v>96.96</v>
      </c>
      <c r="AB147" s="39">
        <v>89.75</v>
      </c>
      <c r="AC147" s="39">
        <v>264.72000000000003</v>
      </c>
      <c r="AD147" s="39" t="s">
        <v>4606</v>
      </c>
      <c r="AE147" s="39" t="s">
        <v>134</v>
      </c>
      <c r="AF147" s="39">
        <v>70</v>
      </c>
      <c r="AG147" s="42">
        <v>0.12540000000000001</v>
      </c>
      <c r="AH147" s="39">
        <v>1018</v>
      </c>
      <c r="AI147" s="42">
        <v>0.1036</v>
      </c>
      <c r="AJ147" s="39" t="s">
        <v>5061</v>
      </c>
      <c r="AK147" s="42">
        <v>0.57469999999999999</v>
      </c>
      <c r="AL147" s="39" t="s">
        <v>136</v>
      </c>
      <c r="AM147" s="42">
        <v>8.7599999999999997E-2</v>
      </c>
      <c r="AN147" s="42">
        <v>6.3399999999999998E-2</v>
      </c>
      <c r="AO147" s="39">
        <v>60</v>
      </c>
      <c r="AP147" s="39">
        <v>59</v>
      </c>
      <c r="AQ147" s="39">
        <v>46</v>
      </c>
      <c r="AR147" s="45">
        <v>711</v>
      </c>
      <c r="AS147" s="39">
        <v>24</v>
      </c>
      <c r="AT147" s="39" t="s">
        <v>129</v>
      </c>
      <c r="AU147" s="39">
        <v>37</v>
      </c>
      <c r="AV147" s="39" t="s">
        <v>4752</v>
      </c>
      <c r="AW147" s="39">
        <v>576.33000000000004</v>
      </c>
      <c r="AX147" s="39">
        <v>579.72</v>
      </c>
      <c r="AY147" s="39">
        <v>584.17999999999995</v>
      </c>
      <c r="AZ147" s="39">
        <v>568.48</v>
      </c>
      <c r="BA147" s="39">
        <v>564.02</v>
      </c>
      <c r="BB147" s="39">
        <v>560.63</v>
      </c>
      <c r="BC147" s="39">
        <v>14</v>
      </c>
      <c r="BD147" s="39">
        <v>6</v>
      </c>
      <c r="BE147" s="39">
        <v>7</v>
      </c>
      <c r="BF147" s="39" t="s">
        <v>130</v>
      </c>
      <c r="BG147" s="39">
        <v>790.9</v>
      </c>
      <c r="BH147" s="39">
        <v>1.4</v>
      </c>
      <c r="BI147" s="39" t="s">
        <v>131</v>
      </c>
      <c r="BJ147" s="39" t="s">
        <v>4563</v>
      </c>
      <c r="BK147" t="s">
        <v>5801</v>
      </c>
      <c r="BL147" t="s">
        <v>4920</v>
      </c>
    </row>
    <row r="148" spans="1:64" x14ac:dyDescent="0.35">
      <c r="A148" s="39" t="s">
        <v>371</v>
      </c>
      <c r="B148" s="39" t="s">
        <v>4921</v>
      </c>
      <c r="C148" s="48">
        <v>18263.349999999999</v>
      </c>
      <c r="D148" s="39">
        <v>65</v>
      </c>
      <c r="G148" s="39" t="s">
        <v>4562</v>
      </c>
      <c r="H148" s="39" t="s">
        <v>5106</v>
      </c>
      <c r="I148" s="39" t="s">
        <v>4989</v>
      </c>
      <c r="J148" s="39" t="s">
        <v>5107</v>
      </c>
      <c r="K148" s="39" t="s">
        <v>133</v>
      </c>
      <c r="L148" s="39" t="s">
        <v>5108</v>
      </c>
      <c r="M148" s="39" t="s">
        <v>4620</v>
      </c>
      <c r="N148" s="39">
        <v>11</v>
      </c>
      <c r="O148" s="39">
        <v>-1</v>
      </c>
      <c r="P148" s="39">
        <v>10</v>
      </c>
      <c r="Q148" s="39" t="s">
        <v>14</v>
      </c>
      <c r="R148" s="39">
        <v>0.22</v>
      </c>
      <c r="S148" s="39">
        <v>0.49</v>
      </c>
      <c r="T148" s="39">
        <v>-4.76</v>
      </c>
      <c r="U148" s="39">
        <v>-3.94</v>
      </c>
      <c r="V148" s="39">
        <v>1.4</v>
      </c>
      <c r="W148" s="39">
        <v>5.89</v>
      </c>
      <c r="X148" s="39">
        <v>3.73</v>
      </c>
      <c r="Y148" s="39">
        <v>30.64</v>
      </c>
      <c r="Z148" s="39">
        <v>32.299999999999997</v>
      </c>
      <c r="AA148" s="39">
        <v>32.729999999999997</v>
      </c>
      <c r="AB148" s="39">
        <v>-3.2</v>
      </c>
      <c r="AC148" s="39">
        <v>116.77</v>
      </c>
      <c r="AD148" s="39" t="s">
        <v>4606</v>
      </c>
      <c r="AE148" s="39" t="s">
        <v>134</v>
      </c>
      <c r="AF148" s="39">
        <v>132</v>
      </c>
      <c r="AG148" s="42">
        <v>5.6000000000000001E-2</v>
      </c>
      <c r="AH148" s="39">
        <v>171</v>
      </c>
      <c r="AI148" s="42">
        <v>3.8800000000000001E-2</v>
      </c>
      <c r="AJ148" s="39" t="s">
        <v>5109</v>
      </c>
      <c r="AK148" s="42">
        <v>0.67759999999999998</v>
      </c>
      <c r="AL148" s="39" t="s">
        <v>5110</v>
      </c>
      <c r="AM148" s="42">
        <v>2.98E-2</v>
      </c>
      <c r="AN148" s="42">
        <v>7.3200000000000001E-2</v>
      </c>
      <c r="AO148" s="39">
        <v>70</v>
      </c>
      <c r="AP148" s="39">
        <v>15</v>
      </c>
      <c r="AQ148" s="39">
        <v>47</v>
      </c>
      <c r="AR148" s="45">
        <v>3157</v>
      </c>
      <c r="AS148" s="39">
        <v>6</v>
      </c>
      <c r="AT148" s="39" t="s">
        <v>4562</v>
      </c>
      <c r="AU148" s="39">
        <v>7</v>
      </c>
      <c r="AV148" s="39" t="s">
        <v>4753</v>
      </c>
      <c r="AW148" s="39">
        <v>3029.28</v>
      </c>
      <c r="AX148" s="39">
        <v>3069.62</v>
      </c>
      <c r="AY148" s="39">
        <v>3109.23</v>
      </c>
      <c r="AZ148" s="39">
        <v>2949.33</v>
      </c>
      <c r="BA148" s="39">
        <v>2909.72</v>
      </c>
      <c r="BB148" s="39">
        <v>2869.38</v>
      </c>
      <c r="BC148" s="39">
        <v>9</v>
      </c>
      <c r="BD148" s="39">
        <v>2</v>
      </c>
      <c r="BE148" s="39" t="s">
        <v>130</v>
      </c>
      <c r="BF148" s="39" t="s">
        <v>130</v>
      </c>
      <c r="BG148" s="39">
        <v>597</v>
      </c>
      <c r="BH148" s="39">
        <v>0.2</v>
      </c>
      <c r="BI148" s="39" t="s">
        <v>131</v>
      </c>
      <c r="BJ148" s="39" t="s">
        <v>132</v>
      </c>
      <c r="BK148" t="s">
        <v>5310</v>
      </c>
      <c r="BL148" t="s">
        <v>4921</v>
      </c>
    </row>
    <row r="149" spans="1:64" x14ac:dyDescent="0.35">
      <c r="A149" s="39" t="s">
        <v>4541</v>
      </c>
      <c r="B149" s="39" t="s">
        <v>4922</v>
      </c>
      <c r="C149" s="39">
        <v>406.75</v>
      </c>
      <c r="G149" s="39" t="s">
        <v>5349</v>
      </c>
      <c r="I149" s="39" t="s">
        <v>4996</v>
      </c>
      <c r="J149" s="39" t="s">
        <v>5673</v>
      </c>
      <c r="M149" s="39" t="s">
        <v>135</v>
      </c>
      <c r="R149" s="39">
        <v>0.33</v>
      </c>
      <c r="S149" s="39">
        <v>2.44</v>
      </c>
      <c r="T149" s="39">
        <v>4.21</v>
      </c>
      <c r="U149" s="39" t="s">
        <v>4538</v>
      </c>
      <c r="V149" s="39" t="s">
        <v>4538</v>
      </c>
      <c r="W149" s="39" t="s">
        <v>4538</v>
      </c>
      <c r="X149" s="39" t="s">
        <v>4538</v>
      </c>
      <c r="Y149" s="39" t="s">
        <v>4538</v>
      </c>
      <c r="Z149" s="39" t="s">
        <v>4538</v>
      </c>
      <c r="AA149" s="39" t="s">
        <v>4538</v>
      </c>
      <c r="AB149" s="39" t="s">
        <v>4538</v>
      </c>
      <c r="AC149" s="39" t="s">
        <v>4538</v>
      </c>
      <c r="AD149" s="39" t="s">
        <v>4606</v>
      </c>
      <c r="AE149" s="39" t="s">
        <v>134</v>
      </c>
      <c r="AF149" s="39">
        <v>9</v>
      </c>
      <c r="AG149" s="42">
        <v>2.3900000000000001E-2</v>
      </c>
      <c r="AH149" s="39">
        <v>38</v>
      </c>
      <c r="AI149" s="42">
        <v>3.04E-2</v>
      </c>
      <c r="AJ149" s="39" t="s">
        <v>5674</v>
      </c>
      <c r="AK149" s="42">
        <v>0.44340000000000002</v>
      </c>
      <c r="AL149" s="39" t="s">
        <v>5675</v>
      </c>
      <c r="AM149" s="42">
        <v>0.1164</v>
      </c>
      <c r="AN149" s="42">
        <v>7.6799999999999993E-2</v>
      </c>
      <c r="AO149" s="39" t="s">
        <v>130</v>
      </c>
      <c r="AP149" s="39">
        <v>5</v>
      </c>
      <c r="AQ149" s="39">
        <v>11</v>
      </c>
      <c r="AR149" s="45"/>
      <c r="AS149" s="39" t="s">
        <v>4564</v>
      </c>
      <c r="AW149" s="39">
        <v>419</v>
      </c>
      <c r="AX149" s="39">
        <v>431</v>
      </c>
      <c r="AY149" s="39">
        <v>437.75</v>
      </c>
      <c r="AZ149" s="39">
        <v>400.25</v>
      </c>
      <c r="BA149" s="39">
        <v>393.5</v>
      </c>
      <c r="BB149" s="39">
        <v>381.5</v>
      </c>
      <c r="BC149" s="39">
        <v>358.4</v>
      </c>
      <c r="BD149" s="39">
        <v>444</v>
      </c>
      <c r="BG149" s="39">
        <v>-0.32</v>
      </c>
      <c r="BI149" s="39" t="s">
        <v>4695</v>
      </c>
      <c r="BJ149" s="39" t="s">
        <v>4563</v>
      </c>
      <c r="BK149" t="s">
        <v>5802</v>
      </c>
      <c r="BL149" t="s">
        <v>4922</v>
      </c>
    </row>
    <row r="150" spans="1:64" x14ac:dyDescent="0.35">
      <c r="A150" s="39" t="s">
        <v>801</v>
      </c>
      <c r="B150" s="39" t="s">
        <v>4923</v>
      </c>
      <c r="C150" s="48">
        <v>1089.8499999999999</v>
      </c>
      <c r="D150" s="39">
        <v>44</v>
      </c>
      <c r="G150" s="39" t="s">
        <v>4625</v>
      </c>
      <c r="H150" s="39" t="s">
        <v>5676</v>
      </c>
      <c r="I150" s="39" t="s">
        <v>5677</v>
      </c>
      <c r="J150" s="39" t="s">
        <v>5678</v>
      </c>
      <c r="K150" s="39" t="s">
        <v>133</v>
      </c>
      <c r="L150" s="39" t="s">
        <v>5679</v>
      </c>
      <c r="M150" s="39" t="s">
        <v>5047</v>
      </c>
      <c r="N150" s="39">
        <v>2</v>
      </c>
      <c r="O150" s="39">
        <v>-6</v>
      </c>
      <c r="P150" s="39">
        <v>-4</v>
      </c>
      <c r="Q150" s="39" t="s">
        <v>4611</v>
      </c>
      <c r="R150" s="39">
        <v>-2.2599999999999998</v>
      </c>
      <c r="S150" s="39">
        <v>-4.63</v>
      </c>
      <c r="T150" s="39">
        <v>-11.83</v>
      </c>
      <c r="U150" s="39">
        <v>3.3</v>
      </c>
      <c r="V150" s="39">
        <v>-7.01</v>
      </c>
      <c r="W150" s="39">
        <v>-16.02</v>
      </c>
      <c r="X150" s="39">
        <v>-26.36</v>
      </c>
      <c r="Y150" s="39">
        <v>-6.89</v>
      </c>
      <c r="Z150" s="39">
        <v>58.64</v>
      </c>
      <c r="AA150" s="39">
        <v>91.6</v>
      </c>
      <c r="AB150" s="39">
        <v>31.93</v>
      </c>
      <c r="AC150" s="39" t="s">
        <v>4538</v>
      </c>
      <c r="AD150" s="39" t="s">
        <v>4606</v>
      </c>
      <c r="AE150" s="39" t="s">
        <v>134</v>
      </c>
      <c r="AF150" s="39">
        <v>8</v>
      </c>
      <c r="AG150" s="42">
        <v>0.21890000000000001</v>
      </c>
      <c r="AH150" s="39">
        <v>75</v>
      </c>
      <c r="AI150" s="42">
        <v>3.2099999999999997E-2</v>
      </c>
      <c r="AJ150" s="39" t="s">
        <v>5680</v>
      </c>
      <c r="AK150" s="42">
        <v>0.3503</v>
      </c>
      <c r="AL150" s="39" t="s">
        <v>5000</v>
      </c>
      <c r="AM150" s="42">
        <v>8.6800000000000002E-2</v>
      </c>
      <c r="AN150" s="42">
        <v>1.5800000000000002E-2</v>
      </c>
      <c r="AO150" s="39">
        <v>50</v>
      </c>
      <c r="AP150" s="39">
        <v>19</v>
      </c>
      <c r="AQ150" s="39">
        <v>37</v>
      </c>
      <c r="AR150" s="45">
        <v>1354</v>
      </c>
      <c r="AS150" s="39">
        <v>24</v>
      </c>
      <c r="AT150" s="39" t="s">
        <v>129</v>
      </c>
      <c r="AU150" s="39">
        <v>4</v>
      </c>
      <c r="AV150" s="39" t="s">
        <v>4754</v>
      </c>
      <c r="AW150" s="39">
        <v>1110.9000000000001</v>
      </c>
      <c r="AX150" s="39">
        <v>1132.75</v>
      </c>
      <c r="AY150" s="39">
        <v>1145.2</v>
      </c>
      <c r="AZ150" s="39">
        <v>1076.5999999999999</v>
      </c>
      <c r="BA150" s="39">
        <v>1064.1500000000001</v>
      </c>
      <c r="BB150" s="39">
        <v>1042.3</v>
      </c>
      <c r="BC150" s="39">
        <v>2</v>
      </c>
      <c r="BD150" s="39">
        <v>11</v>
      </c>
      <c r="BE150" s="39">
        <v>2</v>
      </c>
      <c r="BF150" s="39">
        <v>1</v>
      </c>
      <c r="BG150" s="39">
        <v>276.8</v>
      </c>
      <c r="BH150" s="39">
        <v>0.3</v>
      </c>
      <c r="BI150" s="39" t="s">
        <v>4565</v>
      </c>
      <c r="BJ150" s="39" t="s">
        <v>4563</v>
      </c>
      <c r="BK150" t="s">
        <v>5803</v>
      </c>
      <c r="BL150" t="s">
        <v>4923</v>
      </c>
    </row>
    <row r="151" spans="1:64" x14ac:dyDescent="0.35">
      <c r="A151" s="39" t="s">
        <v>914</v>
      </c>
      <c r="B151" s="39" t="s">
        <v>4924</v>
      </c>
      <c r="C151" s="39">
        <v>186.35</v>
      </c>
      <c r="D151" s="39">
        <v>74</v>
      </c>
      <c r="G151" s="39" t="s">
        <v>129</v>
      </c>
      <c r="H151" s="39" t="s">
        <v>5681</v>
      </c>
      <c r="I151" s="39" t="s">
        <v>4624</v>
      </c>
      <c r="J151" s="39" t="s">
        <v>5682</v>
      </c>
      <c r="K151" s="39" t="s">
        <v>4615</v>
      </c>
      <c r="L151" s="39" t="s">
        <v>5008</v>
      </c>
      <c r="M151" s="39" t="s">
        <v>135</v>
      </c>
      <c r="N151" s="39">
        <v>28</v>
      </c>
      <c r="O151" s="39">
        <v>-7</v>
      </c>
      <c r="P151" s="39">
        <v>21</v>
      </c>
      <c r="Q151" s="39" t="s">
        <v>5060</v>
      </c>
      <c r="R151" s="39">
        <v>-1.38</v>
      </c>
      <c r="S151" s="39">
        <v>-0.4</v>
      </c>
      <c r="T151" s="39">
        <v>7.47</v>
      </c>
      <c r="U151" s="39">
        <v>22.04</v>
      </c>
      <c r="V151" s="39">
        <v>25.19</v>
      </c>
      <c r="W151" s="39">
        <v>29.95</v>
      </c>
      <c r="X151" s="39">
        <v>26.51</v>
      </c>
      <c r="Y151" s="39">
        <v>48.9</v>
      </c>
      <c r="Z151" s="39">
        <v>172.24</v>
      </c>
      <c r="AA151" s="39">
        <v>192.54</v>
      </c>
      <c r="AB151" s="39">
        <v>45.53</v>
      </c>
      <c r="AC151" s="39">
        <v>1363.86</v>
      </c>
      <c r="AD151" s="39" t="s">
        <v>4606</v>
      </c>
      <c r="AE151" s="39">
        <v>19.04</v>
      </c>
      <c r="AF151" s="39">
        <v>30</v>
      </c>
      <c r="AG151" s="42">
        <v>0.13239999999999999</v>
      </c>
      <c r="AH151" s="39">
        <v>319</v>
      </c>
      <c r="AI151" s="42">
        <v>0.16589999999999999</v>
      </c>
      <c r="AJ151" s="39" t="s">
        <v>5683</v>
      </c>
      <c r="AK151" s="43">
        <v>0.35</v>
      </c>
      <c r="AL151" s="39" t="s">
        <v>5684</v>
      </c>
      <c r="AM151" s="42">
        <v>2.2800000000000001E-2</v>
      </c>
      <c r="AN151" s="42">
        <v>9.6500000000000002E-2</v>
      </c>
      <c r="AO151" s="39">
        <v>65</v>
      </c>
      <c r="AP151" s="39">
        <v>21</v>
      </c>
      <c r="AQ151" s="39">
        <v>57</v>
      </c>
      <c r="AR151" s="39">
        <v>853</v>
      </c>
      <c r="AS151" s="39">
        <v>7</v>
      </c>
      <c r="AT151" s="39" t="s">
        <v>4562</v>
      </c>
      <c r="AU151" s="39">
        <v>11</v>
      </c>
      <c r="AV151" s="39" t="s">
        <v>4755</v>
      </c>
      <c r="AW151" s="39">
        <v>810.9</v>
      </c>
      <c r="AX151" s="39">
        <v>821.9</v>
      </c>
      <c r="AY151" s="39">
        <v>835.8</v>
      </c>
      <c r="AZ151" s="39">
        <v>786</v>
      </c>
      <c r="BA151" s="39">
        <v>772.1</v>
      </c>
      <c r="BB151" s="39">
        <v>761.1</v>
      </c>
      <c r="BC151" s="39">
        <v>11</v>
      </c>
      <c r="BD151" s="39">
        <v>4</v>
      </c>
      <c r="BE151" s="39">
        <v>5</v>
      </c>
      <c r="BF151" s="39" t="s">
        <v>130</v>
      </c>
      <c r="BG151" s="39">
        <v>64.400000000000006</v>
      </c>
      <c r="BH151" s="39">
        <v>0.1</v>
      </c>
      <c r="BI151" s="39" t="s">
        <v>4563</v>
      </c>
      <c r="BJ151" s="39" t="s">
        <v>4563</v>
      </c>
      <c r="BK151" t="s">
        <v>5804</v>
      </c>
      <c r="BL151" t="s">
        <v>4924</v>
      </c>
    </row>
    <row r="152" spans="1:64" x14ac:dyDescent="0.35">
      <c r="A152" s="39" t="s">
        <v>248</v>
      </c>
      <c r="B152" s="39" t="s">
        <v>4925</v>
      </c>
      <c r="C152" s="48">
        <v>3606.35</v>
      </c>
      <c r="D152" s="39">
        <v>64</v>
      </c>
      <c r="G152" s="39" t="s">
        <v>4562</v>
      </c>
      <c r="H152" s="39" t="s">
        <v>5685</v>
      </c>
      <c r="I152" s="39" t="s">
        <v>4989</v>
      </c>
      <c r="J152" s="39" t="s">
        <v>5686</v>
      </c>
      <c r="K152" s="39" t="s">
        <v>133</v>
      </c>
      <c r="L152" s="39" t="s">
        <v>5687</v>
      </c>
      <c r="M152" s="39" t="s">
        <v>4959</v>
      </c>
      <c r="N152" s="39">
        <v>16</v>
      </c>
      <c r="O152" s="39">
        <v>-1</v>
      </c>
      <c r="P152" s="39">
        <v>15</v>
      </c>
      <c r="Q152" s="39" t="s">
        <v>14</v>
      </c>
      <c r="R152" s="39">
        <v>0.89</v>
      </c>
      <c r="S152" s="39">
        <v>-1.22</v>
      </c>
      <c r="T152" s="39">
        <v>-2.5299999999999998</v>
      </c>
      <c r="U152" s="39">
        <v>-5.89</v>
      </c>
      <c r="V152" s="39">
        <v>12.85</v>
      </c>
      <c r="W152" s="39">
        <v>27.64</v>
      </c>
      <c r="X152" s="39">
        <v>25.38</v>
      </c>
      <c r="Y152" s="39">
        <v>61.96</v>
      </c>
      <c r="Z152" s="39">
        <v>190.16</v>
      </c>
      <c r="AA152" s="39">
        <v>210.79</v>
      </c>
      <c r="AB152" s="39">
        <v>254.66</v>
      </c>
      <c r="AC152" s="39">
        <v>742.41</v>
      </c>
      <c r="AD152" s="39" t="s">
        <v>4606</v>
      </c>
      <c r="AE152" s="39" t="s">
        <v>134</v>
      </c>
      <c r="AF152" s="39">
        <v>29</v>
      </c>
      <c r="AG152" s="42">
        <v>3.2800000000000003E-2</v>
      </c>
      <c r="AH152" s="39">
        <v>647</v>
      </c>
      <c r="AI152" s="42">
        <v>7.5899999999999995E-2</v>
      </c>
      <c r="AJ152" s="39" t="s">
        <v>5688</v>
      </c>
      <c r="AK152" s="42">
        <v>0.47699999999999998</v>
      </c>
      <c r="AL152" s="39" t="s">
        <v>136</v>
      </c>
      <c r="AM152" s="42">
        <v>2.63E-2</v>
      </c>
      <c r="AN152" s="42">
        <v>7.5399999999999995E-2</v>
      </c>
      <c r="AO152" s="39">
        <v>75</v>
      </c>
      <c r="AP152" s="39">
        <v>14</v>
      </c>
      <c r="AQ152" s="39">
        <v>49</v>
      </c>
      <c r="AR152" s="45">
        <v>3800</v>
      </c>
      <c r="AS152" s="39">
        <v>5</v>
      </c>
      <c r="AT152" s="39" t="s">
        <v>4562</v>
      </c>
      <c r="AU152" s="39">
        <v>22</v>
      </c>
      <c r="AV152" s="39" t="s">
        <v>4756</v>
      </c>
      <c r="AW152" s="39">
        <v>3632.73</v>
      </c>
      <c r="AX152" s="39">
        <v>3659.37</v>
      </c>
      <c r="AY152" s="39">
        <v>3686.73</v>
      </c>
      <c r="AZ152" s="39">
        <v>3578.73</v>
      </c>
      <c r="BA152" s="39">
        <v>3551.37</v>
      </c>
      <c r="BB152" s="39">
        <v>3524.73</v>
      </c>
      <c r="BC152" s="39">
        <v>12</v>
      </c>
      <c r="BD152" s="39">
        <v>2</v>
      </c>
      <c r="BE152" s="39">
        <v>3</v>
      </c>
      <c r="BF152" s="39" t="s">
        <v>130</v>
      </c>
      <c r="BG152" s="45">
        <v>649</v>
      </c>
      <c r="BH152" s="39">
        <v>0.2</v>
      </c>
      <c r="BI152" s="39" t="s">
        <v>4639</v>
      </c>
      <c r="BJ152" s="39" t="s">
        <v>4563</v>
      </c>
      <c r="BK152" t="s">
        <v>5805</v>
      </c>
      <c r="BL152" t="s">
        <v>4925</v>
      </c>
    </row>
    <row r="153" spans="1:64" x14ac:dyDescent="0.35">
      <c r="A153" s="39" t="s">
        <v>444</v>
      </c>
      <c r="B153" s="39" t="s">
        <v>4926</v>
      </c>
      <c r="C153" s="48">
        <v>4347.75</v>
      </c>
      <c r="D153" s="39">
        <v>64</v>
      </c>
      <c r="G153" s="39" t="s">
        <v>4562</v>
      </c>
      <c r="H153" s="39" t="s">
        <v>5689</v>
      </c>
      <c r="I153" s="39" t="s">
        <v>4989</v>
      </c>
      <c r="J153" s="39" t="s">
        <v>5690</v>
      </c>
      <c r="K153" s="39" t="s">
        <v>133</v>
      </c>
      <c r="L153" s="39" t="s">
        <v>5691</v>
      </c>
      <c r="M153" s="39" t="s">
        <v>4959</v>
      </c>
      <c r="N153" s="39">
        <v>13</v>
      </c>
      <c r="O153" s="39">
        <v>-5</v>
      </c>
      <c r="P153" s="39">
        <v>8</v>
      </c>
      <c r="Q153" s="39" t="s">
        <v>14</v>
      </c>
      <c r="R153" s="39">
        <v>0.05</v>
      </c>
      <c r="S153" s="39">
        <v>6.6</v>
      </c>
      <c r="T153" s="39">
        <v>18.04</v>
      </c>
      <c r="U153" s="39">
        <v>15.59</v>
      </c>
      <c r="V153" s="39">
        <v>8.0399999999999991</v>
      </c>
      <c r="W153" s="39">
        <v>-1.37</v>
      </c>
      <c r="X153" s="39">
        <v>28.37</v>
      </c>
      <c r="Y153" s="39">
        <v>156.41</v>
      </c>
      <c r="Z153" s="39">
        <v>327.11</v>
      </c>
      <c r="AA153" s="39">
        <v>295.48</v>
      </c>
      <c r="AB153" s="39">
        <v>255.83</v>
      </c>
      <c r="AC153" s="39">
        <v>2412.86</v>
      </c>
      <c r="AD153" s="39" t="s">
        <v>4606</v>
      </c>
      <c r="AE153" s="39" t="s">
        <v>134</v>
      </c>
      <c r="AF153" s="39">
        <v>21</v>
      </c>
      <c r="AG153" s="42">
        <v>0.1467</v>
      </c>
      <c r="AH153" s="39">
        <v>127</v>
      </c>
      <c r="AI153" s="42">
        <v>5.79E-2</v>
      </c>
      <c r="AJ153" s="39" t="s">
        <v>5692</v>
      </c>
      <c r="AK153" s="42">
        <v>0.38929999999999998</v>
      </c>
      <c r="AL153" s="39" t="s">
        <v>5693</v>
      </c>
      <c r="AM153" s="42">
        <v>6.3799999999999996E-2</v>
      </c>
      <c r="AN153" s="42">
        <v>4.53E-2</v>
      </c>
      <c r="AO153" s="39">
        <v>90</v>
      </c>
      <c r="AP153" s="39">
        <v>18</v>
      </c>
      <c r="AQ153" s="39">
        <v>54</v>
      </c>
      <c r="AR153" s="45">
        <v>4490</v>
      </c>
      <c r="AS153" s="39">
        <v>3</v>
      </c>
      <c r="AT153" s="39" t="s">
        <v>129</v>
      </c>
      <c r="AU153" s="39">
        <v>7</v>
      </c>
      <c r="AV153" s="39" t="s">
        <v>4757</v>
      </c>
      <c r="AW153" s="39">
        <v>4411.58</v>
      </c>
      <c r="AX153" s="39">
        <v>4474.5200000000004</v>
      </c>
      <c r="AY153" s="39">
        <v>4539.03</v>
      </c>
      <c r="AZ153" s="39">
        <v>4284.13</v>
      </c>
      <c r="BA153" s="39">
        <v>4219.62</v>
      </c>
      <c r="BB153" s="39">
        <v>4156.68</v>
      </c>
      <c r="BC153" s="39">
        <v>12</v>
      </c>
      <c r="BD153" s="39">
        <v>2</v>
      </c>
      <c r="BE153" s="39">
        <v>1</v>
      </c>
      <c r="BF153" s="39" t="s">
        <v>130</v>
      </c>
      <c r="BG153" s="39">
        <v>769.9</v>
      </c>
      <c r="BH153" s="39">
        <v>0.2</v>
      </c>
      <c r="BI153" s="39" t="s">
        <v>4639</v>
      </c>
      <c r="BJ153" s="39" t="s">
        <v>132</v>
      </c>
      <c r="BK153" t="s">
        <v>5806</v>
      </c>
      <c r="BL153" t="s">
        <v>4926</v>
      </c>
    </row>
    <row r="154" spans="1:64" x14ac:dyDescent="0.35">
      <c r="A154" s="39" t="s">
        <v>926</v>
      </c>
      <c r="B154" s="39" t="s">
        <v>4927</v>
      </c>
      <c r="C154" s="39">
        <v>433.85</v>
      </c>
      <c r="D154" s="39">
        <v>54</v>
      </c>
      <c r="G154" s="39" t="s">
        <v>4562</v>
      </c>
      <c r="H154" s="39" t="s">
        <v>5694</v>
      </c>
      <c r="I154" s="39" t="s">
        <v>4989</v>
      </c>
      <c r="J154" s="39" t="s">
        <v>5695</v>
      </c>
      <c r="K154" s="39" t="s">
        <v>133</v>
      </c>
      <c r="L154" s="39" t="s">
        <v>5696</v>
      </c>
      <c r="M154" s="39" t="s">
        <v>135</v>
      </c>
      <c r="N154" s="39">
        <v>0</v>
      </c>
      <c r="O154" s="39">
        <v>-15</v>
      </c>
      <c r="P154" s="39">
        <v>-15</v>
      </c>
      <c r="Q154" s="39" t="s">
        <v>4605</v>
      </c>
      <c r="R154" s="39">
        <v>-0.92</v>
      </c>
      <c r="S154" s="39">
        <v>-2.6</v>
      </c>
      <c r="T154" s="39">
        <v>-1.67</v>
      </c>
      <c r="U154" s="39">
        <v>18.36</v>
      </c>
      <c r="V154" s="39">
        <v>14.16</v>
      </c>
      <c r="W154" s="39">
        <v>9.75</v>
      </c>
      <c r="X154" s="39">
        <v>3.63</v>
      </c>
      <c r="Y154" s="39">
        <v>29.69</v>
      </c>
      <c r="Z154" s="39">
        <v>349.35</v>
      </c>
      <c r="AA154" s="39">
        <v>357.77</v>
      </c>
      <c r="AB154" s="39">
        <v>218.89</v>
      </c>
      <c r="AC154" s="39">
        <v>1463.42</v>
      </c>
      <c r="AD154" s="39" t="s">
        <v>4606</v>
      </c>
      <c r="AE154" s="39" t="s">
        <v>134</v>
      </c>
      <c r="AF154" s="39">
        <v>4</v>
      </c>
      <c r="AG154" s="42">
        <v>2.2200000000000001E-2</v>
      </c>
      <c r="AH154" s="39">
        <v>90</v>
      </c>
      <c r="AI154" s="43">
        <v>0.02</v>
      </c>
      <c r="AJ154" s="39" t="s">
        <v>5697</v>
      </c>
      <c r="AK154" s="42">
        <v>0.30780000000000002</v>
      </c>
      <c r="AL154" s="39" t="s">
        <v>5698</v>
      </c>
      <c r="AM154" s="42">
        <v>2.2200000000000001E-2</v>
      </c>
      <c r="AN154" s="42">
        <v>0.2455</v>
      </c>
      <c r="AO154" s="39">
        <v>50</v>
      </c>
      <c r="AP154" s="39">
        <v>36</v>
      </c>
      <c r="AQ154" s="39">
        <v>57</v>
      </c>
      <c r="AR154" s="45">
        <v>482</v>
      </c>
      <c r="AS154" s="39">
        <v>11</v>
      </c>
      <c r="AT154" s="39" t="s">
        <v>4633</v>
      </c>
      <c r="AU154" s="39">
        <v>1</v>
      </c>
      <c r="AV154" s="39" t="s">
        <v>4758</v>
      </c>
      <c r="AW154" s="39">
        <v>444.12</v>
      </c>
      <c r="AX154" s="39">
        <v>455.03</v>
      </c>
      <c r="AY154" s="39">
        <v>463.07</v>
      </c>
      <c r="AZ154" s="39">
        <v>425.17</v>
      </c>
      <c r="BA154" s="39">
        <v>417.13</v>
      </c>
      <c r="BB154" s="39">
        <v>406.22</v>
      </c>
      <c r="BC154" s="39">
        <v>2</v>
      </c>
      <c r="BD154" s="39">
        <v>8</v>
      </c>
      <c r="BE154" s="39">
        <v>3</v>
      </c>
      <c r="BF154" s="39" t="s">
        <v>130</v>
      </c>
      <c r="BG154" s="39">
        <v>210.7</v>
      </c>
      <c r="BH154" s="39">
        <v>0.5</v>
      </c>
      <c r="BI154" s="39" t="s">
        <v>4563</v>
      </c>
      <c r="BK154" t="s">
        <v>5807</v>
      </c>
      <c r="BL154" t="s">
        <v>4927</v>
      </c>
    </row>
    <row r="155" spans="1:64" x14ac:dyDescent="0.35">
      <c r="A155" s="39" t="s">
        <v>512</v>
      </c>
      <c r="B155" s="39" t="s">
        <v>4928</v>
      </c>
      <c r="C155" s="48">
        <v>2584.5500000000002</v>
      </c>
      <c r="D155" s="39">
        <v>65</v>
      </c>
      <c r="G155" s="39" t="s">
        <v>4562</v>
      </c>
      <c r="H155" s="39" t="s">
        <v>5699</v>
      </c>
      <c r="I155" s="39" t="s">
        <v>4989</v>
      </c>
      <c r="J155" s="39" t="s">
        <v>5700</v>
      </c>
      <c r="K155" s="39" t="s">
        <v>133</v>
      </c>
      <c r="L155" s="39" t="s">
        <v>5701</v>
      </c>
      <c r="M155" s="39" t="s">
        <v>4620</v>
      </c>
      <c r="N155" s="39">
        <v>13</v>
      </c>
      <c r="O155" s="39">
        <v>-2</v>
      </c>
      <c r="P155" s="39">
        <v>11</v>
      </c>
      <c r="Q155" s="39" t="s">
        <v>14</v>
      </c>
      <c r="R155" s="39">
        <v>2.3199999999999998</v>
      </c>
      <c r="S155" s="39">
        <v>-0.55000000000000004</v>
      </c>
      <c r="T155" s="39">
        <v>2</v>
      </c>
      <c r="U155" s="39">
        <v>6.09</v>
      </c>
      <c r="V155" s="39">
        <v>10.130000000000001</v>
      </c>
      <c r="W155" s="39">
        <v>11.93</v>
      </c>
      <c r="X155" s="39">
        <v>22.69</v>
      </c>
      <c r="Y155" s="39">
        <v>5.66</v>
      </c>
      <c r="Z155" s="39">
        <v>91.07</v>
      </c>
      <c r="AA155" s="39">
        <v>67.95</v>
      </c>
      <c r="AB155" s="39">
        <v>73.790000000000006</v>
      </c>
      <c r="AC155" s="39">
        <v>417.32</v>
      </c>
      <c r="AD155" s="39" t="s">
        <v>4606</v>
      </c>
      <c r="AE155" s="39" t="s">
        <v>134</v>
      </c>
      <c r="AF155" s="39">
        <v>22</v>
      </c>
      <c r="AG155" s="42">
        <v>0.1298</v>
      </c>
      <c r="AH155" s="39">
        <v>75</v>
      </c>
      <c r="AI155" s="42">
        <v>7.7799999999999994E-2</v>
      </c>
      <c r="AJ155" s="39" t="s">
        <v>5702</v>
      </c>
      <c r="AK155" s="42">
        <v>2.6100000000000002E-2</v>
      </c>
      <c r="AL155" s="39" t="s">
        <v>5703</v>
      </c>
      <c r="AM155" s="42">
        <v>5.3499999999999999E-2</v>
      </c>
      <c r="AN155" s="42">
        <v>0.25800000000000001</v>
      </c>
      <c r="AO155" s="39">
        <v>65</v>
      </c>
      <c r="AP155" s="39">
        <v>44</v>
      </c>
      <c r="AQ155" s="39">
        <v>48</v>
      </c>
      <c r="AR155" s="45">
        <v>2846</v>
      </c>
      <c r="AS155" s="39">
        <v>10</v>
      </c>
      <c r="AT155" s="39" t="s">
        <v>129</v>
      </c>
      <c r="AU155" s="39">
        <v>8</v>
      </c>
      <c r="AV155" s="39" t="s">
        <v>4759</v>
      </c>
      <c r="AW155" s="39">
        <v>2612.02</v>
      </c>
      <c r="AX155" s="39">
        <v>2639.08</v>
      </c>
      <c r="AY155" s="39">
        <v>2684.17</v>
      </c>
      <c r="AZ155" s="39">
        <v>2539.87</v>
      </c>
      <c r="BA155" s="39">
        <v>2494.7800000000002</v>
      </c>
      <c r="BB155" s="39">
        <v>2467.7199999999998</v>
      </c>
      <c r="BC155" s="39">
        <v>10</v>
      </c>
      <c r="BD155" s="39">
        <v>4</v>
      </c>
      <c r="BE155" s="39">
        <v>4</v>
      </c>
      <c r="BF155" s="39" t="s">
        <v>130</v>
      </c>
      <c r="BG155" s="45">
        <v>1826</v>
      </c>
      <c r="BH155" s="39">
        <v>0.7</v>
      </c>
      <c r="BI155" s="39" t="s">
        <v>131</v>
      </c>
      <c r="BJ155" s="39" t="s">
        <v>4563</v>
      </c>
      <c r="BK155" t="s">
        <v>5808</v>
      </c>
      <c r="BL155" t="s">
        <v>4928</v>
      </c>
    </row>
    <row r="156" spans="1:64" x14ac:dyDescent="0.35">
      <c r="A156" s="39" t="s">
        <v>573</v>
      </c>
      <c r="B156" s="39" t="s">
        <v>4929</v>
      </c>
      <c r="C156" s="48">
        <v>1134.0999999999999</v>
      </c>
      <c r="D156" s="39">
        <v>67</v>
      </c>
      <c r="G156" s="39" t="s">
        <v>4562</v>
      </c>
      <c r="H156" s="39" t="s">
        <v>5704</v>
      </c>
      <c r="I156" s="39" t="s">
        <v>4624</v>
      </c>
      <c r="J156" s="39" t="s">
        <v>5705</v>
      </c>
      <c r="K156" s="39" t="s">
        <v>133</v>
      </c>
      <c r="L156" s="39" t="s">
        <v>5706</v>
      </c>
      <c r="M156" s="39" t="s">
        <v>4620</v>
      </c>
      <c r="N156" s="39">
        <v>6</v>
      </c>
      <c r="O156" s="39">
        <v>-3</v>
      </c>
      <c r="P156" s="39">
        <v>3</v>
      </c>
      <c r="Q156" s="39" t="s">
        <v>4611</v>
      </c>
      <c r="R156" s="39">
        <v>-1</v>
      </c>
      <c r="S156" s="39">
        <v>0.16</v>
      </c>
      <c r="T156" s="39">
        <v>6.39</v>
      </c>
      <c r="U156" s="39">
        <v>22.02</v>
      </c>
      <c r="V156" s="39">
        <v>15.31</v>
      </c>
      <c r="W156" s="39">
        <v>13.33</v>
      </c>
      <c r="X156" s="39">
        <v>23.84</v>
      </c>
      <c r="Y156" s="39">
        <v>44.85</v>
      </c>
      <c r="Z156" s="39">
        <v>115.55</v>
      </c>
      <c r="AA156" s="39">
        <v>173.44</v>
      </c>
      <c r="AB156" s="39">
        <v>81.95</v>
      </c>
      <c r="AC156" s="39">
        <v>109.24</v>
      </c>
      <c r="AD156" s="39" t="s">
        <v>4606</v>
      </c>
      <c r="AE156" s="39">
        <v>2.29</v>
      </c>
      <c r="AF156" s="39">
        <v>41</v>
      </c>
      <c r="AG156" s="42">
        <v>0.13159999999999999</v>
      </c>
      <c r="AH156" s="39">
        <v>923</v>
      </c>
      <c r="AI156" s="42">
        <v>0.1648</v>
      </c>
      <c r="AJ156" s="39" t="s">
        <v>5707</v>
      </c>
      <c r="AK156" s="42">
        <v>0.40300000000000002</v>
      </c>
      <c r="AL156" s="39" t="s">
        <v>136</v>
      </c>
      <c r="AM156" s="42">
        <v>3.2800000000000003E-2</v>
      </c>
      <c r="AN156" s="42">
        <v>5.6500000000000002E-2</v>
      </c>
      <c r="AO156" s="39">
        <v>70</v>
      </c>
      <c r="AP156" s="39">
        <v>16</v>
      </c>
      <c r="AQ156" s="39">
        <v>60</v>
      </c>
      <c r="AR156" s="45">
        <v>1271</v>
      </c>
      <c r="AS156" s="39">
        <v>2</v>
      </c>
      <c r="AT156" s="39" t="s">
        <v>4633</v>
      </c>
      <c r="AU156" s="39">
        <v>4</v>
      </c>
      <c r="AV156" s="39" t="s">
        <v>4760</v>
      </c>
      <c r="AW156" s="39">
        <v>1250.48</v>
      </c>
      <c r="AX156" s="39">
        <v>1260.72</v>
      </c>
      <c r="AY156" s="39">
        <v>1276.43</v>
      </c>
      <c r="AZ156" s="39">
        <v>1224.53</v>
      </c>
      <c r="BA156" s="39">
        <v>1208.82</v>
      </c>
      <c r="BB156" s="39">
        <v>1198.58</v>
      </c>
      <c r="BC156" s="39">
        <v>13</v>
      </c>
      <c r="BD156" s="39">
        <v>2</v>
      </c>
      <c r="BE156" s="39">
        <v>4</v>
      </c>
      <c r="BF156" s="39" t="s">
        <v>130</v>
      </c>
      <c r="BG156" s="39">
        <v>274.2</v>
      </c>
      <c r="BH156" s="39">
        <v>0.2</v>
      </c>
      <c r="BI156" s="39" t="s">
        <v>4563</v>
      </c>
      <c r="BJ156" s="39" t="s">
        <v>132</v>
      </c>
      <c r="BK156" t="s">
        <v>5809</v>
      </c>
      <c r="BL156" t="s">
        <v>4929</v>
      </c>
    </row>
    <row r="157" spans="1:64" x14ac:dyDescent="0.35">
      <c r="A157" s="39" t="s">
        <v>213</v>
      </c>
      <c r="B157" s="39" t="s">
        <v>4930</v>
      </c>
      <c r="C157" s="48">
        <v>1134.0999999999999</v>
      </c>
      <c r="D157" s="39">
        <v>67</v>
      </c>
      <c r="G157" s="39" t="s">
        <v>4562</v>
      </c>
      <c r="H157" s="39" t="s">
        <v>5704</v>
      </c>
      <c r="I157" s="39" t="s">
        <v>4624</v>
      </c>
      <c r="J157" s="39" t="s">
        <v>5705</v>
      </c>
      <c r="K157" s="39" t="s">
        <v>133</v>
      </c>
      <c r="L157" s="39" t="s">
        <v>5706</v>
      </c>
      <c r="M157" s="39" t="s">
        <v>4620</v>
      </c>
      <c r="N157" s="39">
        <v>6</v>
      </c>
      <c r="O157" s="39">
        <v>-3</v>
      </c>
      <c r="P157" s="39">
        <v>3</v>
      </c>
      <c r="Q157" s="39" t="s">
        <v>4611</v>
      </c>
      <c r="R157" s="39">
        <v>-1</v>
      </c>
      <c r="S157" s="39">
        <v>0.16</v>
      </c>
      <c r="T157" s="39">
        <v>6.39</v>
      </c>
      <c r="U157" s="39">
        <v>22.02</v>
      </c>
      <c r="V157" s="39">
        <v>15.31</v>
      </c>
      <c r="W157" s="39">
        <v>13.33</v>
      </c>
      <c r="X157" s="39">
        <v>23.84</v>
      </c>
      <c r="Y157" s="39">
        <v>44.85</v>
      </c>
      <c r="Z157" s="39">
        <v>115.55</v>
      </c>
      <c r="AA157" s="39">
        <v>173.44</v>
      </c>
      <c r="AB157" s="39">
        <v>81.95</v>
      </c>
      <c r="AC157" s="39">
        <v>109.24</v>
      </c>
      <c r="AD157" s="39" t="s">
        <v>4606</v>
      </c>
      <c r="AE157" s="39">
        <v>2.29</v>
      </c>
      <c r="AF157" s="39">
        <v>41</v>
      </c>
      <c r="AG157" s="42">
        <v>0.13159999999999999</v>
      </c>
      <c r="AH157" s="39">
        <v>923</v>
      </c>
      <c r="AI157" s="42">
        <v>0.1648</v>
      </c>
      <c r="AJ157" s="39" t="s">
        <v>5707</v>
      </c>
      <c r="AK157" s="42">
        <v>0.40300000000000002</v>
      </c>
      <c r="AL157" s="39" t="s">
        <v>136</v>
      </c>
      <c r="AM157" s="42">
        <v>3.2800000000000003E-2</v>
      </c>
      <c r="AN157" s="42">
        <v>5.6500000000000002E-2</v>
      </c>
      <c r="AO157" s="39">
        <v>60</v>
      </c>
      <c r="AP157" s="39">
        <v>31</v>
      </c>
      <c r="AQ157" s="39">
        <v>58</v>
      </c>
      <c r="AR157" s="45">
        <v>1233</v>
      </c>
      <c r="AS157" s="39">
        <v>9</v>
      </c>
      <c r="AT157" s="39" t="s">
        <v>129</v>
      </c>
      <c r="AU157" s="39">
        <v>37</v>
      </c>
      <c r="AV157" s="39" t="s">
        <v>4761</v>
      </c>
      <c r="AW157" s="39">
        <v>1146.47</v>
      </c>
      <c r="AX157" s="39">
        <v>1158.03</v>
      </c>
      <c r="AY157" s="39">
        <v>1166.77</v>
      </c>
      <c r="AZ157" s="39">
        <v>1126.17</v>
      </c>
      <c r="BA157" s="39">
        <v>1117.43</v>
      </c>
      <c r="BB157" s="39">
        <v>1105.8699999999999</v>
      </c>
      <c r="BC157" s="39">
        <v>10</v>
      </c>
      <c r="BD157" s="39">
        <v>4</v>
      </c>
      <c r="BE157" s="39">
        <v>6</v>
      </c>
      <c r="BF157" s="39">
        <v>1</v>
      </c>
      <c r="BG157" s="39">
        <v>442.2</v>
      </c>
      <c r="BH157" s="39">
        <v>0.4</v>
      </c>
      <c r="BI157" s="39" t="s">
        <v>4565</v>
      </c>
      <c r="BJ157" s="39" t="s">
        <v>4563</v>
      </c>
      <c r="BK157" t="s">
        <v>5809</v>
      </c>
      <c r="BL157" t="s">
        <v>4930</v>
      </c>
    </row>
    <row r="158" spans="1:64" x14ac:dyDescent="0.35">
      <c r="A158" s="39" t="s">
        <v>460</v>
      </c>
      <c r="B158" s="39" t="s">
        <v>4931</v>
      </c>
      <c r="C158" s="48">
        <v>4350.8999999999996</v>
      </c>
      <c r="D158" s="39">
        <v>65</v>
      </c>
      <c r="G158" s="39" t="s">
        <v>4562</v>
      </c>
      <c r="H158" s="39" t="s">
        <v>5708</v>
      </c>
      <c r="I158" s="39" t="s">
        <v>4624</v>
      </c>
      <c r="J158" s="39" t="s">
        <v>5709</v>
      </c>
      <c r="K158" s="39" t="s">
        <v>133</v>
      </c>
      <c r="L158" s="39" t="s">
        <v>5710</v>
      </c>
      <c r="M158" s="39" t="s">
        <v>4959</v>
      </c>
      <c r="N158" s="39">
        <v>2</v>
      </c>
      <c r="O158" s="39">
        <v>-3</v>
      </c>
      <c r="P158" s="39">
        <v>-1</v>
      </c>
      <c r="Q158" s="39" t="s">
        <v>4611</v>
      </c>
      <c r="R158" s="39">
        <v>-0.22</v>
      </c>
      <c r="S158" s="39">
        <v>6.8</v>
      </c>
      <c r="T158" s="39">
        <v>24.8</v>
      </c>
      <c r="U158" s="39">
        <v>55.53</v>
      </c>
      <c r="V158" s="39">
        <v>58.54</v>
      </c>
      <c r="W158" s="39">
        <v>77.569999999999993</v>
      </c>
      <c r="X158" s="39">
        <v>124.2</v>
      </c>
      <c r="Y158" s="39">
        <v>118.84</v>
      </c>
      <c r="Z158" s="39">
        <v>248.88</v>
      </c>
      <c r="AA158" s="39">
        <v>292.47000000000003</v>
      </c>
      <c r="AB158" s="39">
        <v>265.16000000000003</v>
      </c>
      <c r="AC158" s="39">
        <v>1186.49</v>
      </c>
      <c r="AD158" s="39" t="s">
        <v>4606</v>
      </c>
      <c r="AE158" s="39" t="s">
        <v>134</v>
      </c>
      <c r="AF158" s="39">
        <v>86</v>
      </c>
      <c r="AG158" s="42">
        <v>0.15</v>
      </c>
      <c r="AH158" s="39">
        <v>254</v>
      </c>
      <c r="AI158" s="42">
        <v>0.1905</v>
      </c>
      <c r="AJ158" s="39" t="s">
        <v>5711</v>
      </c>
      <c r="AK158" s="42">
        <v>0.16120000000000001</v>
      </c>
      <c r="AL158" s="39" t="s">
        <v>5639</v>
      </c>
      <c r="AM158" s="42">
        <v>4.8099999999999997E-2</v>
      </c>
      <c r="AN158" s="42">
        <v>0.12230000000000001</v>
      </c>
      <c r="AO158" s="39">
        <v>65</v>
      </c>
      <c r="AP158" s="39">
        <v>12</v>
      </c>
      <c r="AQ158" s="39">
        <v>73</v>
      </c>
      <c r="AR158" s="45">
        <v>3343</v>
      </c>
      <c r="AS158" s="39">
        <v>-23</v>
      </c>
      <c r="AT158" s="39" t="s">
        <v>4562</v>
      </c>
      <c r="AU158" s="39">
        <v>22</v>
      </c>
      <c r="AV158" s="39" t="s">
        <v>4762</v>
      </c>
      <c r="AW158" s="39">
        <v>4410.07</v>
      </c>
      <c r="AX158" s="39">
        <v>4467.58</v>
      </c>
      <c r="AY158" s="39">
        <v>4514.32</v>
      </c>
      <c r="AZ158" s="39">
        <v>4305.82</v>
      </c>
      <c r="BA158" s="39">
        <v>4259.08</v>
      </c>
      <c r="BB158" s="39">
        <v>4201.57</v>
      </c>
      <c r="BC158" s="39">
        <v>9</v>
      </c>
      <c r="BD158" s="39">
        <v>7</v>
      </c>
      <c r="BE158" s="39">
        <v>7</v>
      </c>
      <c r="BF158" s="39" t="s">
        <v>130</v>
      </c>
      <c r="BG158" s="39">
        <v>729.4</v>
      </c>
      <c r="BH158" s="39">
        <v>0.2</v>
      </c>
      <c r="BI158" s="39" t="s">
        <v>131</v>
      </c>
      <c r="BJ158" s="39" t="s">
        <v>132</v>
      </c>
      <c r="BK158" t="s">
        <v>5810</v>
      </c>
      <c r="BL158" t="s">
        <v>4931</v>
      </c>
    </row>
    <row r="159" spans="1:64" x14ac:dyDescent="0.35">
      <c r="A159" s="39" t="s">
        <v>532</v>
      </c>
      <c r="B159" s="39" t="s">
        <v>4932</v>
      </c>
      <c r="C159" s="39">
        <v>801.8</v>
      </c>
      <c r="D159" s="39">
        <v>65</v>
      </c>
      <c r="G159" s="39" t="s">
        <v>4562</v>
      </c>
      <c r="H159" s="39" t="s">
        <v>5712</v>
      </c>
      <c r="I159" s="39" t="s">
        <v>4624</v>
      </c>
      <c r="J159" s="39" t="s">
        <v>5713</v>
      </c>
      <c r="K159" s="39" t="s">
        <v>133</v>
      </c>
      <c r="L159" s="39" t="s">
        <v>5714</v>
      </c>
      <c r="M159" s="39" t="s">
        <v>4959</v>
      </c>
      <c r="N159" s="39">
        <v>12</v>
      </c>
      <c r="O159" s="39">
        <v>-9</v>
      </c>
      <c r="P159" s="39">
        <v>3</v>
      </c>
      <c r="Q159" s="39" t="s">
        <v>4611</v>
      </c>
      <c r="R159" s="39">
        <v>-0.34</v>
      </c>
      <c r="S159" s="39">
        <v>1</v>
      </c>
      <c r="T159" s="39">
        <v>2.72</v>
      </c>
      <c r="U159" s="39">
        <v>14.8</v>
      </c>
      <c r="V159" s="39">
        <v>41.46</v>
      </c>
      <c r="W159" s="39">
        <v>36.979999999999997</v>
      </c>
      <c r="X159" s="39">
        <v>34.51</v>
      </c>
      <c r="Y159" s="39">
        <v>27.29</v>
      </c>
      <c r="Z159" s="39">
        <v>65.17</v>
      </c>
      <c r="AA159" s="39">
        <v>160.88</v>
      </c>
      <c r="AB159" s="39">
        <v>175.06</v>
      </c>
      <c r="AC159" s="39" t="s">
        <v>4538</v>
      </c>
      <c r="AD159" s="39" t="s">
        <v>4606</v>
      </c>
      <c r="AE159" s="39" t="s">
        <v>134</v>
      </c>
      <c r="AF159" s="39">
        <v>23</v>
      </c>
      <c r="AG159" s="42">
        <v>8.5800000000000001E-2</v>
      </c>
      <c r="AH159" s="39">
        <v>251</v>
      </c>
      <c r="AI159" s="42">
        <v>0.2319</v>
      </c>
      <c r="AJ159" s="39" t="s">
        <v>5715</v>
      </c>
      <c r="AK159" s="42">
        <v>0.54600000000000004</v>
      </c>
      <c r="AL159" s="39" t="s">
        <v>5669</v>
      </c>
      <c r="AM159" s="42">
        <v>3.9300000000000002E-2</v>
      </c>
      <c r="AN159" s="42">
        <v>8.1100000000000005E-2</v>
      </c>
      <c r="AO159" s="39">
        <v>60</v>
      </c>
      <c r="AP159" s="39">
        <v>15</v>
      </c>
      <c r="AQ159" s="39">
        <v>63</v>
      </c>
      <c r="AR159" s="39">
        <v>825</v>
      </c>
      <c r="AS159" s="39">
        <v>3</v>
      </c>
      <c r="AT159" s="39" t="s">
        <v>129</v>
      </c>
      <c r="AU159" s="39">
        <v>8</v>
      </c>
      <c r="AV159" s="39" t="s">
        <v>4763</v>
      </c>
      <c r="AW159" s="39">
        <v>808.97</v>
      </c>
      <c r="AX159" s="39">
        <v>814.63</v>
      </c>
      <c r="AY159" s="39">
        <v>822.07</v>
      </c>
      <c r="AZ159" s="39">
        <v>795.87</v>
      </c>
      <c r="BA159" s="39">
        <v>788.43</v>
      </c>
      <c r="BB159" s="39">
        <v>782.77</v>
      </c>
      <c r="BC159" s="39">
        <v>10</v>
      </c>
      <c r="BD159" s="39">
        <v>3</v>
      </c>
      <c r="BE159" s="39">
        <v>3</v>
      </c>
      <c r="BF159" s="39" t="s">
        <v>130</v>
      </c>
      <c r="BG159" s="39">
        <v>156.1</v>
      </c>
      <c r="BH159" s="39">
        <v>0.2</v>
      </c>
      <c r="BI159" s="39" t="s">
        <v>4563</v>
      </c>
      <c r="BJ159" s="39" t="s">
        <v>132</v>
      </c>
      <c r="BK159" t="s">
        <v>5811</v>
      </c>
      <c r="BL159" t="s">
        <v>4932</v>
      </c>
    </row>
    <row r="160" spans="1:64" x14ac:dyDescent="0.35">
      <c r="A160" s="39" t="s">
        <v>427</v>
      </c>
      <c r="B160" s="39" t="s">
        <v>4933</v>
      </c>
      <c r="C160" s="48">
        <v>1692.45</v>
      </c>
      <c r="D160" s="39">
        <v>64</v>
      </c>
      <c r="G160" s="39" t="s">
        <v>4562</v>
      </c>
      <c r="H160" s="39" t="s">
        <v>5716</v>
      </c>
      <c r="I160" s="39" t="s">
        <v>4624</v>
      </c>
      <c r="J160" s="39" t="s">
        <v>5717</v>
      </c>
      <c r="K160" s="39" t="s">
        <v>133</v>
      </c>
      <c r="L160" s="39" t="s">
        <v>5718</v>
      </c>
      <c r="M160" s="39" t="s">
        <v>5047</v>
      </c>
      <c r="N160" s="39">
        <v>7</v>
      </c>
      <c r="O160" s="39">
        <v>-18</v>
      </c>
      <c r="P160" s="39">
        <v>-11</v>
      </c>
      <c r="Q160" s="39" t="s">
        <v>4605</v>
      </c>
      <c r="R160" s="39">
        <v>-0.25</v>
      </c>
      <c r="S160" s="39">
        <v>0.7</v>
      </c>
      <c r="T160" s="39">
        <v>5.77</v>
      </c>
      <c r="U160" s="39">
        <v>38.659999999999997</v>
      </c>
      <c r="V160" s="39">
        <v>36.46</v>
      </c>
      <c r="W160" s="39">
        <v>32.79</v>
      </c>
      <c r="X160" s="39">
        <v>55.73</v>
      </c>
      <c r="Y160" s="39">
        <v>20.7</v>
      </c>
      <c r="Z160" s="39">
        <v>92.64</v>
      </c>
      <c r="AA160" s="39">
        <v>283.12</v>
      </c>
      <c r="AB160" s="39">
        <v>205.94</v>
      </c>
      <c r="AC160" s="39">
        <v>958.44</v>
      </c>
      <c r="AD160" s="39" t="s">
        <v>4606</v>
      </c>
      <c r="AE160" s="39">
        <v>4.96</v>
      </c>
      <c r="AF160" s="39">
        <v>25</v>
      </c>
      <c r="AG160" s="42">
        <v>9.9500000000000005E-2</v>
      </c>
      <c r="AH160" s="39">
        <v>212</v>
      </c>
      <c r="AI160" s="42">
        <v>0.17169999999999999</v>
      </c>
      <c r="AJ160" s="39" t="s">
        <v>5719</v>
      </c>
      <c r="AK160" s="42">
        <v>0.44800000000000001</v>
      </c>
      <c r="AL160" s="39" t="s">
        <v>5720</v>
      </c>
      <c r="AM160" s="42">
        <v>4.4200000000000003E-2</v>
      </c>
      <c r="AN160" s="42">
        <v>7.7299999999999994E-2</v>
      </c>
      <c r="AO160" s="39">
        <v>60</v>
      </c>
      <c r="AP160" s="39">
        <v>26</v>
      </c>
      <c r="AQ160" s="39">
        <v>63</v>
      </c>
      <c r="AR160" s="45">
        <v>1636</v>
      </c>
      <c r="AS160" s="39">
        <v>-3</v>
      </c>
      <c r="AT160" s="39" t="s">
        <v>4562</v>
      </c>
      <c r="AU160" s="39">
        <v>8</v>
      </c>
      <c r="AV160" s="39" t="s">
        <v>4764</v>
      </c>
      <c r="AW160" s="39">
        <v>1706.37</v>
      </c>
      <c r="AX160" s="39">
        <v>1718.68</v>
      </c>
      <c r="AY160" s="39">
        <v>1733.37</v>
      </c>
      <c r="AZ160" s="39">
        <v>1679.37</v>
      </c>
      <c r="BA160" s="39">
        <v>1664.68</v>
      </c>
      <c r="BB160" s="39">
        <v>1652.37</v>
      </c>
      <c r="BC160" s="39">
        <v>11</v>
      </c>
      <c r="BD160" s="39">
        <v>4</v>
      </c>
      <c r="BE160" s="39">
        <v>5</v>
      </c>
      <c r="BF160" s="39" t="s">
        <v>130</v>
      </c>
      <c r="BG160" s="39">
        <v>264.7</v>
      </c>
      <c r="BH160" s="39">
        <v>0.2</v>
      </c>
      <c r="BI160" s="39" t="s">
        <v>4639</v>
      </c>
      <c r="BK160" t="s">
        <v>5812</v>
      </c>
      <c r="BL160" t="s">
        <v>4933</v>
      </c>
    </row>
    <row r="161" spans="1:64" x14ac:dyDescent="0.35">
      <c r="A161" s="39" t="s">
        <v>234</v>
      </c>
      <c r="B161" s="39" t="s">
        <v>4934</v>
      </c>
      <c r="C161" s="48">
        <v>3367.65</v>
      </c>
      <c r="D161" s="39">
        <v>72</v>
      </c>
      <c r="G161" s="39" t="s">
        <v>129</v>
      </c>
      <c r="H161" s="39" t="s">
        <v>5721</v>
      </c>
      <c r="I161" s="39" t="s">
        <v>4989</v>
      </c>
      <c r="J161" s="39" t="s">
        <v>5722</v>
      </c>
      <c r="K161" s="39" t="s">
        <v>4957</v>
      </c>
      <c r="L161" s="39" t="s">
        <v>5723</v>
      </c>
      <c r="M161" s="39" t="s">
        <v>4620</v>
      </c>
      <c r="N161" s="39">
        <v>8</v>
      </c>
      <c r="O161" s="39">
        <v>0</v>
      </c>
      <c r="P161" s="39">
        <v>8</v>
      </c>
      <c r="Q161" s="39" t="s">
        <v>14</v>
      </c>
      <c r="R161" s="39">
        <v>-2.14</v>
      </c>
      <c r="S161" s="39">
        <v>-2.37</v>
      </c>
      <c r="T161" s="39">
        <v>-3.78</v>
      </c>
      <c r="U161" s="39">
        <v>5.24</v>
      </c>
      <c r="V161" s="39">
        <v>-3.77</v>
      </c>
      <c r="W161" s="39">
        <v>3.33</v>
      </c>
      <c r="X161" s="39">
        <v>-0.4</v>
      </c>
      <c r="Y161" s="39">
        <v>-5.36</v>
      </c>
      <c r="Z161" s="39">
        <v>48.39</v>
      </c>
      <c r="AA161" s="39">
        <v>55.66</v>
      </c>
      <c r="AB161" s="39">
        <v>67.39</v>
      </c>
      <c r="AC161" s="39">
        <v>278.35000000000002</v>
      </c>
      <c r="AD161" s="39" t="s">
        <v>4606</v>
      </c>
      <c r="AE161" s="39">
        <v>0.48</v>
      </c>
      <c r="AF161" s="39">
        <v>40</v>
      </c>
      <c r="AG161" s="42">
        <v>3.4799999999999998E-2</v>
      </c>
      <c r="AH161" s="39">
        <v>1469</v>
      </c>
      <c r="AI161" s="42">
        <v>0.1246</v>
      </c>
      <c r="AJ161" s="39" t="s">
        <v>5724</v>
      </c>
      <c r="AK161" s="42">
        <v>0.72270000000000001</v>
      </c>
      <c r="AL161" s="39" t="s">
        <v>136</v>
      </c>
      <c r="AM161" s="42">
        <v>4.4699999999999997E-2</v>
      </c>
      <c r="AN161" s="42">
        <v>4.7199999999999999E-2</v>
      </c>
      <c r="AO161" s="39">
        <v>65</v>
      </c>
      <c r="AP161" s="39">
        <v>59</v>
      </c>
      <c r="AQ161" s="39">
        <v>63</v>
      </c>
      <c r="AR161" s="39">
        <v>713</v>
      </c>
      <c r="AS161" s="39">
        <v>16</v>
      </c>
      <c r="AT161" s="39" t="s">
        <v>129</v>
      </c>
      <c r="AU161" s="39">
        <v>33</v>
      </c>
      <c r="AV161" s="39" t="s">
        <v>4765</v>
      </c>
      <c r="AW161" s="39">
        <v>620.29999999999995</v>
      </c>
      <c r="AX161" s="39">
        <v>624.79999999999995</v>
      </c>
      <c r="AY161" s="39">
        <v>629.5</v>
      </c>
      <c r="AZ161" s="39">
        <v>611.1</v>
      </c>
      <c r="BA161" s="39">
        <v>606.4</v>
      </c>
      <c r="BB161" s="39">
        <v>601.9</v>
      </c>
      <c r="BC161" s="39">
        <v>9</v>
      </c>
      <c r="BD161" s="39">
        <v>6</v>
      </c>
      <c r="BE161" s="39">
        <v>5</v>
      </c>
      <c r="BF161" s="39">
        <v>2</v>
      </c>
      <c r="BG161" s="39">
        <v>314.3</v>
      </c>
      <c r="BH161" s="39">
        <v>0.5</v>
      </c>
      <c r="BI161" s="39" t="s">
        <v>4565</v>
      </c>
      <c r="BJ161" s="39" t="s">
        <v>4565</v>
      </c>
      <c r="BK161" t="s">
        <v>5813</v>
      </c>
      <c r="BL161" t="s">
        <v>4934</v>
      </c>
    </row>
    <row r="162" spans="1:64" x14ac:dyDescent="0.35">
      <c r="A162" s="39" t="s">
        <v>4542</v>
      </c>
      <c r="B162" s="39" t="s">
        <v>4935</v>
      </c>
      <c r="C162" s="39">
        <v>400.4</v>
      </c>
      <c r="G162" s="39" t="s">
        <v>5349</v>
      </c>
      <c r="I162" s="39" t="s">
        <v>4989</v>
      </c>
      <c r="J162" s="39" t="s">
        <v>5725</v>
      </c>
      <c r="R162" s="39">
        <v>-0.05</v>
      </c>
      <c r="S162" s="39">
        <v>-0.11</v>
      </c>
      <c r="T162" s="39">
        <v>17.8</v>
      </c>
      <c r="U162" s="39">
        <v>49.49</v>
      </c>
      <c r="V162" s="39">
        <v>80.930000000000007</v>
      </c>
      <c r="W162" s="39">
        <v>94.75</v>
      </c>
      <c r="X162" s="39">
        <v>66.8</v>
      </c>
      <c r="Y162" s="39">
        <v>194.52</v>
      </c>
      <c r="Z162" s="39">
        <v>806.91</v>
      </c>
      <c r="AA162" s="39">
        <v>608.04999999999995</v>
      </c>
      <c r="AB162" s="39">
        <v>194.41</v>
      </c>
      <c r="AC162" s="39">
        <v>177.21</v>
      </c>
      <c r="AD162" s="39" t="s">
        <v>5015</v>
      </c>
      <c r="AE162" s="39" t="s">
        <v>134</v>
      </c>
      <c r="AF162" s="39">
        <v>14</v>
      </c>
      <c r="AG162" s="42">
        <v>0.28820000000000001</v>
      </c>
      <c r="AH162" s="39">
        <v>105</v>
      </c>
      <c r="AI162" s="42">
        <v>0.18640000000000001</v>
      </c>
      <c r="AJ162" s="39" t="s">
        <v>5724</v>
      </c>
      <c r="AK162" s="42">
        <v>7.5700000000000003E-2</v>
      </c>
      <c r="AL162" s="39" t="s">
        <v>5726</v>
      </c>
      <c r="AM162" s="42">
        <v>0.2049</v>
      </c>
      <c r="AN162" s="42">
        <v>0.33489999999999998</v>
      </c>
      <c r="AO162" s="39" t="s">
        <v>130</v>
      </c>
      <c r="AP162" s="39" t="s">
        <v>130</v>
      </c>
      <c r="AQ162" s="39">
        <v>67</v>
      </c>
      <c r="AR162" s="45"/>
      <c r="AS162" s="39" t="s">
        <v>4564</v>
      </c>
      <c r="AW162" s="39">
        <v>403.18</v>
      </c>
      <c r="AX162" s="39">
        <v>406.27</v>
      </c>
      <c r="AY162" s="39">
        <v>408.58</v>
      </c>
      <c r="AZ162" s="39">
        <v>397.78</v>
      </c>
      <c r="BA162" s="39">
        <v>395.47</v>
      </c>
      <c r="BB162" s="39">
        <v>392.38</v>
      </c>
      <c r="BC162" s="39">
        <v>1.6</v>
      </c>
      <c r="BD162" s="39">
        <v>21.4</v>
      </c>
      <c r="BE162" s="39">
        <v>194.5</v>
      </c>
      <c r="BF162" s="39">
        <v>437</v>
      </c>
      <c r="BG162" s="39">
        <v>1.19</v>
      </c>
      <c r="BH162" s="39">
        <v>0.99</v>
      </c>
      <c r="BI162" s="39" t="s">
        <v>4766</v>
      </c>
      <c r="BJ162" s="39" t="s">
        <v>4693</v>
      </c>
      <c r="BK162" t="s">
        <v>5814</v>
      </c>
      <c r="BL162" t="s">
        <v>4935</v>
      </c>
    </row>
    <row r="163" spans="1:64" x14ac:dyDescent="0.35">
      <c r="A163" s="39" t="s">
        <v>324</v>
      </c>
      <c r="B163" s="39" t="s">
        <v>4936</v>
      </c>
      <c r="C163" s="48">
        <v>3367.65</v>
      </c>
      <c r="D163" s="39">
        <v>72</v>
      </c>
      <c r="G163" s="39" t="s">
        <v>129</v>
      </c>
      <c r="H163" s="39" t="s">
        <v>5721</v>
      </c>
      <c r="I163" s="39" t="s">
        <v>4989</v>
      </c>
      <c r="J163" s="39" t="s">
        <v>5722</v>
      </c>
      <c r="K163" s="39" t="s">
        <v>4957</v>
      </c>
      <c r="L163" s="39" t="s">
        <v>5723</v>
      </c>
      <c r="M163" s="39" t="s">
        <v>4620</v>
      </c>
      <c r="N163" s="39">
        <v>8</v>
      </c>
      <c r="O163" s="39">
        <v>0</v>
      </c>
      <c r="P163" s="39">
        <v>8</v>
      </c>
      <c r="Q163" s="39" t="s">
        <v>14</v>
      </c>
      <c r="R163" s="39">
        <v>-2.14</v>
      </c>
      <c r="S163" s="39">
        <v>-2.37</v>
      </c>
      <c r="T163" s="39">
        <v>-3.78</v>
      </c>
      <c r="U163" s="39">
        <v>5.24</v>
      </c>
      <c r="V163" s="39">
        <v>-3.77</v>
      </c>
      <c r="W163" s="39">
        <v>3.33</v>
      </c>
      <c r="X163" s="39">
        <v>-0.4</v>
      </c>
      <c r="Y163" s="39">
        <v>-5.36</v>
      </c>
      <c r="Z163" s="39">
        <v>48.39</v>
      </c>
      <c r="AA163" s="39">
        <v>55.66</v>
      </c>
      <c r="AB163" s="39">
        <v>67.39</v>
      </c>
      <c r="AC163" s="39">
        <v>278.35000000000002</v>
      </c>
      <c r="AD163" s="39" t="s">
        <v>4606</v>
      </c>
      <c r="AE163" s="39">
        <v>0.48</v>
      </c>
      <c r="AF163" s="39">
        <v>40</v>
      </c>
      <c r="AG163" s="42">
        <v>3.4799999999999998E-2</v>
      </c>
      <c r="AH163" s="39">
        <v>1469</v>
      </c>
      <c r="AI163" s="42">
        <v>0.1246</v>
      </c>
      <c r="AJ163" s="39" t="s">
        <v>5724</v>
      </c>
      <c r="AK163" s="42">
        <v>0.72270000000000001</v>
      </c>
      <c r="AL163" s="39" t="s">
        <v>136</v>
      </c>
      <c r="AM163" s="42">
        <v>4.4699999999999997E-2</v>
      </c>
      <c r="AN163" s="42">
        <v>4.7199999999999999E-2</v>
      </c>
      <c r="AO163" s="39">
        <v>70</v>
      </c>
      <c r="AP163" s="39">
        <v>55</v>
      </c>
      <c r="AQ163" s="39">
        <v>58</v>
      </c>
      <c r="AR163" s="45">
        <v>225</v>
      </c>
      <c r="AS163" s="39">
        <v>-2</v>
      </c>
      <c r="AT163" s="39" t="s">
        <v>4562</v>
      </c>
      <c r="AU163" s="39">
        <v>21</v>
      </c>
      <c r="AV163" s="39" t="s">
        <v>4767</v>
      </c>
      <c r="AW163" s="39">
        <v>232.53</v>
      </c>
      <c r="AX163" s="39">
        <v>234.97</v>
      </c>
      <c r="AY163" s="39">
        <v>236.43</v>
      </c>
      <c r="AZ163" s="39">
        <v>228.63</v>
      </c>
      <c r="BA163" s="39">
        <v>227.17</v>
      </c>
      <c r="BB163" s="39">
        <v>224.73</v>
      </c>
      <c r="BC163" s="39">
        <v>11</v>
      </c>
      <c r="BD163" s="39">
        <v>2</v>
      </c>
      <c r="BE163" s="39">
        <v>4</v>
      </c>
      <c r="BF163" s="39" t="s">
        <v>130</v>
      </c>
      <c r="BG163" s="39">
        <v>162.69999999999999</v>
      </c>
      <c r="BH163" s="39">
        <v>0.7</v>
      </c>
      <c r="BI163" s="39" t="s">
        <v>4563</v>
      </c>
      <c r="BJ163" s="39" t="s">
        <v>4563</v>
      </c>
      <c r="BK163" t="s">
        <v>5813</v>
      </c>
      <c r="BL163" t="s">
        <v>4936</v>
      </c>
    </row>
    <row r="164" spans="1:64" x14ac:dyDescent="0.35">
      <c r="A164" s="39" t="s">
        <v>1240</v>
      </c>
      <c r="B164" s="39" t="s">
        <v>4937</v>
      </c>
      <c r="C164" s="39">
        <v>483.1</v>
      </c>
      <c r="D164" s="39">
        <v>58</v>
      </c>
      <c r="G164" s="39" t="s">
        <v>4562</v>
      </c>
      <c r="H164" s="39" t="s">
        <v>5727</v>
      </c>
      <c r="I164" s="39" t="s">
        <v>4624</v>
      </c>
      <c r="J164" s="39" t="s">
        <v>5728</v>
      </c>
      <c r="K164" s="39" t="s">
        <v>4615</v>
      </c>
      <c r="L164" s="39" t="s">
        <v>5729</v>
      </c>
      <c r="M164" s="39" t="s">
        <v>4959</v>
      </c>
      <c r="N164" s="39">
        <v>11</v>
      </c>
      <c r="O164" s="39">
        <v>-13</v>
      </c>
      <c r="P164" s="39">
        <v>-2</v>
      </c>
      <c r="Q164" s="39" t="s">
        <v>4611</v>
      </c>
      <c r="R164" s="39">
        <v>-2.13</v>
      </c>
      <c r="S164" s="39">
        <v>2.21</v>
      </c>
      <c r="T164" s="39">
        <v>9.0399999999999991</v>
      </c>
      <c r="U164" s="39">
        <v>24.56</v>
      </c>
      <c r="V164" s="39">
        <v>33.270000000000003</v>
      </c>
      <c r="W164" s="39">
        <v>46.88</v>
      </c>
      <c r="X164" s="39">
        <v>67.25</v>
      </c>
      <c r="Y164" s="39">
        <v>72.69</v>
      </c>
      <c r="Z164" s="39">
        <v>141.85</v>
      </c>
      <c r="AA164" s="39">
        <v>93.2</v>
      </c>
      <c r="AB164" s="39">
        <v>80.459999999999994</v>
      </c>
      <c r="AC164" s="39">
        <v>874.48</v>
      </c>
      <c r="AD164" s="39" t="s">
        <v>4606</v>
      </c>
      <c r="AE164" s="39" t="s">
        <v>134</v>
      </c>
      <c r="AF164" s="39">
        <v>8</v>
      </c>
      <c r="AG164" s="42">
        <v>0.24199999999999999</v>
      </c>
      <c r="AH164" s="39">
        <v>67</v>
      </c>
      <c r="AI164" s="42">
        <v>2.1899999999999999E-2</v>
      </c>
      <c r="AJ164" s="39" t="s">
        <v>5730</v>
      </c>
      <c r="AK164" s="42">
        <v>0.2286</v>
      </c>
      <c r="AL164" s="39" t="s">
        <v>5731</v>
      </c>
      <c r="AM164" s="42">
        <v>8.0100000000000005E-2</v>
      </c>
      <c r="AN164" s="42">
        <v>7.3200000000000001E-2</v>
      </c>
      <c r="AO164" s="39">
        <v>55</v>
      </c>
      <c r="AP164" s="39">
        <v>32</v>
      </c>
      <c r="AQ164" s="39">
        <v>62</v>
      </c>
      <c r="AR164" s="39">
        <v>433</v>
      </c>
      <c r="AS164" s="39">
        <v>-10</v>
      </c>
      <c r="AT164" s="39" t="s">
        <v>4562</v>
      </c>
      <c r="AU164" s="39">
        <v>4</v>
      </c>
      <c r="AV164" s="39" t="s">
        <v>4768</v>
      </c>
      <c r="AW164" s="39">
        <v>492.2</v>
      </c>
      <c r="AX164" s="39">
        <v>501.25</v>
      </c>
      <c r="AY164" s="39">
        <v>509.5</v>
      </c>
      <c r="AZ164" s="39">
        <v>474.9</v>
      </c>
      <c r="BA164" s="39">
        <v>466.65</v>
      </c>
      <c r="BB164" s="39">
        <v>457.6</v>
      </c>
      <c r="BC164" s="39">
        <v>6</v>
      </c>
      <c r="BD164" s="39">
        <v>7</v>
      </c>
      <c r="BE164" s="39">
        <v>4</v>
      </c>
      <c r="BF164" s="39" t="s">
        <v>130</v>
      </c>
      <c r="BG164" s="39">
        <v>254.8</v>
      </c>
      <c r="BH164" s="39">
        <v>0.5</v>
      </c>
      <c r="BI164" s="39" t="s">
        <v>4563</v>
      </c>
      <c r="BJ164" s="39" t="s">
        <v>4563</v>
      </c>
      <c r="BK164" t="s">
        <v>5815</v>
      </c>
      <c r="BL164" t="s">
        <v>4937</v>
      </c>
    </row>
    <row r="165" spans="1:64" x14ac:dyDescent="0.35">
      <c r="A165" s="39" t="s">
        <v>503</v>
      </c>
      <c r="B165" s="39" t="s">
        <v>4938</v>
      </c>
      <c r="C165" s="48">
        <v>2599.75</v>
      </c>
      <c r="D165" s="39">
        <v>64</v>
      </c>
      <c r="G165" s="39" t="s">
        <v>4562</v>
      </c>
      <c r="H165" s="39" t="s">
        <v>5732</v>
      </c>
      <c r="I165" s="39" t="s">
        <v>4989</v>
      </c>
      <c r="J165" s="39" t="s">
        <v>5733</v>
      </c>
      <c r="K165" s="39" t="s">
        <v>133</v>
      </c>
      <c r="L165" s="39" t="s">
        <v>5734</v>
      </c>
      <c r="M165" s="39" t="s">
        <v>4959</v>
      </c>
      <c r="N165" s="39">
        <v>14</v>
      </c>
      <c r="O165" s="39">
        <v>-4</v>
      </c>
      <c r="P165" s="39">
        <v>10</v>
      </c>
      <c r="Q165" s="39" t="s">
        <v>14</v>
      </c>
      <c r="R165" s="39">
        <v>0.91</v>
      </c>
      <c r="S165" s="39">
        <v>2.02</v>
      </c>
      <c r="T165" s="39">
        <v>9.1300000000000008</v>
      </c>
      <c r="U165" s="39">
        <v>14.02</v>
      </c>
      <c r="V165" s="39">
        <v>26.85</v>
      </c>
      <c r="W165" s="39">
        <v>32.6</v>
      </c>
      <c r="X165" s="39">
        <v>17.12</v>
      </c>
      <c r="Y165" s="39">
        <v>89.88</v>
      </c>
      <c r="Z165" s="39">
        <v>228.77</v>
      </c>
      <c r="AA165" s="39">
        <v>145.6</v>
      </c>
      <c r="AB165" s="39">
        <v>158.30000000000001</v>
      </c>
      <c r="AC165" s="39">
        <v>340.6</v>
      </c>
      <c r="AD165" s="39" t="s">
        <v>4606</v>
      </c>
      <c r="AE165" s="39" t="s">
        <v>134</v>
      </c>
      <c r="AF165" s="39">
        <v>21</v>
      </c>
      <c r="AG165" s="42">
        <v>0.13519999999999999</v>
      </c>
      <c r="AH165" s="39">
        <v>127</v>
      </c>
      <c r="AI165" s="42">
        <v>0.1235</v>
      </c>
      <c r="AJ165" s="39" t="s">
        <v>5735</v>
      </c>
      <c r="AK165" s="42">
        <v>0.53990000000000005</v>
      </c>
      <c r="AL165" s="39" t="s">
        <v>5736</v>
      </c>
      <c r="AM165" s="42">
        <v>6.9800000000000001E-2</v>
      </c>
      <c r="AN165" s="42">
        <v>3.9100000000000003E-2</v>
      </c>
      <c r="AO165" s="39">
        <v>85</v>
      </c>
      <c r="AP165" s="39">
        <v>17</v>
      </c>
      <c r="AQ165" s="39">
        <v>58</v>
      </c>
      <c r="AR165" s="45">
        <v>2405</v>
      </c>
      <c r="AS165" s="39">
        <v>-7</v>
      </c>
      <c r="AT165" s="39" t="s">
        <v>4562</v>
      </c>
      <c r="AU165" s="39">
        <v>23</v>
      </c>
      <c r="AV165" s="39" t="s">
        <v>4769</v>
      </c>
      <c r="AW165" s="39">
        <v>2623.23</v>
      </c>
      <c r="AX165" s="39">
        <v>2646.97</v>
      </c>
      <c r="AY165" s="39">
        <v>2678.93</v>
      </c>
      <c r="AZ165" s="39">
        <v>2567.5300000000002</v>
      </c>
      <c r="BA165" s="39">
        <v>2535.5700000000002</v>
      </c>
      <c r="BB165" s="39">
        <v>2511.83</v>
      </c>
      <c r="BC165" s="39">
        <v>12</v>
      </c>
      <c r="BD165" s="39">
        <v>4</v>
      </c>
      <c r="BE165" s="39">
        <v>7</v>
      </c>
      <c r="BF165" s="39" t="s">
        <v>130</v>
      </c>
      <c r="BG165" s="39">
        <v>540.6</v>
      </c>
      <c r="BH165" s="39">
        <v>0.2</v>
      </c>
      <c r="BI165" s="39" t="s">
        <v>131</v>
      </c>
      <c r="BJ165" s="39" t="s">
        <v>4563</v>
      </c>
      <c r="BK165" t="s">
        <v>5816</v>
      </c>
      <c r="BL165" t="s">
        <v>4938</v>
      </c>
    </row>
    <row r="166" spans="1:64" x14ac:dyDescent="0.35">
      <c r="A166" s="39" t="s">
        <v>569</v>
      </c>
      <c r="B166" s="39" t="s">
        <v>4939</v>
      </c>
      <c r="C166" s="48">
        <v>3205.65</v>
      </c>
      <c r="D166" s="39">
        <v>42</v>
      </c>
      <c r="G166" s="39" t="s">
        <v>4625</v>
      </c>
      <c r="H166" s="39" t="s">
        <v>5737</v>
      </c>
      <c r="I166" s="39" t="s">
        <v>4976</v>
      </c>
      <c r="J166" s="39" t="s">
        <v>5738</v>
      </c>
      <c r="K166" s="39" t="s">
        <v>133</v>
      </c>
      <c r="L166" s="39" t="s">
        <v>5739</v>
      </c>
      <c r="M166" s="39" t="s">
        <v>4959</v>
      </c>
      <c r="N166" s="39">
        <v>2</v>
      </c>
      <c r="O166" s="39">
        <v>-2</v>
      </c>
      <c r="P166" s="39">
        <v>0</v>
      </c>
      <c r="Q166" s="39" t="s">
        <v>4611</v>
      </c>
      <c r="R166" s="39">
        <v>-0.23</v>
      </c>
      <c r="S166" s="39">
        <v>-5.58</v>
      </c>
      <c r="T166" s="39">
        <v>-3.97</v>
      </c>
      <c r="U166" s="39">
        <v>-0.83</v>
      </c>
      <c r="V166" s="39">
        <v>1.84</v>
      </c>
      <c r="W166" s="39">
        <v>3.33</v>
      </c>
      <c r="X166" s="39">
        <v>7.05</v>
      </c>
      <c r="Y166" s="39">
        <v>106.91</v>
      </c>
      <c r="Z166" s="39">
        <v>221.29</v>
      </c>
      <c r="AA166" s="39">
        <v>357.92</v>
      </c>
      <c r="AB166" s="39">
        <v>352.46</v>
      </c>
      <c r="AC166" s="39">
        <v>1976.87</v>
      </c>
      <c r="AD166" s="39" t="s">
        <v>4606</v>
      </c>
      <c r="AE166" s="39" t="s">
        <v>134</v>
      </c>
      <c r="AF166" s="39">
        <v>31</v>
      </c>
      <c r="AG166" s="42">
        <v>0.1648</v>
      </c>
      <c r="AH166" s="39">
        <v>133</v>
      </c>
      <c r="AI166" s="42">
        <v>6.5600000000000006E-2</v>
      </c>
      <c r="AJ166" s="39" t="s">
        <v>5740</v>
      </c>
      <c r="AK166" s="42">
        <v>0.57699999999999996</v>
      </c>
      <c r="AL166" s="39" t="s">
        <v>5741</v>
      </c>
      <c r="AM166" s="42">
        <v>4.7100000000000003E-2</v>
      </c>
      <c r="AN166" s="42">
        <v>9.8100000000000007E-2</v>
      </c>
      <c r="AO166" s="39">
        <v>60</v>
      </c>
      <c r="AP166" s="39">
        <v>11</v>
      </c>
      <c r="AQ166" s="39">
        <v>46</v>
      </c>
      <c r="AR166" s="45">
        <v>3530</v>
      </c>
      <c r="AS166" s="39">
        <v>10</v>
      </c>
      <c r="AT166" s="39" t="s">
        <v>129</v>
      </c>
      <c r="AU166" s="39">
        <v>6</v>
      </c>
      <c r="AV166" s="39" t="s">
        <v>4770</v>
      </c>
      <c r="AW166" s="39">
        <v>3231.63</v>
      </c>
      <c r="AX166" s="39">
        <v>3258.32</v>
      </c>
      <c r="AY166" s="39">
        <v>3296.63</v>
      </c>
      <c r="AZ166" s="39">
        <v>3166.63</v>
      </c>
      <c r="BA166" s="39">
        <v>3128.32</v>
      </c>
      <c r="BB166" s="39">
        <v>3101.63</v>
      </c>
      <c r="BC166" s="39">
        <v>8</v>
      </c>
      <c r="BD166" s="39">
        <v>5</v>
      </c>
      <c r="BE166" s="39" t="s">
        <v>130</v>
      </c>
      <c r="BF166" s="39" t="s">
        <v>130</v>
      </c>
      <c r="BG166" s="48">
        <v>542.20000000000005</v>
      </c>
      <c r="BH166" s="39">
        <v>0.2</v>
      </c>
      <c r="BI166" s="39" t="s">
        <v>131</v>
      </c>
      <c r="BJ166" s="39" t="s">
        <v>132</v>
      </c>
      <c r="BK166" t="s">
        <v>5817</v>
      </c>
      <c r="BL166" t="s">
        <v>4939</v>
      </c>
    </row>
    <row r="167" spans="1:64" x14ac:dyDescent="0.35">
      <c r="A167" s="39" t="s">
        <v>523</v>
      </c>
      <c r="C167" s="39">
        <v>629.45000000000005</v>
      </c>
      <c r="D167" s="39">
        <v>74</v>
      </c>
      <c r="G167" s="39" t="s">
        <v>129</v>
      </c>
      <c r="H167" s="39" t="s">
        <v>5742</v>
      </c>
      <c r="I167" s="39" t="s">
        <v>4989</v>
      </c>
      <c r="J167" s="39" t="s">
        <v>5743</v>
      </c>
      <c r="K167" s="39" t="s">
        <v>133</v>
      </c>
      <c r="L167" s="39" t="s">
        <v>5744</v>
      </c>
      <c r="M167" s="39" t="s">
        <v>5047</v>
      </c>
      <c r="N167" s="39">
        <v>14</v>
      </c>
      <c r="O167" s="39">
        <v>-5</v>
      </c>
      <c r="P167" s="39">
        <v>9</v>
      </c>
      <c r="Q167" s="39" t="s">
        <v>14</v>
      </c>
      <c r="R167" s="39">
        <v>-0.01</v>
      </c>
      <c r="S167" s="39">
        <v>-1.66</v>
      </c>
      <c r="T167" s="39">
        <v>1.86</v>
      </c>
      <c r="U167" s="39">
        <v>17.73</v>
      </c>
      <c r="V167" s="39">
        <v>24.18</v>
      </c>
      <c r="W167" s="39">
        <v>27.89</v>
      </c>
      <c r="X167" s="39">
        <v>7.09</v>
      </c>
      <c r="Y167" s="39">
        <v>36.659999999999997</v>
      </c>
      <c r="Z167" s="39">
        <v>82.66</v>
      </c>
      <c r="AA167" s="39">
        <v>117.95</v>
      </c>
      <c r="AB167" s="39">
        <v>175.95</v>
      </c>
      <c r="AC167" s="39">
        <v>696.77</v>
      </c>
      <c r="AD167" s="39" t="s">
        <v>4606</v>
      </c>
      <c r="AE167" s="39" t="s">
        <v>134</v>
      </c>
      <c r="AF167" s="39">
        <v>19</v>
      </c>
      <c r="AG167" s="42">
        <v>0.159</v>
      </c>
      <c r="AH167" s="39">
        <v>144</v>
      </c>
      <c r="AI167" s="42">
        <v>6.0400000000000002E-2</v>
      </c>
      <c r="AJ167" s="39" t="s">
        <v>5745</v>
      </c>
      <c r="AK167" s="42">
        <v>0.53559999999999997</v>
      </c>
      <c r="AL167" s="39" t="s">
        <v>5746</v>
      </c>
      <c r="AM167" s="42">
        <v>9.7500000000000003E-2</v>
      </c>
      <c r="AN167" s="42">
        <v>6.1600000000000002E-2</v>
      </c>
      <c r="AO167" s="39">
        <v>75</v>
      </c>
      <c r="AP167" s="39">
        <v>62</v>
      </c>
      <c r="AQ167" s="39">
        <v>59</v>
      </c>
      <c r="AR167" s="39">
        <v>581</v>
      </c>
      <c r="AS167" s="39">
        <v>-8</v>
      </c>
      <c r="AT167" s="39" t="s">
        <v>4625</v>
      </c>
      <c r="AU167" s="39">
        <v>8</v>
      </c>
      <c r="AV167" s="39" t="s">
        <v>4771</v>
      </c>
      <c r="AW167" s="39">
        <v>635.42999999999995</v>
      </c>
      <c r="AX167" s="39">
        <v>640.91999999999996</v>
      </c>
      <c r="AY167" s="39">
        <v>647.88</v>
      </c>
      <c r="AZ167" s="39">
        <v>622.98</v>
      </c>
      <c r="BA167" s="39">
        <v>616.02</v>
      </c>
      <c r="BB167" s="39">
        <v>610.53</v>
      </c>
      <c r="BC167" s="39">
        <v>5</v>
      </c>
      <c r="BD167" s="39">
        <v>1</v>
      </c>
      <c r="BE167" s="39">
        <v>6</v>
      </c>
      <c r="BF167" s="39" t="s">
        <v>130</v>
      </c>
      <c r="BG167" s="39">
        <v>488.5</v>
      </c>
      <c r="BH167" s="39">
        <v>0.8</v>
      </c>
      <c r="BI167" s="39" t="s">
        <v>4639</v>
      </c>
      <c r="BJ167" s="39" t="s">
        <v>4563</v>
      </c>
      <c r="BK167" t="s">
        <v>5818</v>
      </c>
      <c r="BL167" t="s">
        <v>4940</v>
      </c>
    </row>
    <row r="168" spans="1:64" x14ac:dyDescent="0.35">
      <c r="A168" s="39" t="s">
        <v>408</v>
      </c>
      <c r="B168" s="39" t="s">
        <v>4941</v>
      </c>
      <c r="C168" s="48">
        <v>1517.8</v>
      </c>
      <c r="D168" s="39">
        <v>37</v>
      </c>
      <c r="G168" s="39" t="s">
        <v>4625</v>
      </c>
      <c r="H168" s="39" t="s">
        <v>5747</v>
      </c>
      <c r="I168" s="39" t="s">
        <v>4976</v>
      </c>
      <c r="J168" s="39" t="s">
        <v>5748</v>
      </c>
      <c r="K168" s="39" t="s">
        <v>4615</v>
      </c>
      <c r="L168" s="39" t="s">
        <v>5749</v>
      </c>
      <c r="M168" s="39" t="s">
        <v>4620</v>
      </c>
      <c r="N168" s="39">
        <v>5</v>
      </c>
      <c r="O168" s="39">
        <v>-8</v>
      </c>
      <c r="P168" s="39">
        <v>-3</v>
      </c>
      <c r="Q168" s="39" t="s">
        <v>4611</v>
      </c>
      <c r="R168" s="39">
        <v>-1.8</v>
      </c>
      <c r="S168" s="39">
        <v>-1.1000000000000001</v>
      </c>
      <c r="T168" s="39">
        <v>1.02</v>
      </c>
      <c r="U168" s="39">
        <v>6.64</v>
      </c>
      <c r="V168" s="39">
        <v>2.89</v>
      </c>
      <c r="W168" s="39">
        <v>-10.62</v>
      </c>
      <c r="X168" s="39">
        <v>-10.86</v>
      </c>
      <c r="Y168" s="39">
        <v>1.53</v>
      </c>
      <c r="Z168" s="39">
        <v>51.14</v>
      </c>
      <c r="AA168" s="39">
        <v>13.37</v>
      </c>
      <c r="AB168" s="39">
        <v>9.52</v>
      </c>
      <c r="AC168" s="39">
        <v>110.51</v>
      </c>
      <c r="AD168" s="39" t="s">
        <v>4606</v>
      </c>
      <c r="AE168" s="39">
        <v>14.45</v>
      </c>
      <c r="AF168" s="39">
        <v>126</v>
      </c>
      <c r="AG168" s="42">
        <v>0.1338</v>
      </c>
      <c r="AH168" s="39">
        <v>136</v>
      </c>
      <c r="AI168" s="42">
        <v>6.3100000000000003E-2</v>
      </c>
      <c r="AJ168" s="39" t="s">
        <v>5750</v>
      </c>
      <c r="AK168" s="42">
        <v>0.34039999999999998</v>
      </c>
      <c r="AL168" s="39" t="s">
        <v>5751</v>
      </c>
      <c r="AM168" s="42">
        <v>1.21E-2</v>
      </c>
      <c r="AN168" s="42">
        <v>2.8199999999999999E-2</v>
      </c>
      <c r="AO168" s="39">
        <v>50</v>
      </c>
      <c r="AP168" s="39">
        <v>12</v>
      </c>
      <c r="AQ168" s="39">
        <v>48</v>
      </c>
      <c r="AR168" s="45">
        <v>1513</v>
      </c>
      <c r="AS168" s="39">
        <v>0</v>
      </c>
      <c r="AT168" s="39" t="s">
        <v>4562</v>
      </c>
      <c r="AU168" s="39">
        <v>13</v>
      </c>
      <c r="AV168" s="39" t="s">
        <v>4772</v>
      </c>
      <c r="AW168" s="39">
        <v>1560.42</v>
      </c>
      <c r="AX168" s="39">
        <v>1601.53</v>
      </c>
      <c r="AY168" s="39">
        <v>1626.32</v>
      </c>
      <c r="AZ168" s="39">
        <v>1494.52</v>
      </c>
      <c r="BA168" s="39">
        <v>1469.73</v>
      </c>
      <c r="BB168" s="39">
        <v>1428.62</v>
      </c>
      <c r="BC168" s="39">
        <v>6</v>
      </c>
      <c r="BD168" s="39">
        <v>5</v>
      </c>
      <c r="BE168" s="39">
        <v>3</v>
      </c>
      <c r="BF168" s="39" t="s">
        <v>130</v>
      </c>
      <c r="BG168" s="39">
        <v>188.5</v>
      </c>
      <c r="BH168" s="39">
        <v>0.1</v>
      </c>
      <c r="BI168" s="39" t="s">
        <v>4563</v>
      </c>
      <c r="BK168" t="s">
        <v>5819</v>
      </c>
      <c r="BL168" t="s">
        <v>4941</v>
      </c>
    </row>
    <row r="169" spans="1:64" x14ac:dyDescent="0.35">
      <c r="A169" s="39" t="s">
        <v>218</v>
      </c>
      <c r="B169" s="39" t="s">
        <v>4942</v>
      </c>
      <c r="C169" s="48">
        <v>8219.0499999999993</v>
      </c>
      <c r="D169" s="39">
        <v>60</v>
      </c>
      <c r="G169" s="39" t="s">
        <v>4562</v>
      </c>
      <c r="H169" s="39" t="s">
        <v>5752</v>
      </c>
      <c r="I169" s="39" t="s">
        <v>4989</v>
      </c>
      <c r="J169" s="39" t="s">
        <v>5753</v>
      </c>
      <c r="K169" s="39" t="s">
        <v>133</v>
      </c>
      <c r="L169" s="39" t="s">
        <v>5754</v>
      </c>
      <c r="M169" s="39" t="s">
        <v>4620</v>
      </c>
      <c r="N169" s="39">
        <v>4</v>
      </c>
      <c r="O169" s="39">
        <v>-7</v>
      </c>
      <c r="P169" s="39">
        <v>-3</v>
      </c>
      <c r="Q169" s="39" t="s">
        <v>4611</v>
      </c>
      <c r="R169" s="39">
        <v>0.15</v>
      </c>
      <c r="S169" s="39">
        <v>1.1399999999999999</v>
      </c>
      <c r="T169" s="39">
        <v>0.53</v>
      </c>
      <c r="U169" s="39">
        <v>8.0299999999999994</v>
      </c>
      <c r="V169" s="39">
        <v>12.6</v>
      </c>
      <c r="W169" s="39">
        <v>18.11</v>
      </c>
      <c r="X169" s="39">
        <v>22.62</v>
      </c>
      <c r="Y169" s="39">
        <v>8.25</v>
      </c>
      <c r="Z169" s="39">
        <v>97.1</v>
      </c>
      <c r="AA169" s="39">
        <v>95.13</v>
      </c>
      <c r="AB169" s="39">
        <v>91.96</v>
      </c>
      <c r="AC169" s="39">
        <v>388.49</v>
      </c>
      <c r="AD169" s="39" t="s">
        <v>4606</v>
      </c>
      <c r="AE169" s="39" t="s">
        <v>134</v>
      </c>
      <c r="AF169" s="39">
        <v>109</v>
      </c>
      <c r="AG169" s="42">
        <v>0.13389999999999999</v>
      </c>
      <c r="AH169" s="39">
        <v>840</v>
      </c>
      <c r="AI169" s="42">
        <v>0.158</v>
      </c>
      <c r="AJ169" s="39" t="s">
        <v>5755</v>
      </c>
      <c r="AK169" s="42">
        <v>0.57269999999999999</v>
      </c>
      <c r="AL169" s="39" t="s">
        <v>136</v>
      </c>
      <c r="AM169" s="43">
        <v>0.02</v>
      </c>
      <c r="AN169" s="42">
        <v>5.4199999999999998E-2</v>
      </c>
      <c r="AO169" s="39">
        <v>65</v>
      </c>
      <c r="AP169" s="39">
        <v>25</v>
      </c>
      <c r="AQ169" s="39">
        <v>49</v>
      </c>
      <c r="AR169" s="45">
        <v>8828</v>
      </c>
      <c r="AS169" s="39">
        <v>7</v>
      </c>
      <c r="AT169" s="39" t="s">
        <v>129</v>
      </c>
      <c r="AU169" s="39">
        <v>41</v>
      </c>
      <c r="AV169" s="39" t="s">
        <v>4773</v>
      </c>
      <c r="AW169" s="39">
        <v>8252.23</v>
      </c>
      <c r="AX169" s="39">
        <v>8289.6200000000008</v>
      </c>
      <c r="AY169" s="39">
        <v>8332.83</v>
      </c>
      <c r="AZ169" s="39">
        <v>8171.63</v>
      </c>
      <c r="BA169" s="39">
        <v>8128.42</v>
      </c>
      <c r="BB169" s="39">
        <v>8091.03</v>
      </c>
      <c r="BC169" s="39">
        <v>8</v>
      </c>
      <c r="BD169" s="39">
        <v>3</v>
      </c>
      <c r="BE169" s="39">
        <v>4</v>
      </c>
      <c r="BF169" s="39" t="s">
        <v>130</v>
      </c>
      <c r="BG169" s="48">
        <v>2754.5</v>
      </c>
      <c r="BH169" s="39">
        <v>0.3</v>
      </c>
      <c r="BI169" s="39" t="s">
        <v>4639</v>
      </c>
      <c r="BJ169" s="39" t="s">
        <v>4563</v>
      </c>
      <c r="BK169" t="s">
        <v>5820</v>
      </c>
      <c r="BL169" t="s">
        <v>4942</v>
      </c>
    </row>
    <row r="170" spans="1:64" x14ac:dyDescent="0.35">
      <c r="A170" s="39" t="s">
        <v>499</v>
      </c>
      <c r="B170" s="39" t="s">
        <v>4943</v>
      </c>
      <c r="C170" s="39">
        <v>624.85</v>
      </c>
      <c r="D170" s="39">
        <v>72</v>
      </c>
      <c r="G170" s="39" t="s">
        <v>129</v>
      </c>
      <c r="H170" s="39" t="s">
        <v>5756</v>
      </c>
      <c r="I170" s="39" t="s">
        <v>4624</v>
      </c>
      <c r="J170" s="39" t="s">
        <v>5757</v>
      </c>
      <c r="K170" s="39" t="s">
        <v>133</v>
      </c>
      <c r="L170" s="39" t="s">
        <v>4998</v>
      </c>
      <c r="M170" s="39" t="s">
        <v>4620</v>
      </c>
      <c r="N170" s="39">
        <v>9</v>
      </c>
      <c r="O170" s="39">
        <v>-3</v>
      </c>
      <c r="P170" s="39">
        <v>6</v>
      </c>
      <c r="Q170" s="39" t="s">
        <v>14</v>
      </c>
      <c r="R170" s="39">
        <v>-1.82</v>
      </c>
      <c r="S170" s="39">
        <v>5.92</v>
      </c>
      <c r="T170" s="39">
        <v>8.75</v>
      </c>
      <c r="U170" s="39">
        <v>11.22</v>
      </c>
      <c r="V170" s="39">
        <v>21.7</v>
      </c>
      <c r="W170" s="39">
        <v>19.86</v>
      </c>
      <c r="X170" s="39">
        <v>12.55</v>
      </c>
      <c r="Y170" s="39">
        <v>68.87</v>
      </c>
      <c r="Z170" s="39">
        <v>336.04</v>
      </c>
      <c r="AA170" s="39">
        <v>305.08999999999997</v>
      </c>
      <c r="AB170" s="39">
        <v>198.97</v>
      </c>
      <c r="AC170" s="39">
        <v>13299.21</v>
      </c>
      <c r="AD170" s="39" t="s">
        <v>4606</v>
      </c>
      <c r="AE170" s="39" t="s">
        <v>134</v>
      </c>
      <c r="AF170" s="39">
        <v>26</v>
      </c>
      <c r="AG170" s="42">
        <v>0.15859999999999999</v>
      </c>
      <c r="AH170" s="39">
        <v>184</v>
      </c>
      <c r="AI170" s="42">
        <v>6.5100000000000005E-2</v>
      </c>
      <c r="AJ170" s="39" t="s">
        <v>5758</v>
      </c>
      <c r="AK170" s="42">
        <v>0.23649999999999999</v>
      </c>
      <c r="AL170" s="39" t="s">
        <v>5759</v>
      </c>
      <c r="AM170" s="42">
        <v>2.7400000000000001E-2</v>
      </c>
      <c r="AN170" s="42">
        <v>5.0999999999999997E-2</v>
      </c>
      <c r="AO170" s="39">
        <v>65</v>
      </c>
      <c r="AP170" s="39">
        <v>20</v>
      </c>
      <c r="AQ170" s="39">
        <v>66</v>
      </c>
      <c r="AR170" s="39">
        <v>624</v>
      </c>
      <c r="AS170" s="39">
        <v>0</v>
      </c>
      <c r="AT170" s="39" t="s">
        <v>129</v>
      </c>
      <c r="AU170" s="39">
        <v>16</v>
      </c>
      <c r="AV170" s="39" t="s">
        <v>4774</v>
      </c>
      <c r="AW170" s="39">
        <v>644.33000000000004</v>
      </c>
      <c r="AX170" s="39">
        <v>662.92</v>
      </c>
      <c r="AY170" s="39">
        <v>676.58</v>
      </c>
      <c r="AZ170" s="39">
        <v>612.08000000000004</v>
      </c>
      <c r="BA170" s="39">
        <v>598.41999999999996</v>
      </c>
      <c r="BB170" s="39">
        <v>579.83000000000004</v>
      </c>
      <c r="BC170" s="39">
        <v>13</v>
      </c>
      <c r="BD170" s="39">
        <v>2</v>
      </c>
      <c r="BE170" s="39">
        <v>4</v>
      </c>
      <c r="BF170" s="39" t="s">
        <v>130</v>
      </c>
      <c r="BG170" s="39">
        <v>144.5</v>
      </c>
      <c r="BH170" s="39">
        <v>0.2</v>
      </c>
      <c r="BI170" s="39" t="s">
        <v>4563</v>
      </c>
      <c r="BJ170" s="39" t="s">
        <v>132</v>
      </c>
      <c r="BK170" t="s">
        <v>5821</v>
      </c>
      <c r="BL170" t="s">
        <v>4943</v>
      </c>
    </row>
    <row r="171" spans="1:64" x14ac:dyDescent="0.35">
      <c r="A171" s="39" t="s">
        <v>944</v>
      </c>
      <c r="B171" s="39" t="s">
        <v>4944</v>
      </c>
      <c r="C171" s="39">
        <v>341</v>
      </c>
      <c r="D171" s="39">
        <v>58</v>
      </c>
      <c r="G171" s="39" t="s">
        <v>4562</v>
      </c>
      <c r="H171" s="39" t="s">
        <v>5760</v>
      </c>
      <c r="I171" s="39" t="s">
        <v>4624</v>
      </c>
      <c r="J171" s="39" t="s">
        <v>5761</v>
      </c>
      <c r="K171" s="39" t="s">
        <v>4615</v>
      </c>
      <c r="L171" s="39" t="s">
        <v>5762</v>
      </c>
      <c r="M171" s="39" t="s">
        <v>4959</v>
      </c>
      <c r="N171" s="39">
        <v>3</v>
      </c>
      <c r="O171" s="39">
        <v>0</v>
      </c>
      <c r="P171" s="39">
        <v>3</v>
      </c>
      <c r="Q171" s="39" t="s">
        <v>4611</v>
      </c>
      <c r="R171" s="39">
        <v>4.1900000000000004</v>
      </c>
      <c r="S171" s="39">
        <v>3.6</v>
      </c>
      <c r="T171" s="39">
        <v>6.11</v>
      </c>
      <c r="U171" s="39">
        <v>43.46</v>
      </c>
      <c r="V171" s="39">
        <v>87.31</v>
      </c>
      <c r="W171" s="39">
        <v>98.2</v>
      </c>
      <c r="X171" s="39">
        <v>141.66999999999999</v>
      </c>
      <c r="Y171" s="39">
        <v>370.34</v>
      </c>
      <c r="Z171" s="39">
        <v>1247.83</v>
      </c>
      <c r="AA171" s="39">
        <v>1291.8399999999999</v>
      </c>
      <c r="AB171" s="39">
        <v>1109.22</v>
      </c>
      <c r="AC171" s="39">
        <v>1446.49</v>
      </c>
      <c r="AD171" s="39" t="s">
        <v>4606</v>
      </c>
      <c r="AE171" s="39" t="s">
        <v>134</v>
      </c>
      <c r="AF171" s="39">
        <v>7</v>
      </c>
      <c r="AG171" s="42">
        <v>3.39E-2</v>
      </c>
      <c r="AH171" s="39">
        <v>86</v>
      </c>
      <c r="AI171" s="42">
        <v>9.2899999999999996E-2</v>
      </c>
      <c r="AJ171" s="39" t="s">
        <v>5763</v>
      </c>
      <c r="AK171" s="42">
        <v>0.1333</v>
      </c>
      <c r="AL171" s="39" t="s">
        <v>5764</v>
      </c>
      <c r="AM171" s="42">
        <v>3.1E-2</v>
      </c>
      <c r="AN171" s="42">
        <v>0.22559999999999999</v>
      </c>
      <c r="AO171" s="39">
        <v>70</v>
      </c>
      <c r="AP171" s="39">
        <v>29</v>
      </c>
      <c r="AQ171" s="39">
        <v>66</v>
      </c>
      <c r="AR171" s="39">
        <v>387</v>
      </c>
      <c r="AS171" s="39">
        <v>14</v>
      </c>
      <c r="AT171" s="39" t="s">
        <v>4633</v>
      </c>
      <c r="AU171" s="39">
        <v>2</v>
      </c>
      <c r="AV171" s="39" t="s">
        <v>4775</v>
      </c>
      <c r="AW171" s="39">
        <v>349.17</v>
      </c>
      <c r="AX171" s="39">
        <v>357.88</v>
      </c>
      <c r="AY171" s="39">
        <v>369.22</v>
      </c>
      <c r="AZ171" s="39">
        <v>329.12</v>
      </c>
      <c r="BA171" s="39">
        <v>317.77999999999997</v>
      </c>
      <c r="BB171" s="39">
        <v>309.07</v>
      </c>
      <c r="BC171" s="39">
        <v>3</v>
      </c>
      <c r="BD171" s="39">
        <v>8</v>
      </c>
      <c r="BE171" s="39" t="s">
        <v>130</v>
      </c>
      <c r="BF171" s="39">
        <v>0.92</v>
      </c>
      <c r="BG171" s="39">
        <v>14</v>
      </c>
      <c r="BH171" s="39">
        <v>134.5</v>
      </c>
      <c r="BI171" s="39" t="s">
        <v>131</v>
      </c>
      <c r="BJ171" s="39" t="s">
        <v>4563</v>
      </c>
      <c r="BK171" t="s">
        <v>5822</v>
      </c>
      <c r="BL171" t="s">
        <v>4944</v>
      </c>
    </row>
    <row r="172" spans="1:64" x14ac:dyDescent="0.35">
      <c r="A172" s="39" t="s">
        <v>758</v>
      </c>
      <c r="B172" s="39" t="s">
        <v>4945</v>
      </c>
      <c r="C172" s="39">
        <v>306.55</v>
      </c>
      <c r="D172" s="39">
        <v>65</v>
      </c>
      <c r="G172" s="39" t="s">
        <v>4562</v>
      </c>
      <c r="H172" s="39" t="s">
        <v>5765</v>
      </c>
      <c r="I172" s="39" t="s">
        <v>4624</v>
      </c>
      <c r="J172" s="39" t="s">
        <v>5766</v>
      </c>
      <c r="K172" s="39" t="s">
        <v>133</v>
      </c>
      <c r="L172" s="39" t="s">
        <v>5767</v>
      </c>
      <c r="M172" s="39" t="s">
        <v>4959</v>
      </c>
      <c r="N172" s="39">
        <v>11</v>
      </c>
      <c r="O172" s="39">
        <v>-6</v>
      </c>
      <c r="P172" s="39">
        <v>5</v>
      </c>
      <c r="Q172" s="39" t="s">
        <v>4611</v>
      </c>
      <c r="R172" s="39">
        <v>-1.9</v>
      </c>
      <c r="S172" s="39">
        <v>0.92</v>
      </c>
      <c r="T172" s="39">
        <v>7.09</v>
      </c>
      <c r="U172" s="39">
        <v>20.9</v>
      </c>
      <c r="V172" s="39">
        <v>22.79</v>
      </c>
      <c r="W172" s="39">
        <v>17.38</v>
      </c>
      <c r="X172" s="39">
        <v>24.54</v>
      </c>
      <c r="Y172" s="39">
        <v>23.76</v>
      </c>
      <c r="Z172" s="39">
        <v>87.09</v>
      </c>
      <c r="AA172" s="39">
        <v>34.57</v>
      </c>
      <c r="AB172" s="39">
        <v>42.52</v>
      </c>
      <c r="AC172" s="39">
        <v>671.4</v>
      </c>
      <c r="AD172" s="39" t="s">
        <v>4606</v>
      </c>
      <c r="AE172" s="39" t="s">
        <v>134</v>
      </c>
      <c r="AF172" s="39">
        <v>10</v>
      </c>
      <c r="AG172" s="42">
        <v>0.18809999999999999</v>
      </c>
      <c r="AH172" s="39">
        <v>93</v>
      </c>
      <c r="AI172" s="42">
        <v>0.1283</v>
      </c>
      <c r="AJ172" s="39" t="s">
        <v>5768</v>
      </c>
      <c r="AK172" s="42">
        <v>0.1993</v>
      </c>
      <c r="AL172" s="39" t="s">
        <v>5000</v>
      </c>
      <c r="AM172" s="42">
        <v>9.2399999999999996E-2</v>
      </c>
      <c r="AN172" s="42">
        <v>0.10580000000000001</v>
      </c>
      <c r="AO172" s="39">
        <v>35</v>
      </c>
      <c r="AP172" s="39">
        <v>18</v>
      </c>
      <c r="AQ172" s="39">
        <v>68</v>
      </c>
      <c r="AR172" s="39">
        <v>308</v>
      </c>
      <c r="AS172" s="39">
        <v>0</v>
      </c>
      <c r="AT172" s="39" t="s">
        <v>4562</v>
      </c>
      <c r="AU172" s="39">
        <v>20</v>
      </c>
      <c r="AV172" s="39" t="s">
        <v>4776</v>
      </c>
      <c r="AW172" s="39">
        <v>313.89999999999998</v>
      </c>
      <c r="AX172" s="39">
        <v>321.2</v>
      </c>
      <c r="AY172" s="39">
        <v>325.60000000000002</v>
      </c>
      <c r="AZ172" s="39">
        <v>302.2</v>
      </c>
      <c r="BA172" s="39">
        <v>297.8</v>
      </c>
      <c r="BB172" s="39">
        <v>290.5</v>
      </c>
      <c r="BC172" s="39">
        <v>8</v>
      </c>
      <c r="BD172" s="39">
        <v>5</v>
      </c>
      <c r="BE172" s="39">
        <v>4</v>
      </c>
      <c r="BF172" s="39" t="s">
        <v>130</v>
      </c>
      <c r="BG172" s="39">
        <v>62</v>
      </c>
      <c r="BH172" s="39">
        <v>0.2</v>
      </c>
      <c r="BI172" s="39" t="s">
        <v>4563</v>
      </c>
      <c r="BJ172" s="39" t="s">
        <v>132</v>
      </c>
      <c r="BK172" t="s">
        <v>5823</v>
      </c>
      <c r="BL172" t="s">
        <v>4945</v>
      </c>
    </row>
    <row r="173" spans="1:64" x14ac:dyDescent="0.35">
      <c r="A173" s="39" t="s">
        <v>2197</v>
      </c>
      <c r="B173" s="39" t="s">
        <v>4946</v>
      </c>
      <c r="C173" s="39">
        <v>581.04999999999995</v>
      </c>
      <c r="D173" s="39">
        <v>75</v>
      </c>
      <c r="E173" s="39" t="s">
        <v>4987</v>
      </c>
      <c r="F173" s="39" t="s">
        <v>5029</v>
      </c>
      <c r="G173" s="39" t="s">
        <v>129</v>
      </c>
      <c r="H173" s="39" t="s">
        <v>5769</v>
      </c>
      <c r="I173" s="39" t="s">
        <v>4624</v>
      </c>
      <c r="J173" s="39" t="s">
        <v>5770</v>
      </c>
      <c r="K173" s="39" t="s">
        <v>133</v>
      </c>
      <c r="L173" s="39" t="s">
        <v>5771</v>
      </c>
      <c r="N173" s="39">
        <v>8</v>
      </c>
      <c r="O173" s="39">
        <v>0</v>
      </c>
      <c r="P173" s="39">
        <v>8</v>
      </c>
      <c r="Q173" s="39" t="s">
        <v>14</v>
      </c>
      <c r="R173" s="39">
        <v>9.94</v>
      </c>
      <c r="S173" s="39">
        <v>16.7</v>
      </c>
      <c r="T173" s="39">
        <v>25.84</v>
      </c>
      <c r="U173" s="39">
        <v>56.26</v>
      </c>
      <c r="V173" s="39">
        <v>85.97</v>
      </c>
      <c r="W173" s="39">
        <v>32.770000000000003</v>
      </c>
      <c r="X173" s="39">
        <v>48.91</v>
      </c>
      <c r="Y173" s="39">
        <v>92.72</v>
      </c>
      <c r="Z173" s="39">
        <v>420.65</v>
      </c>
      <c r="AA173" s="39" t="s">
        <v>4538</v>
      </c>
      <c r="AB173" s="39">
        <v>128.53</v>
      </c>
      <c r="AC173" s="39">
        <v>2306</v>
      </c>
      <c r="AD173" s="39" t="s">
        <v>5015</v>
      </c>
      <c r="AE173" s="39" t="s">
        <v>134</v>
      </c>
      <c r="AF173" s="39">
        <v>2</v>
      </c>
      <c r="AG173" s="42">
        <v>1.4800000000000001E-2</v>
      </c>
      <c r="AH173" s="39">
        <v>13</v>
      </c>
      <c r="AI173" s="42">
        <v>2.7199999999999998E-2</v>
      </c>
      <c r="AJ173" s="39" t="s">
        <v>5772</v>
      </c>
      <c r="AK173" s="42">
        <v>0.16259999999999999</v>
      </c>
      <c r="AL173" s="39" t="s">
        <v>5773</v>
      </c>
      <c r="AM173" s="42">
        <v>0.19900000000000001</v>
      </c>
      <c r="AN173" s="42">
        <v>0.246</v>
      </c>
      <c r="AO173" s="39">
        <v>60</v>
      </c>
      <c r="AP173" s="39">
        <v>33</v>
      </c>
      <c r="AQ173" s="39">
        <v>72</v>
      </c>
      <c r="AS173" s="39" t="s">
        <v>4564</v>
      </c>
      <c r="AW173" s="39">
        <v>626.12</v>
      </c>
      <c r="AX173" s="39">
        <v>670.83</v>
      </c>
      <c r="AY173" s="39">
        <v>721.57</v>
      </c>
      <c r="AZ173" s="39">
        <v>530.66999999999996</v>
      </c>
      <c r="BA173" s="39">
        <v>479.93</v>
      </c>
      <c r="BB173" s="39">
        <v>435.22</v>
      </c>
      <c r="BC173" s="39">
        <v>2</v>
      </c>
      <c r="BD173" s="39">
        <v>7</v>
      </c>
      <c r="BE173" s="39" t="s">
        <v>130</v>
      </c>
      <c r="BF173" s="39">
        <v>-0.4</v>
      </c>
      <c r="BG173" s="39">
        <v>13</v>
      </c>
      <c r="BH173" s="39">
        <v>250</v>
      </c>
      <c r="BI173" s="39" t="s">
        <v>4639</v>
      </c>
      <c r="BJ173" s="39" t="s">
        <v>4563</v>
      </c>
      <c r="BK173" t="s">
        <v>5824</v>
      </c>
      <c r="BL173" t="s">
        <v>4946</v>
      </c>
    </row>
    <row r="174" spans="1:64" x14ac:dyDescent="0.35">
      <c r="A174" s="39" t="s">
        <v>872</v>
      </c>
      <c r="B174" s="39" t="s">
        <v>4947</v>
      </c>
      <c r="C174" s="39">
        <v>679.05</v>
      </c>
      <c r="D174" s="39">
        <v>54</v>
      </c>
      <c r="G174" s="39" t="s">
        <v>4562</v>
      </c>
      <c r="H174" s="39" t="s">
        <v>5774</v>
      </c>
      <c r="I174" s="39" t="s">
        <v>4989</v>
      </c>
      <c r="J174" s="39" t="s">
        <v>5775</v>
      </c>
      <c r="K174" s="39" t="s">
        <v>133</v>
      </c>
      <c r="L174" s="39" t="s">
        <v>5776</v>
      </c>
      <c r="M174" s="39" t="s">
        <v>135</v>
      </c>
      <c r="N174" s="39">
        <v>6</v>
      </c>
      <c r="O174" s="39">
        <v>-21</v>
      </c>
      <c r="P174" s="39">
        <v>-15</v>
      </c>
      <c r="Q174" s="39" t="s">
        <v>4605</v>
      </c>
      <c r="R174" s="39">
        <v>-2.2599999999999998</v>
      </c>
      <c r="S174" s="39">
        <v>0.8</v>
      </c>
      <c r="T174" s="39">
        <v>12.49</v>
      </c>
      <c r="U174" s="39">
        <v>8.01</v>
      </c>
      <c r="V174" s="39">
        <v>1.86</v>
      </c>
      <c r="W174" s="39">
        <v>1.68</v>
      </c>
      <c r="X174" s="39">
        <v>14.58</v>
      </c>
      <c r="Y174" s="39">
        <v>43.47</v>
      </c>
      <c r="Z174" s="39">
        <v>152.66999999999999</v>
      </c>
      <c r="AA174" s="39">
        <v>76.72</v>
      </c>
      <c r="AB174" s="39">
        <v>19.3</v>
      </c>
      <c r="AC174" s="39">
        <v>1443.3</v>
      </c>
      <c r="AD174" s="39" t="s">
        <v>4606</v>
      </c>
      <c r="AE174" s="39" t="s">
        <v>134</v>
      </c>
      <c r="AF174" s="39">
        <v>19</v>
      </c>
      <c r="AG174" s="42">
        <v>0.14149999999999999</v>
      </c>
      <c r="AH174" s="39">
        <v>116</v>
      </c>
      <c r="AI174" s="42">
        <v>8.9499999999999996E-2</v>
      </c>
      <c r="AJ174" s="39" t="s">
        <v>5777</v>
      </c>
      <c r="AK174" s="42">
        <v>0.25850000000000001</v>
      </c>
      <c r="AL174" s="39" t="s">
        <v>5778</v>
      </c>
      <c r="AM174" s="42">
        <v>2.6700000000000002E-2</v>
      </c>
      <c r="AN174" s="42">
        <v>0.13420000000000001</v>
      </c>
      <c r="AO174" s="39">
        <v>60</v>
      </c>
      <c r="AP174" s="39">
        <v>13</v>
      </c>
      <c r="AQ174" s="39">
        <v>54</v>
      </c>
      <c r="AR174" s="45">
        <v>711</v>
      </c>
      <c r="AS174" s="39">
        <v>5</v>
      </c>
      <c r="AT174" s="39" t="s">
        <v>129</v>
      </c>
      <c r="AU174" s="39">
        <v>9</v>
      </c>
      <c r="AV174" s="39" t="s">
        <v>4777</v>
      </c>
      <c r="AW174" s="39">
        <v>691.1</v>
      </c>
      <c r="AX174" s="39">
        <v>703.3</v>
      </c>
      <c r="AY174" s="39">
        <v>711.35</v>
      </c>
      <c r="AZ174" s="39">
        <v>670.85</v>
      </c>
      <c r="BA174" s="39">
        <v>662.8</v>
      </c>
      <c r="BB174" s="39">
        <v>650.6</v>
      </c>
      <c r="BC174" s="39">
        <v>10</v>
      </c>
      <c r="BD174" s="39">
        <v>3</v>
      </c>
      <c r="BE174" s="39">
        <v>4</v>
      </c>
      <c r="BF174" s="39">
        <v>1</v>
      </c>
      <c r="BG174" s="39">
        <v>100.7</v>
      </c>
      <c r="BH174" s="39">
        <v>0.1</v>
      </c>
      <c r="BI174" s="39" t="s">
        <v>4563</v>
      </c>
      <c r="BJ174" s="39" t="s">
        <v>132</v>
      </c>
      <c r="BK174" t="s">
        <v>5825</v>
      </c>
      <c r="BL174" t="s">
        <v>4947</v>
      </c>
    </row>
    <row r="175" spans="1:64" x14ac:dyDescent="0.35">
      <c r="A175" s="39" t="s">
        <v>507</v>
      </c>
      <c r="B175" s="39" t="s">
        <v>4948</v>
      </c>
      <c r="C175" s="39">
        <v>809.95</v>
      </c>
      <c r="D175" s="39">
        <v>35</v>
      </c>
      <c r="G175" s="39" t="s">
        <v>4625</v>
      </c>
      <c r="H175" s="39" t="s">
        <v>5779</v>
      </c>
      <c r="I175" s="39" t="s">
        <v>4976</v>
      </c>
      <c r="J175" s="39" t="s">
        <v>5780</v>
      </c>
      <c r="K175" s="39" t="s">
        <v>4615</v>
      </c>
      <c r="L175" s="39" t="s">
        <v>5781</v>
      </c>
      <c r="M175" s="39" t="s">
        <v>4959</v>
      </c>
      <c r="N175" s="39">
        <v>13</v>
      </c>
      <c r="O175" s="39">
        <v>-8</v>
      </c>
      <c r="P175" s="39">
        <v>5</v>
      </c>
      <c r="Q175" s="39" t="s">
        <v>4611</v>
      </c>
      <c r="R175" s="39">
        <v>-1.88</v>
      </c>
      <c r="S175" s="39">
        <v>-2.2599999999999998</v>
      </c>
      <c r="T175" s="39">
        <v>5.76</v>
      </c>
      <c r="U175" s="39">
        <v>1.53</v>
      </c>
      <c r="V175" s="39">
        <v>-5.22</v>
      </c>
      <c r="W175" s="39">
        <v>0.82</v>
      </c>
      <c r="X175" s="39">
        <v>-22.48</v>
      </c>
      <c r="Y175" s="39">
        <v>-17.98</v>
      </c>
      <c r="Z175" s="39">
        <v>25.6</v>
      </c>
      <c r="AA175" s="39">
        <v>34.68</v>
      </c>
      <c r="AB175" s="39">
        <v>31.61</v>
      </c>
      <c r="AC175" s="39">
        <v>1054.5999999999999</v>
      </c>
      <c r="AD175" s="39" t="s">
        <v>4606</v>
      </c>
      <c r="AE175" s="39" t="s">
        <v>134</v>
      </c>
      <c r="AF175" s="39">
        <v>32</v>
      </c>
      <c r="AG175" s="42">
        <v>0.15260000000000001</v>
      </c>
      <c r="AH175" s="39">
        <v>268</v>
      </c>
      <c r="AI175" s="42">
        <v>0.1908</v>
      </c>
      <c r="AJ175" s="39" t="s">
        <v>5782</v>
      </c>
      <c r="AK175" s="42">
        <v>0.26640000000000003</v>
      </c>
      <c r="AL175" s="39" t="s">
        <v>136</v>
      </c>
      <c r="AM175" s="42">
        <v>0.10249999999999999</v>
      </c>
      <c r="AN175" s="42">
        <v>0.13930000000000001</v>
      </c>
      <c r="AO175" s="39">
        <v>50</v>
      </c>
      <c r="AP175" s="39">
        <v>14</v>
      </c>
      <c r="AQ175" s="39">
        <v>49</v>
      </c>
      <c r="AR175" s="39">
        <v>884</v>
      </c>
      <c r="AS175" s="39">
        <v>9</v>
      </c>
      <c r="AT175" s="39" t="s">
        <v>4562</v>
      </c>
      <c r="AU175" s="39">
        <v>37</v>
      </c>
      <c r="AV175" s="39" t="s">
        <v>4778</v>
      </c>
      <c r="AW175" s="39">
        <v>824.8</v>
      </c>
      <c r="AX175" s="39">
        <v>839.65</v>
      </c>
      <c r="AY175" s="39">
        <v>848.05</v>
      </c>
      <c r="AZ175" s="39">
        <v>801.55</v>
      </c>
      <c r="BA175" s="39">
        <v>793.15</v>
      </c>
      <c r="BB175" s="39">
        <v>778.3</v>
      </c>
      <c r="BC175" s="39">
        <v>4</v>
      </c>
      <c r="BD175" s="39">
        <v>7</v>
      </c>
      <c r="BE175" s="39">
        <v>2</v>
      </c>
      <c r="BF175" s="39" t="s">
        <v>130</v>
      </c>
      <c r="BG175" s="39">
        <v>132.5</v>
      </c>
      <c r="BH175" s="39">
        <v>0.2</v>
      </c>
      <c r="BI175" s="39" t="s">
        <v>4563</v>
      </c>
      <c r="BJ175" s="39" t="s">
        <v>132</v>
      </c>
      <c r="BK175" t="s">
        <v>5826</v>
      </c>
      <c r="BL175" t="s">
        <v>4948</v>
      </c>
    </row>
    <row r="176" spans="1:64" x14ac:dyDescent="0.35">
      <c r="A176" s="39" t="s">
        <v>1012</v>
      </c>
      <c r="B176" s="39" t="s">
        <v>4949</v>
      </c>
      <c r="C176" s="39">
        <v>675.25</v>
      </c>
      <c r="D176" s="39">
        <v>52</v>
      </c>
      <c r="G176" s="39" t="s">
        <v>4562</v>
      </c>
      <c r="H176" s="39" t="s">
        <v>5783</v>
      </c>
      <c r="I176" s="39" t="s">
        <v>4989</v>
      </c>
      <c r="J176" s="39" t="s">
        <v>5784</v>
      </c>
      <c r="K176" s="39" t="s">
        <v>4615</v>
      </c>
      <c r="L176" s="39" t="s">
        <v>5785</v>
      </c>
      <c r="M176" s="39" t="s">
        <v>4620</v>
      </c>
      <c r="N176" s="39">
        <v>7</v>
      </c>
      <c r="O176" s="39">
        <v>-6</v>
      </c>
      <c r="P176" s="39">
        <v>1</v>
      </c>
      <c r="Q176" s="39" t="s">
        <v>4611</v>
      </c>
      <c r="R176" s="39">
        <v>-0.77</v>
      </c>
      <c r="S176" s="39">
        <v>-0.81</v>
      </c>
      <c r="T176" s="39">
        <v>-9.4700000000000006</v>
      </c>
      <c r="U176" s="39">
        <v>3.49</v>
      </c>
      <c r="V176" s="39">
        <v>25.13</v>
      </c>
      <c r="W176" s="39">
        <v>24.69</v>
      </c>
      <c r="X176" s="39">
        <v>9.18</v>
      </c>
      <c r="Y176" s="39">
        <v>102.9</v>
      </c>
      <c r="Z176" s="39">
        <v>347.63</v>
      </c>
      <c r="AA176" s="39">
        <v>158.62</v>
      </c>
      <c r="AB176" s="39">
        <v>113.99</v>
      </c>
      <c r="AC176" s="39" t="s">
        <v>4538</v>
      </c>
      <c r="AD176" s="39" t="s">
        <v>4606</v>
      </c>
      <c r="AE176" s="39" t="s">
        <v>134</v>
      </c>
      <c r="AF176" s="39">
        <v>11</v>
      </c>
      <c r="AG176" s="42">
        <v>0.21629999999999999</v>
      </c>
      <c r="AH176" s="39">
        <v>67</v>
      </c>
      <c r="AI176" s="42">
        <v>2.18E-2</v>
      </c>
      <c r="AJ176" s="39" t="s">
        <v>5786</v>
      </c>
      <c r="AK176" s="42">
        <v>0.3543</v>
      </c>
      <c r="AL176" s="39" t="s">
        <v>5787</v>
      </c>
      <c r="AM176" s="42">
        <v>4.7699999999999999E-2</v>
      </c>
      <c r="AN176" s="42">
        <v>7.4099999999999999E-2</v>
      </c>
      <c r="AO176" s="39">
        <v>75</v>
      </c>
      <c r="AP176" s="39">
        <v>41</v>
      </c>
      <c r="AQ176" s="39">
        <v>53</v>
      </c>
      <c r="AR176" s="39">
        <v>808</v>
      </c>
      <c r="AS176" s="39">
        <v>20</v>
      </c>
      <c r="AT176" s="39" t="s">
        <v>129</v>
      </c>
      <c r="AU176" s="39">
        <v>7</v>
      </c>
      <c r="AV176" s="39" t="s">
        <v>4779</v>
      </c>
      <c r="AW176" s="39">
        <v>679.98</v>
      </c>
      <c r="AX176" s="39">
        <v>685.77</v>
      </c>
      <c r="AY176" s="39">
        <v>691.73</v>
      </c>
      <c r="AZ176" s="39">
        <v>668.23</v>
      </c>
      <c r="BA176" s="39">
        <v>662.27</v>
      </c>
      <c r="BB176" s="39">
        <v>656.48</v>
      </c>
      <c r="BC176" s="39">
        <v>9</v>
      </c>
      <c r="BD176" s="39">
        <v>3</v>
      </c>
      <c r="BE176" s="39">
        <v>3</v>
      </c>
      <c r="BF176" s="39" t="s">
        <v>130</v>
      </c>
      <c r="BG176" s="39">
        <v>297.2</v>
      </c>
      <c r="BH176" s="39">
        <v>0.4</v>
      </c>
      <c r="BI176" s="39" t="s">
        <v>131</v>
      </c>
      <c r="BJ176" s="39" t="s">
        <v>4563</v>
      </c>
      <c r="BK176" t="s">
        <v>5827</v>
      </c>
      <c r="BL176" t="s">
        <v>4949</v>
      </c>
    </row>
    <row r="177" spans="1:64" x14ac:dyDescent="0.35">
      <c r="A177" s="39" t="s">
        <v>623</v>
      </c>
      <c r="B177" s="39" t="s">
        <v>4950</v>
      </c>
      <c r="C177" s="48">
        <v>1578.25</v>
      </c>
      <c r="D177" s="39">
        <v>57</v>
      </c>
      <c r="G177" s="39" t="s">
        <v>4562</v>
      </c>
      <c r="H177" s="39" t="s">
        <v>5788</v>
      </c>
      <c r="I177" s="39" t="s">
        <v>4624</v>
      </c>
      <c r="J177" s="39" t="s">
        <v>5789</v>
      </c>
      <c r="K177" s="39" t="s">
        <v>133</v>
      </c>
      <c r="L177" s="39" t="s">
        <v>5790</v>
      </c>
      <c r="M177" s="39" t="s">
        <v>4959</v>
      </c>
      <c r="N177" s="39">
        <v>2</v>
      </c>
      <c r="O177" s="39">
        <v>-11</v>
      </c>
      <c r="P177" s="39">
        <v>-9</v>
      </c>
      <c r="Q177" s="39" t="s">
        <v>4605</v>
      </c>
      <c r="R177" s="39">
        <v>-0.23</v>
      </c>
      <c r="S177" s="39">
        <v>2.3199999999999998</v>
      </c>
      <c r="T177" s="39">
        <v>10.26</v>
      </c>
      <c r="U177" s="39">
        <v>15.64</v>
      </c>
      <c r="V177" s="39">
        <v>22.63</v>
      </c>
      <c r="W177" s="39">
        <v>5.43</v>
      </c>
      <c r="X177" s="39">
        <v>-13.25</v>
      </c>
      <c r="Y177" s="39">
        <v>-23.21</v>
      </c>
      <c r="Z177" s="39">
        <v>-22.03</v>
      </c>
      <c r="AA177" s="39">
        <v>2.0299999999999998</v>
      </c>
      <c r="AB177" s="39">
        <v>-8.91</v>
      </c>
      <c r="AC177" s="39">
        <v>866.77</v>
      </c>
      <c r="AD177" s="39" t="s">
        <v>4606</v>
      </c>
      <c r="AE177" s="39" t="s">
        <v>134</v>
      </c>
      <c r="AF177" s="39">
        <v>28</v>
      </c>
      <c r="AG177" s="42">
        <v>0.1045</v>
      </c>
      <c r="AH177" s="39">
        <v>111</v>
      </c>
      <c r="AI177" s="42">
        <v>3.3099999999999997E-2</v>
      </c>
      <c r="AJ177" s="39" t="s">
        <v>5791</v>
      </c>
      <c r="AK177" s="43">
        <v>0.75</v>
      </c>
      <c r="AL177" s="39" t="s">
        <v>5792</v>
      </c>
      <c r="AM177" s="42">
        <v>4.4699999999999997E-2</v>
      </c>
      <c r="AN177" s="42">
        <v>7.6899999999999996E-2</v>
      </c>
      <c r="AO177" s="39">
        <v>55</v>
      </c>
      <c r="AP177" s="39">
        <v>14</v>
      </c>
      <c r="AQ177" s="39">
        <v>63</v>
      </c>
      <c r="AR177" s="45">
        <v>1378</v>
      </c>
      <c r="AS177" s="39">
        <v>-13</v>
      </c>
      <c r="AT177" s="39" t="s">
        <v>4625</v>
      </c>
      <c r="AU177" s="39">
        <v>10</v>
      </c>
      <c r="AV177" s="39" t="s">
        <v>4780</v>
      </c>
      <c r="AW177" s="39">
        <v>1595.4</v>
      </c>
      <c r="AX177" s="39">
        <v>1611.4</v>
      </c>
      <c r="AY177" s="39">
        <v>1632.8</v>
      </c>
      <c r="AZ177" s="39">
        <v>1558</v>
      </c>
      <c r="BA177" s="39">
        <v>1536.6</v>
      </c>
      <c r="BB177" s="39">
        <v>1520.6</v>
      </c>
      <c r="BC177" s="39">
        <v>8</v>
      </c>
      <c r="BD177" s="39">
        <v>5</v>
      </c>
      <c r="BE177" s="39">
        <v>2</v>
      </c>
      <c r="BF177" s="39" t="s">
        <v>130</v>
      </c>
      <c r="BG177" s="39">
        <v>328.3</v>
      </c>
      <c r="BH177" s="39">
        <v>0.2</v>
      </c>
      <c r="BI177" s="39" t="s">
        <v>4563</v>
      </c>
      <c r="BJ177" s="39" t="s">
        <v>4563</v>
      </c>
      <c r="BK177" t="s">
        <v>5828</v>
      </c>
      <c r="BL177" t="s">
        <v>4950</v>
      </c>
    </row>
    <row r="178" spans="1:64" x14ac:dyDescent="0.35">
      <c r="A178" s="39" t="s">
        <v>4543</v>
      </c>
      <c r="B178" s="39" t="s">
        <v>4951</v>
      </c>
      <c r="C178" s="39">
        <v>342.85</v>
      </c>
      <c r="G178" s="39" t="s">
        <v>5349</v>
      </c>
      <c r="I178" s="39" t="s">
        <v>4996</v>
      </c>
      <c r="J178" s="39" t="s">
        <v>5830</v>
      </c>
      <c r="M178" s="39" t="s">
        <v>135</v>
      </c>
      <c r="N178" s="39">
        <v>0</v>
      </c>
      <c r="O178" s="39">
        <v>0</v>
      </c>
      <c r="P178" s="39">
        <v>0</v>
      </c>
      <c r="Q178" s="39" t="s">
        <v>5831</v>
      </c>
      <c r="R178" s="39">
        <v>9.99</v>
      </c>
      <c r="S178" s="39">
        <v>3.67</v>
      </c>
      <c r="T178" s="39" t="s">
        <v>4538</v>
      </c>
      <c r="U178" s="39" t="s">
        <v>4538</v>
      </c>
      <c r="V178" s="39" t="s">
        <v>4538</v>
      </c>
      <c r="W178" s="39" t="s">
        <v>4538</v>
      </c>
      <c r="X178" s="39" t="s">
        <v>4538</v>
      </c>
      <c r="Y178" s="39" t="s">
        <v>4538</v>
      </c>
      <c r="Z178" s="39" t="s">
        <v>4538</v>
      </c>
      <c r="AA178" s="39" t="s">
        <v>4538</v>
      </c>
      <c r="AB178" s="39" t="s">
        <v>4538</v>
      </c>
      <c r="AC178" s="39" t="s">
        <v>4538</v>
      </c>
      <c r="AD178" s="39" t="s">
        <v>4606</v>
      </c>
      <c r="AE178" s="39" t="s">
        <v>134</v>
      </c>
      <c r="AF178" s="39">
        <v>6</v>
      </c>
      <c r="AG178" s="42">
        <v>3.39E-2</v>
      </c>
      <c r="AH178" s="39">
        <v>25</v>
      </c>
      <c r="AI178" s="42">
        <v>4.2500000000000003E-2</v>
      </c>
      <c r="AJ178" s="39" t="s">
        <v>5832</v>
      </c>
      <c r="AK178" s="42">
        <v>0.31480000000000002</v>
      </c>
      <c r="AL178" s="39" t="s">
        <v>5833</v>
      </c>
      <c r="AM178" s="42">
        <v>2.3599999999999999E-2</v>
      </c>
      <c r="AN178" s="43">
        <v>0.16</v>
      </c>
      <c r="AO178" s="39" t="s">
        <v>130</v>
      </c>
      <c r="AP178" s="39">
        <v>5</v>
      </c>
      <c r="AQ178" s="39">
        <v>0</v>
      </c>
      <c r="AR178" s="45"/>
      <c r="AS178" s="39" t="s">
        <v>4564</v>
      </c>
      <c r="AW178" s="39">
        <v>350.65</v>
      </c>
      <c r="AX178" s="39">
        <v>359.05</v>
      </c>
      <c r="AY178" s="39">
        <v>368.7</v>
      </c>
      <c r="AZ178" s="39">
        <v>332.6</v>
      </c>
      <c r="BA178" s="39">
        <v>322.95</v>
      </c>
      <c r="BB178" s="39">
        <v>314.55</v>
      </c>
      <c r="BC178" s="39">
        <v>361.9</v>
      </c>
      <c r="BG178" s="48">
        <v>306.10000000000002</v>
      </c>
      <c r="BI178" s="39" t="s">
        <v>4781</v>
      </c>
      <c r="BJ178" s="39" t="s">
        <v>131</v>
      </c>
      <c r="BK178" t="s">
        <v>5829</v>
      </c>
      <c r="BL178" t="s">
        <v>4951</v>
      </c>
    </row>
    <row r="179" spans="1:64" x14ac:dyDescent="0.35">
      <c r="A179" s="39" t="s">
        <v>577</v>
      </c>
      <c r="B179" s="39" t="s">
        <v>4952</v>
      </c>
      <c r="C179" s="39">
        <v>273.64999999999998</v>
      </c>
      <c r="D179" s="39">
        <v>42</v>
      </c>
      <c r="G179" s="39" t="s">
        <v>4625</v>
      </c>
      <c r="H179" s="39" t="s">
        <v>5834</v>
      </c>
      <c r="I179" s="39" t="s">
        <v>4989</v>
      </c>
      <c r="J179" s="39" t="s">
        <v>5835</v>
      </c>
      <c r="K179" s="39" t="s">
        <v>4615</v>
      </c>
      <c r="L179" s="39" t="s">
        <v>5836</v>
      </c>
      <c r="M179" s="39" t="s">
        <v>4959</v>
      </c>
      <c r="N179" s="39">
        <v>2</v>
      </c>
      <c r="O179" s="39">
        <v>-15</v>
      </c>
      <c r="P179" s="39">
        <v>-13</v>
      </c>
      <c r="Q179" s="39" t="s">
        <v>4605</v>
      </c>
      <c r="R179" s="39">
        <v>-0.22</v>
      </c>
      <c r="S179" s="39">
        <v>0.96</v>
      </c>
      <c r="T179" s="39">
        <v>22.14</v>
      </c>
      <c r="U179" s="39">
        <v>47.72</v>
      </c>
      <c r="V179" s="39">
        <v>27.13</v>
      </c>
      <c r="W179" s="39">
        <v>14.07</v>
      </c>
      <c r="X179" s="39">
        <v>8.2899999999999991</v>
      </c>
      <c r="Y179" s="39">
        <v>54.91</v>
      </c>
      <c r="Z179" s="39">
        <v>57.32</v>
      </c>
      <c r="AA179" s="39">
        <v>-21.02</v>
      </c>
      <c r="AB179" s="39">
        <v>-45.74</v>
      </c>
      <c r="AC179" s="39">
        <v>10.050000000000001</v>
      </c>
      <c r="AD179" s="39" t="s">
        <v>4974</v>
      </c>
      <c r="AE179" s="39">
        <v>5.38</v>
      </c>
      <c r="AF179" s="39">
        <v>28</v>
      </c>
      <c r="AG179" s="42">
        <v>0.3</v>
      </c>
      <c r="AH179" s="39">
        <v>252</v>
      </c>
      <c r="AI179" s="42">
        <v>0.33400000000000002</v>
      </c>
      <c r="AJ179" s="39" t="s">
        <v>5837</v>
      </c>
      <c r="AK179" s="42">
        <v>3.4500000000000003E-2</v>
      </c>
      <c r="AL179" s="39" t="s">
        <v>5506</v>
      </c>
      <c r="AM179" s="42">
        <v>7.6600000000000001E-2</v>
      </c>
      <c r="AN179" s="42">
        <v>0.15570000000000001</v>
      </c>
      <c r="AO179" s="39">
        <v>45</v>
      </c>
      <c r="AP179" s="39">
        <v>15</v>
      </c>
      <c r="AQ179" s="39">
        <v>61</v>
      </c>
      <c r="AR179" s="39">
        <v>289</v>
      </c>
      <c r="AS179" s="39">
        <v>6</v>
      </c>
      <c r="AT179" s="39" t="s">
        <v>129</v>
      </c>
      <c r="AU179" s="39">
        <v>22</v>
      </c>
      <c r="AV179" s="39" t="s">
        <v>4782</v>
      </c>
      <c r="AW179" s="39">
        <v>277.05</v>
      </c>
      <c r="AX179" s="39">
        <v>280.39999999999998</v>
      </c>
      <c r="AY179" s="39">
        <v>282.5</v>
      </c>
      <c r="AZ179" s="39">
        <v>271.60000000000002</v>
      </c>
      <c r="BA179" s="39">
        <v>269.5</v>
      </c>
      <c r="BB179" s="39">
        <v>266.14999999999998</v>
      </c>
      <c r="BC179" s="39">
        <v>5</v>
      </c>
      <c r="BD179" s="39" t="s">
        <v>130</v>
      </c>
      <c r="BE179" s="39">
        <v>0.6</v>
      </c>
      <c r="BF179" s="39">
        <v>0.11</v>
      </c>
      <c r="BG179" s="39">
        <v>4</v>
      </c>
      <c r="BH179" s="39">
        <v>5</v>
      </c>
      <c r="BI179" s="39" t="s">
        <v>4563</v>
      </c>
      <c r="BJ179" s="39" t="s">
        <v>4563</v>
      </c>
      <c r="BK179" t="s">
        <v>5847</v>
      </c>
      <c r="BL179" t="s">
        <v>4952</v>
      </c>
    </row>
    <row r="180" spans="1:64" x14ac:dyDescent="0.35">
      <c r="A180" s="39" t="s">
        <v>969</v>
      </c>
      <c r="B180" s="39" t="s">
        <v>4953</v>
      </c>
      <c r="C180" s="39">
        <v>505.05</v>
      </c>
      <c r="D180" s="39">
        <v>71</v>
      </c>
      <c r="G180" s="39" t="s">
        <v>129</v>
      </c>
      <c r="H180" s="39" t="s">
        <v>5838</v>
      </c>
      <c r="I180" s="39" t="s">
        <v>4624</v>
      </c>
      <c r="J180" s="39" t="s">
        <v>5839</v>
      </c>
      <c r="K180" s="39" t="s">
        <v>133</v>
      </c>
      <c r="L180" s="39" t="s">
        <v>5840</v>
      </c>
      <c r="M180" s="39" t="s">
        <v>4959</v>
      </c>
      <c r="N180" s="39">
        <v>14</v>
      </c>
      <c r="O180" s="39">
        <v>-2</v>
      </c>
      <c r="P180" s="39">
        <v>12</v>
      </c>
      <c r="Q180" s="39" t="s">
        <v>14</v>
      </c>
      <c r="R180" s="39">
        <v>-1.55</v>
      </c>
      <c r="S180" s="39">
        <v>0.45</v>
      </c>
      <c r="T180" s="39">
        <v>12.17</v>
      </c>
      <c r="U180" s="39">
        <v>44.69</v>
      </c>
      <c r="V180" s="39">
        <v>89.23</v>
      </c>
      <c r="W180" s="39">
        <v>137</v>
      </c>
      <c r="X180" s="39">
        <v>111.14</v>
      </c>
      <c r="Y180" s="39">
        <v>13.37</v>
      </c>
      <c r="Z180" s="39">
        <v>176.36</v>
      </c>
      <c r="AA180" s="39">
        <v>133.97999999999999</v>
      </c>
      <c r="AB180" s="39">
        <v>83.58</v>
      </c>
      <c r="AC180" s="39">
        <v>1049.67</v>
      </c>
      <c r="AD180" s="39" t="s">
        <v>4606</v>
      </c>
      <c r="AE180" s="39" t="s">
        <v>134</v>
      </c>
      <c r="AF180" s="39">
        <v>11</v>
      </c>
      <c r="AG180" s="42">
        <v>0.16619999999999999</v>
      </c>
      <c r="AH180" s="39">
        <v>165</v>
      </c>
      <c r="AI180" s="42">
        <v>0.12590000000000001</v>
      </c>
      <c r="AJ180" s="39" t="s">
        <v>5409</v>
      </c>
      <c r="AK180" s="42">
        <v>0.26750000000000002</v>
      </c>
      <c r="AL180" s="39" t="s">
        <v>5841</v>
      </c>
      <c r="AM180" s="42">
        <v>4.2299999999999997E-2</v>
      </c>
      <c r="AN180" s="42">
        <v>0.16850000000000001</v>
      </c>
      <c r="AO180" s="39">
        <v>60</v>
      </c>
      <c r="AP180" s="39">
        <v>35</v>
      </c>
      <c r="AQ180" s="39">
        <v>67</v>
      </c>
      <c r="AR180" s="39">
        <v>464</v>
      </c>
      <c r="AS180" s="39">
        <v>-8</v>
      </c>
      <c r="AT180" s="39" t="s">
        <v>129</v>
      </c>
      <c r="AU180" s="39">
        <v>7</v>
      </c>
      <c r="AV180" s="39" t="s">
        <v>4783</v>
      </c>
      <c r="AW180" s="39">
        <v>512.66999999999996</v>
      </c>
      <c r="AX180" s="39">
        <v>520.17999999999995</v>
      </c>
      <c r="AY180" s="39">
        <v>527.47</v>
      </c>
      <c r="AZ180" s="39">
        <v>497.87</v>
      </c>
      <c r="BA180" s="39">
        <v>490.58</v>
      </c>
      <c r="BB180" s="39">
        <v>483.07</v>
      </c>
      <c r="BC180" s="39">
        <v>10</v>
      </c>
      <c r="BD180" s="39">
        <v>2</v>
      </c>
      <c r="BE180" s="39">
        <v>5</v>
      </c>
      <c r="BF180" s="39" t="s">
        <v>130</v>
      </c>
      <c r="BG180" s="39">
        <v>231</v>
      </c>
      <c r="BH180" s="39">
        <v>0.5</v>
      </c>
      <c r="BI180" s="39" t="s">
        <v>4563</v>
      </c>
      <c r="BJ180" s="39" t="s">
        <v>4563</v>
      </c>
      <c r="BK180" t="s">
        <v>5848</v>
      </c>
      <c r="BL180" t="s">
        <v>4953</v>
      </c>
    </row>
    <row r="181" spans="1:64" x14ac:dyDescent="0.35">
      <c r="A181" s="39" t="s">
        <v>587</v>
      </c>
      <c r="B181" s="39" t="s">
        <v>4954</v>
      </c>
      <c r="C181" s="48">
        <v>13510.85</v>
      </c>
      <c r="D181" s="39">
        <v>78</v>
      </c>
      <c r="E181" s="39" t="s">
        <v>4987</v>
      </c>
      <c r="F181" s="39" t="s">
        <v>5842</v>
      </c>
      <c r="G181" s="39" t="s">
        <v>129</v>
      </c>
      <c r="H181" s="39" t="s">
        <v>5843</v>
      </c>
      <c r="I181" s="39" t="s">
        <v>4624</v>
      </c>
      <c r="J181" s="39" t="s">
        <v>5844</v>
      </c>
      <c r="K181" s="39" t="s">
        <v>133</v>
      </c>
      <c r="L181" s="39" t="s">
        <v>5845</v>
      </c>
      <c r="M181" s="39" t="s">
        <v>4620</v>
      </c>
      <c r="N181" s="39">
        <v>22</v>
      </c>
      <c r="O181" s="39">
        <v>-2</v>
      </c>
      <c r="P181" s="39">
        <v>20</v>
      </c>
      <c r="Q181" s="39" t="s">
        <v>5060</v>
      </c>
      <c r="R181" s="39">
        <v>0.01</v>
      </c>
      <c r="S181" s="39">
        <v>0.14000000000000001</v>
      </c>
      <c r="T181" s="39">
        <v>6.58</v>
      </c>
      <c r="U181" s="39">
        <v>29.34</v>
      </c>
      <c r="V181" s="39">
        <v>32.340000000000003</v>
      </c>
      <c r="W181" s="39">
        <v>51.04</v>
      </c>
      <c r="X181" s="39">
        <v>39.86</v>
      </c>
      <c r="Y181" s="39">
        <v>89.69</v>
      </c>
      <c r="Z181" s="39">
        <v>92.55</v>
      </c>
      <c r="AA181" s="39">
        <v>122.81</v>
      </c>
      <c r="AB181" s="39">
        <v>100.19</v>
      </c>
      <c r="AC181" s="39">
        <v>694.76</v>
      </c>
      <c r="AD181" s="39" t="s">
        <v>4606</v>
      </c>
      <c r="AE181" s="39" t="s">
        <v>134</v>
      </c>
      <c r="AF181" s="39">
        <v>23</v>
      </c>
      <c r="AG181" s="42">
        <v>0.14990000000000001</v>
      </c>
      <c r="AH181" s="39">
        <v>62</v>
      </c>
      <c r="AI181" s="42">
        <v>1.2699999999999999E-2</v>
      </c>
      <c r="AJ181" s="39" t="s">
        <v>5846</v>
      </c>
      <c r="AK181" s="43">
        <v>0.75</v>
      </c>
      <c r="AL181" s="39" t="s">
        <v>5423</v>
      </c>
      <c r="AM181" s="42">
        <v>9.0200000000000002E-2</v>
      </c>
      <c r="AN181" s="42">
        <v>6.1899999999999997E-2</v>
      </c>
      <c r="AO181" s="39">
        <v>70</v>
      </c>
      <c r="AP181" s="39">
        <v>15</v>
      </c>
      <c r="AQ181" s="39">
        <v>71</v>
      </c>
      <c r="AR181" s="45">
        <v>13136</v>
      </c>
      <c r="AS181" s="39">
        <v>-3</v>
      </c>
      <c r="AT181" s="39" t="s">
        <v>129</v>
      </c>
      <c r="AU181" s="39">
        <v>5</v>
      </c>
      <c r="AV181" s="39" t="s">
        <v>4784</v>
      </c>
      <c r="AW181" s="39">
        <v>13644.08</v>
      </c>
      <c r="AX181" s="39">
        <v>13790.87</v>
      </c>
      <c r="AY181" s="39">
        <v>13931.38</v>
      </c>
      <c r="AZ181" s="39">
        <v>13356.78</v>
      </c>
      <c r="BA181" s="39">
        <v>13216.27</v>
      </c>
      <c r="BB181" s="39">
        <v>13069.48</v>
      </c>
      <c r="BC181" s="39">
        <v>11</v>
      </c>
      <c r="BD181" s="39">
        <v>1</v>
      </c>
      <c r="BE181" s="39">
        <v>4</v>
      </c>
      <c r="BF181" s="39" t="s">
        <v>130</v>
      </c>
      <c r="BG181" s="48">
        <v>2312.6999999999998</v>
      </c>
      <c r="BH181" s="39">
        <v>0.2</v>
      </c>
      <c r="BI181" s="39" t="s">
        <v>131</v>
      </c>
      <c r="BJ181" s="39" t="s">
        <v>132</v>
      </c>
      <c r="BK181" t="s">
        <v>5849</v>
      </c>
      <c r="BL181" t="s">
        <v>4954</v>
      </c>
    </row>
    <row r="182" spans="1:64" x14ac:dyDescent="0.35">
      <c r="BK182" t="str">
        <f>IFERROR(INDEX(added_new_stocks!$F$6:$H$1048576,MATCH($A182,added_new_stocks!$F$6:$F$1048576,0),3),"")</f>
        <v/>
      </c>
    </row>
    <row r="183" spans="1:64" x14ac:dyDescent="0.35">
      <c r="BK183" t="str">
        <f>IFERROR(INDEX(added_new_stocks!$F$6:$H$1048576,MATCH($A183,added_new_stocks!$F$6:$F$1048576,0),3),"")</f>
        <v/>
      </c>
    </row>
    <row r="184" spans="1:64" x14ac:dyDescent="0.35">
      <c r="BK184" t="str">
        <f>IFERROR(INDEX(added_new_stocks!$F$6:$H$1048576,MATCH($A184,added_new_stocks!$F$6:$F$1048576,0),3),"")</f>
        <v/>
      </c>
    </row>
    <row r="185" spans="1:64" x14ac:dyDescent="0.35">
      <c r="BK185" t="str">
        <f>IFERROR(INDEX(added_new_stocks!$F$6:$H$1048576,MATCH($A185,added_new_stocks!$F$6:$F$1048576,0),3),"")</f>
        <v/>
      </c>
    </row>
    <row r="186" spans="1:64" x14ac:dyDescent="0.35">
      <c r="BK186" t="str">
        <f>IFERROR(INDEX(added_new_stocks!$F$6:$H$1048576,MATCH($A186,added_new_stocks!$F$6:$F$1048576,0),3),"")</f>
        <v/>
      </c>
    </row>
    <row r="187" spans="1:64" x14ac:dyDescent="0.35">
      <c r="BK187" t="str">
        <f>IFERROR(INDEX(added_new_stocks!$F$6:$H$1048576,MATCH($A187,added_new_stocks!$F$6:$F$1048576,0),3),"")</f>
        <v/>
      </c>
    </row>
    <row r="188" spans="1:64" x14ac:dyDescent="0.35">
      <c r="BK188" t="str">
        <f>IFERROR(INDEX(added_new_stocks!$F$6:$H$1048576,MATCH($A188,added_new_stocks!$F$6:$F$1048576,0),3),"")</f>
        <v/>
      </c>
    </row>
    <row r="189" spans="1:64" x14ac:dyDescent="0.35">
      <c r="BK189" t="str">
        <f>IFERROR(INDEX(added_new_stocks!$F$6:$H$1048576,MATCH($A189,added_new_stocks!$F$6:$F$1048576,0),3),"")</f>
        <v/>
      </c>
    </row>
    <row r="190" spans="1:64" x14ac:dyDescent="0.35">
      <c r="BK190" t="str">
        <f>IFERROR(INDEX(added_new_stocks!$F$6:$H$1048576,MATCH($A190,added_new_stocks!$F$6:$F$1048576,0),3),"")</f>
        <v/>
      </c>
    </row>
    <row r="191" spans="1:64" x14ac:dyDescent="0.35">
      <c r="BK191" t="str">
        <f>IFERROR(INDEX(added_new_stocks!$F$6:$H$1048576,MATCH($A191,added_new_stocks!$F$6:$F$1048576,0),3),"")</f>
        <v/>
      </c>
    </row>
    <row r="192" spans="1:64" x14ac:dyDescent="0.35">
      <c r="BK192" t="str">
        <f>IFERROR(INDEX(added_new_stocks!$F$6:$H$1048576,MATCH($A192,added_new_stocks!$F$6:$F$1048576,0),3),"")</f>
        <v/>
      </c>
    </row>
    <row r="193" spans="63:63" x14ac:dyDescent="0.35">
      <c r="BK193" t="str">
        <f>IFERROR(INDEX(added_new_stocks!$F$6:$H$1048576,MATCH($A193,added_new_stocks!$F$6:$F$1048576,0),3),"")</f>
        <v/>
      </c>
    </row>
    <row r="194" spans="63:63" x14ac:dyDescent="0.35">
      <c r="BK194" t="str">
        <f>IFERROR(INDEX(added_new_stocks!$F$6:$H$1048576,MATCH($A194,added_new_stocks!$F$6:$F$1048576,0),3),"")</f>
        <v/>
      </c>
    </row>
    <row r="195" spans="63:63" x14ac:dyDescent="0.35">
      <c r="BK195" t="str">
        <f>IFERROR(INDEX(added_new_stocks!$F$6:$H$1048576,MATCH($A195,added_new_stocks!$F$6:$F$1048576,0),3),"")</f>
        <v/>
      </c>
    </row>
    <row r="196" spans="63:63" x14ac:dyDescent="0.35">
      <c r="BK196" t="str">
        <f>IFERROR(INDEX(added_new_stocks!$F$6:$H$1048576,MATCH($A196,added_new_stocks!$F$6:$F$1048576,0),3),"")</f>
        <v/>
      </c>
    </row>
    <row r="197" spans="63:63" x14ac:dyDescent="0.35">
      <c r="BK197" t="str">
        <f>IFERROR(INDEX(added_new_stocks!$F$6:$H$1048576,MATCH($A197,added_new_stocks!$F$6:$F$1048576,0),3),"")</f>
        <v/>
      </c>
    </row>
    <row r="198" spans="63:63" x14ac:dyDescent="0.35">
      <c r="BK198" t="str">
        <f>IFERROR(INDEX(added_new_stocks!$F$6:$H$1048576,MATCH($A198,added_new_stocks!$F$6:$F$1048576,0),3),"")</f>
        <v/>
      </c>
    </row>
    <row r="199" spans="63:63" x14ac:dyDescent="0.35">
      <c r="BK199" t="str">
        <f>IFERROR(INDEX(added_new_stocks!$F$6:$H$1048576,MATCH($A199,added_new_stocks!$F$6:$F$1048576,0),3),"")</f>
        <v/>
      </c>
    </row>
    <row r="200" spans="63:63" x14ac:dyDescent="0.35">
      <c r="BK200" t="str">
        <f>IFERROR(INDEX(added_new_stocks!$F$6:$H$1048576,MATCH($A200,added_new_stocks!$F$6:$F$1048576,0),3),"")</f>
        <v/>
      </c>
    </row>
    <row r="201" spans="63:63" x14ac:dyDescent="0.35">
      <c r="BK201" t="str">
        <f>IFERROR(INDEX(added_new_stocks!$F$6:$H$1048576,MATCH($A201,added_new_stocks!$F$6:$F$1048576,0),3),"")</f>
        <v/>
      </c>
    </row>
    <row r="202" spans="63:63" x14ac:dyDescent="0.35">
      <c r="BK202" t="str">
        <f>IFERROR(INDEX(added_new_stocks!$F$6:$H$1048576,MATCH($A202,added_new_stocks!$F$6:$F$1048576,0),3),"")</f>
        <v/>
      </c>
    </row>
    <row r="203" spans="63:63" x14ac:dyDescent="0.35">
      <c r="BK203" t="str">
        <f>IFERROR(INDEX(added_new_stocks!$F$6:$H$1048576,MATCH($A203,added_new_stocks!$F$6:$F$1048576,0),3),"")</f>
        <v/>
      </c>
    </row>
    <row r="204" spans="63:63" x14ac:dyDescent="0.35">
      <c r="BK204" t="str">
        <f>IFERROR(INDEX(added_new_stocks!$F$6:$H$1048576,MATCH($A204,added_new_stocks!$F$6:$F$1048576,0),3),"")</f>
        <v/>
      </c>
    </row>
    <row r="205" spans="63:63" x14ac:dyDescent="0.35">
      <c r="BK205" t="str">
        <f>IFERROR(INDEX(added_new_stocks!$F$6:$H$1048576,MATCH($A205,added_new_stocks!$F$6:$F$1048576,0),3),"")</f>
        <v/>
      </c>
    </row>
    <row r="206" spans="63:63" x14ac:dyDescent="0.35">
      <c r="BK206" t="str">
        <f>IFERROR(INDEX(added_new_stocks!$F$6:$H$1048576,MATCH($A206,added_new_stocks!$F$6:$F$1048576,0),3),"")</f>
        <v/>
      </c>
    </row>
    <row r="207" spans="63:63" x14ac:dyDescent="0.35">
      <c r="BK207" t="str">
        <f>IFERROR(INDEX(added_new_stocks!$F$6:$H$1048576,MATCH($A207,added_new_stocks!$F$6:$F$1048576,0),3),"")</f>
        <v/>
      </c>
    </row>
    <row r="208" spans="63:63" x14ac:dyDescent="0.35">
      <c r="BK208" t="str">
        <f>IFERROR(INDEX(added_new_stocks!$F$6:$H$1048576,MATCH($A208,added_new_stocks!$F$6:$F$1048576,0),3),"")</f>
        <v/>
      </c>
    </row>
    <row r="209" spans="63:63" x14ac:dyDescent="0.35">
      <c r="BK209" t="str">
        <f>IFERROR(INDEX(added_new_stocks!$F$6:$H$1048576,MATCH($A209,added_new_stocks!$F$6:$F$1048576,0),3),"")</f>
        <v/>
      </c>
    </row>
    <row r="210" spans="63:63" x14ac:dyDescent="0.35">
      <c r="BK210" t="str">
        <f>IFERROR(INDEX(added_new_stocks!$F$6:$H$1048576,MATCH($A210,added_new_stocks!$F$6:$F$1048576,0),3),"")</f>
        <v/>
      </c>
    </row>
    <row r="211" spans="63:63" x14ac:dyDescent="0.35">
      <c r="BK211" t="str">
        <f>IFERROR(INDEX(added_new_stocks!$F$6:$H$1048576,MATCH($A211,added_new_stocks!$F$6:$F$1048576,0),3),"")</f>
        <v/>
      </c>
    </row>
    <row r="212" spans="63:63" x14ac:dyDescent="0.35">
      <c r="BK212" t="str">
        <f>IFERROR(INDEX(added_new_stocks!$F$6:$H$1048576,MATCH($A212,added_new_stocks!$F$6:$F$1048576,0),3),"")</f>
        <v/>
      </c>
    </row>
    <row r="213" spans="63:63" x14ac:dyDescent="0.35">
      <c r="BK213" t="str">
        <f>IFERROR(INDEX(added_new_stocks!$F$6:$H$1048576,MATCH($A213,added_new_stocks!$F$6:$F$1048576,0),3),"")</f>
        <v/>
      </c>
    </row>
    <row r="214" spans="63:63" x14ac:dyDescent="0.35">
      <c r="BK214" t="str">
        <f>IFERROR(INDEX(added_new_stocks!$F$6:$H$1048576,MATCH($A214,added_new_stocks!$F$6:$F$1048576,0),3),"")</f>
        <v/>
      </c>
    </row>
    <row r="215" spans="63:63" x14ac:dyDescent="0.35">
      <c r="BK215" t="str">
        <f>IFERROR(INDEX(added_new_stocks!$F$6:$H$1048576,MATCH($A215,added_new_stocks!$F$6:$F$1048576,0),3),"")</f>
        <v/>
      </c>
    </row>
    <row r="216" spans="63:63" x14ac:dyDescent="0.35">
      <c r="BK216" t="str">
        <f>IFERROR(INDEX(added_new_stocks!$F$6:$H$1048576,MATCH($A216,added_new_stocks!$F$6:$F$1048576,0),3),"")</f>
        <v/>
      </c>
    </row>
    <row r="217" spans="63:63" x14ac:dyDescent="0.35">
      <c r="BK217" t="str">
        <f>IFERROR(INDEX(added_new_stocks!$F$6:$H$1048576,MATCH($A217,added_new_stocks!$F$6:$F$1048576,0),3),"")</f>
        <v/>
      </c>
    </row>
    <row r="218" spans="63:63" x14ac:dyDescent="0.35">
      <c r="BK218" t="str">
        <f>IFERROR(INDEX(added_new_stocks!$F$6:$H$1048576,MATCH($A218,added_new_stocks!$F$6:$F$1048576,0),3),"")</f>
        <v/>
      </c>
    </row>
    <row r="219" spans="63:63" x14ac:dyDescent="0.35">
      <c r="BK219" t="str">
        <f>IFERROR(INDEX(added_new_stocks!$F$6:$H$1048576,MATCH($A219,added_new_stocks!$F$6:$F$1048576,0),3),"")</f>
        <v/>
      </c>
    </row>
    <row r="220" spans="63:63" x14ac:dyDescent="0.35">
      <c r="BK220" t="str">
        <f>IFERROR(INDEX(added_new_stocks!$F$6:$H$1048576,MATCH($A220,added_new_stocks!$F$6:$F$1048576,0),3),"")</f>
        <v/>
      </c>
    </row>
    <row r="221" spans="63:63" x14ac:dyDescent="0.35">
      <c r="BK221" t="str">
        <f>IFERROR(INDEX(added_new_stocks!$F$6:$H$1048576,MATCH($A221,added_new_stocks!$F$6:$F$1048576,0),3),"")</f>
        <v/>
      </c>
    </row>
    <row r="222" spans="63:63" x14ac:dyDescent="0.35">
      <c r="BK222" t="str">
        <f>IFERROR(INDEX(added_new_stocks!$F$6:$H$1048576,MATCH($A222,added_new_stocks!$F$6:$F$1048576,0),3),"")</f>
        <v/>
      </c>
    </row>
    <row r="223" spans="63:63" x14ac:dyDescent="0.35">
      <c r="BK223" t="str">
        <f>IFERROR(INDEX(added_new_stocks!$F$6:$H$1048576,MATCH($A223,added_new_stocks!$F$6:$F$1048576,0),3),"")</f>
        <v/>
      </c>
    </row>
    <row r="224" spans="63:63" x14ac:dyDescent="0.35">
      <c r="BK224" t="str">
        <f>IFERROR(INDEX(added_new_stocks!$F$6:$H$1048576,MATCH($A224,added_new_stocks!$F$6:$F$1048576,0),3),"")</f>
        <v/>
      </c>
    </row>
    <row r="225" spans="63:63" x14ac:dyDescent="0.35">
      <c r="BK225" t="str">
        <f>IFERROR(INDEX(added_new_stocks!$F$6:$H$1048576,MATCH($A225,added_new_stocks!$F$6:$F$1048576,0),3),"")</f>
        <v/>
      </c>
    </row>
    <row r="226" spans="63:63" x14ac:dyDescent="0.35">
      <c r="BK226" t="str">
        <f>IFERROR(INDEX(added_new_stocks!$F$6:$H$1048576,MATCH($A226,added_new_stocks!$F$6:$F$1048576,0),3),"")</f>
        <v/>
      </c>
    </row>
    <row r="227" spans="63:63" x14ac:dyDescent="0.35">
      <c r="BK227" t="str">
        <f>IFERROR(INDEX(added_new_stocks!$F$6:$H$1048576,MATCH($A227,added_new_stocks!$F$6:$F$1048576,0),3),"")</f>
        <v/>
      </c>
    </row>
    <row r="228" spans="63:63" x14ac:dyDescent="0.35">
      <c r="BK228" t="str">
        <f>IFERROR(INDEX(added_new_stocks!$F$6:$H$1048576,MATCH($A228,added_new_stocks!$F$6:$F$1048576,0),3),"")</f>
        <v/>
      </c>
    </row>
    <row r="229" spans="63:63" x14ac:dyDescent="0.35">
      <c r="BK229" t="str">
        <f>IFERROR(INDEX(added_new_stocks!$F$6:$H$1048576,MATCH($A229,added_new_stocks!$F$6:$F$1048576,0),3),"")</f>
        <v/>
      </c>
    </row>
    <row r="230" spans="63:63" x14ac:dyDescent="0.35">
      <c r="BK230" t="str">
        <f>IFERROR(INDEX(added_new_stocks!$F$6:$H$1048576,MATCH($A230,added_new_stocks!$F$6:$F$1048576,0),3),"")</f>
        <v/>
      </c>
    </row>
    <row r="231" spans="63:63" x14ac:dyDescent="0.35">
      <c r="BK231" t="str">
        <f>IFERROR(INDEX(added_new_stocks!$F$6:$H$1048576,MATCH($A231,added_new_stocks!$F$6:$F$1048576,0),3),"")</f>
        <v/>
      </c>
    </row>
    <row r="232" spans="63:63" x14ac:dyDescent="0.35">
      <c r="BK232" t="str">
        <f>IFERROR(INDEX(added_new_stocks!$F$6:$H$1048576,MATCH($A232,added_new_stocks!$F$6:$F$1048576,0),3),"")</f>
        <v/>
      </c>
    </row>
    <row r="233" spans="63:63" x14ac:dyDescent="0.35">
      <c r="BK233" t="str">
        <f>IFERROR(INDEX(added_new_stocks!$F$6:$H$1048576,MATCH($A233,added_new_stocks!$F$6:$F$1048576,0),3),"")</f>
        <v/>
      </c>
    </row>
    <row r="234" spans="63:63" x14ac:dyDescent="0.35">
      <c r="BK234" t="str">
        <f>IFERROR(INDEX(added_new_stocks!$F$6:$H$1048576,MATCH($A234,added_new_stocks!$F$6:$F$1048576,0),3),"")</f>
        <v/>
      </c>
    </row>
    <row r="235" spans="63:63" x14ac:dyDescent="0.35">
      <c r="BK235" t="str">
        <f>IFERROR(INDEX(added_new_stocks!$F$6:$H$1048576,MATCH($A235,added_new_stocks!$F$6:$F$1048576,0),3),"")</f>
        <v/>
      </c>
    </row>
    <row r="236" spans="63:63" x14ac:dyDescent="0.35">
      <c r="BK236" t="str">
        <f>IFERROR(INDEX(added_new_stocks!$F$6:$H$1048576,MATCH($A236,added_new_stocks!$F$6:$F$1048576,0),3),"")</f>
        <v/>
      </c>
    </row>
    <row r="237" spans="63:63" x14ac:dyDescent="0.35">
      <c r="BK237" t="str">
        <f>IFERROR(INDEX(added_new_stocks!$F$6:$H$1048576,MATCH($A237,added_new_stocks!$F$6:$F$1048576,0),3),"")</f>
        <v/>
      </c>
    </row>
    <row r="238" spans="63:63" x14ac:dyDescent="0.35">
      <c r="BK238" t="str">
        <f>IFERROR(INDEX(added_new_stocks!$F$6:$H$1048576,MATCH($A238,added_new_stocks!$F$6:$F$1048576,0),3),"")</f>
        <v/>
      </c>
    </row>
    <row r="239" spans="63:63" x14ac:dyDescent="0.35">
      <c r="BK239" t="str">
        <f>IFERROR(INDEX(added_new_stocks!$F$6:$H$1048576,MATCH($A239,added_new_stocks!$F$6:$F$1048576,0),3),"")</f>
        <v/>
      </c>
    </row>
    <row r="240" spans="63:63" x14ac:dyDescent="0.35">
      <c r="BK240" t="str">
        <f>IFERROR(INDEX(added_new_stocks!$F$6:$H$1048576,MATCH($A240,added_new_stocks!$F$6:$F$1048576,0),3),"")</f>
        <v/>
      </c>
    </row>
    <row r="241" spans="63:63" x14ac:dyDescent="0.35">
      <c r="BK241" t="str">
        <f>IFERROR(INDEX(added_new_stocks!$F$6:$H$1048576,MATCH($A241,added_new_stocks!$F$6:$F$1048576,0),3),"")</f>
        <v/>
      </c>
    </row>
    <row r="242" spans="63:63" x14ac:dyDescent="0.35">
      <c r="BK242" t="str">
        <f>IFERROR(INDEX(added_new_stocks!$F$6:$H$1048576,MATCH($A242,added_new_stocks!$F$6:$F$1048576,0),3),"")</f>
        <v/>
      </c>
    </row>
    <row r="243" spans="63:63" x14ac:dyDescent="0.35">
      <c r="BK243" t="str">
        <f>IFERROR(INDEX(added_new_stocks!$F$6:$H$1048576,MATCH($A243,added_new_stocks!$F$6:$F$1048576,0),3),"")</f>
        <v/>
      </c>
    </row>
    <row r="244" spans="63:63" x14ac:dyDescent="0.35">
      <c r="BK244" t="str">
        <f>IFERROR(INDEX(added_new_stocks!$F$6:$H$1048576,MATCH($A244,added_new_stocks!$F$6:$F$1048576,0),3),"")</f>
        <v/>
      </c>
    </row>
    <row r="245" spans="63:63" x14ac:dyDescent="0.35">
      <c r="BK245" t="str">
        <f>IFERROR(INDEX(added_new_stocks!$F$6:$H$1048576,MATCH($A245,added_new_stocks!$F$6:$F$1048576,0),3),"")</f>
        <v/>
      </c>
    </row>
    <row r="246" spans="63:63" x14ac:dyDescent="0.35">
      <c r="BK246" t="str">
        <f>IFERROR(INDEX(added_new_stocks!$F$6:$H$1048576,MATCH($A246,added_new_stocks!$F$6:$F$1048576,0),3),"")</f>
        <v/>
      </c>
    </row>
    <row r="247" spans="63:63" x14ac:dyDescent="0.35">
      <c r="BK247" t="str">
        <f>IFERROR(INDEX(added_new_stocks!$F$6:$H$1048576,MATCH($A247,added_new_stocks!$F$6:$F$1048576,0),3),"")</f>
        <v/>
      </c>
    </row>
    <row r="248" spans="63:63" x14ac:dyDescent="0.35">
      <c r="BK248" t="str">
        <f>IFERROR(INDEX(added_new_stocks!$F$6:$H$1048576,MATCH($A248,added_new_stocks!$F$6:$F$1048576,0),3),"")</f>
        <v/>
      </c>
    </row>
    <row r="249" spans="63:63" x14ac:dyDescent="0.35">
      <c r="BK249" t="str">
        <f>IFERROR(INDEX(added_new_stocks!$F$6:$H$1048576,MATCH($A249,added_new_stocks!$F$6:$F$1048576,0),3),"")</f>
        <v/>
      </c>
    </row>
    <row r="250" spans="63:63" x14ac:dyDescent="0.35">
      <c r="BK250" t="str">
        <f>IFERROR(INDEX(added_new_stocks!$F$6:$H$1048576,MATCH($A250,added_new_stocks!$F$6:$F$1048576,0),3),"")</f>
        <v/>
      </c>
    </row>
    <row r="251" spans="63:63" x14ac:dyDescent="0.35">
      <c r="BK251" t="str">
        <f>IFERROR(INDEX(added_new_stocks!$F$6:$H$1048576,MATCH($A251,added_new_stocks!$F$6:$F$1048576,0),3),"")</f>
        <v/>
      </c>
    </row>
    <row r="252" spans="63:63" x14ac:dyDescent="0.35">
      <c r="BK252" t="str">
        <f>IFERROR(INDEX(added_new_stocks!$F$6:$H$1048576,MATCH($A252,added_new_stocks!$F$6:$F$1048576,0),3),"")</f>
        <v/>
      </c>
    </row>
    <row r="253" spans="63:63" x14ac:dyDescent="0.35">
      <c r="BK253" t="str">
        <f>IFERROR(INDEX(added_new_stocks!$F$6:$H$1048576,MATCH($A253,added_new_stocks!$F$6:$F$1048576,0),3),"")</f>
        <v/>
      </c>
    </row>
    <row r="254" spans="63:63" x14ac:dyDescent="0.35">
      <c r="BK254" t="str">
        <f>IFERROR(INDEX(added_new_stocks!$F$6:$H$1048576,MATCH($A254,added_new_stocks!$F$6:$F$1048576,0),3),"")</f>
        <v/>
      </c>
    </row>
    <row r="255" spans="63:63" x14ac:dyDescent="0.35">
      <c r="BK255" t="str">
        <f>IFERROR(INDEX(added_new_stocks!$F$6:$H$1048576,MATCH($A255,added_new_stocks!$F$6:$F$1048576,0),3),"")</f>
        <v/>
      </c>
    </row>
    <row r="256" spans="63:63" x14ac:dyDescent="0.35">
      <c r="BK256" t="str">
        <f>IFERROR(INDEX(added_new_stocks!$F$6:$H$1048576,MATCH($A256,added_new_stocks!$F$6:$F$1048576,0),3),"")</f>
        <v/>
      </c>
    </row>
    <row r="257" spans="63:63" x14ac:dyDescent="0.35">
      <c r="BK257" t="str">
        <f>IFERROR(INDEX(added_new_stocks!$F$6:$H$1048576,MATCH($A257,added_new_stocks!$F$6:$F$1048576,0),3),"")</f>
        <v/>
      </c>
    </row>
    <row r="258" spans="63:63" x14ac:dyDescent="0.35">
      <c r="BK258" t="str">
        <f>IFERROR(INDEX(added_new_stocks!$F$6:$H$1048576,MATCH($A258,added_new_stocks!$F$6:$F$1048576,0),3),"")</f>
        <v/>
      </c>
    </row>
    <row r="259" spans="63:63" x14ac:dyDescent="0.35">
      <c r="BK259" t="str">
        <f>IFERROR(INDEX(added_new_stocks!$F$6:$H$1048576,MATCH($A259,added_new_stocks!$F$6:$F$1048576,0),3),"")</f>
        <v/>
      </c>
    </row>
    <row r="260" spans="63:63" x14ac:dyDescent="0.35">
      <c r="BK260" t="str">
        <f>IFERROR(INDEX(added_new_stocks!$F$6:$H$1048576,MATCH($A260,added_new_stocks!$F$6:$F$1048576,0),3),"")</f>
        <v/>
      </c>
    </row>
    <row r="261" spans="63:63" x14ac:dyDescent="0.35">
      <c r="BK261" t="str">
        <f>IFERROR(INDEX(added_new_stocks!$F$6:$H$1048576,MATCH($A261,added_new_stocks!$F$6:$F$1048576,0),3),"")</f>
        <v/>
      </c>
    </row>
    <row r="262" spans="63:63" x14ac:dyDescent="0.35">
      <c r="BK262" t="str">
        <f>IFERROR(INDEX(added_new_stocks!$F$6:$H$1048576,MATCH($A262,added_new_stocks!$F$6:$F$1048576,0),3),"")</f>
        <v/>
      </c>
    </row>
    <row r="263" spans="63:63" x14ac:dyDescent="0.35">
      <c r="BK263" t="str">
        <f>IFERROR(INDEX(added_new_stocks!$F$6:$H$1048576,MATCH($A263,added_new_stocks!$F$6:$F$1048576,0),3),"")</f>
        <v/>
      </c>
    </row>
    <row r="264" spans="63:63" x14ac:dyDescent="0.35">
      <c r="BK264" t="str">
        <f>IFERROR(INDEX(added_new_stocks!$F$6:$H$1048576,MATCH($A264,added_new_stocks!$F$6:$F$1048576,0),3),"")</f>
        <v/>
      </c>
    </row>
    <row r="265" spans="63:63" x14ac:dyDescent="0.35">
      <c r="BK265" t="str">
        <f>IFERROR(INDEX(added_new_stocks!$F$6:$H$1048576,MATCH($A265,added_new_stocks!$F$6:$F$1048576,0),3),"")</f>
        <v/>
      </c>
    </row>
    <row r="266" spans="63:63" x14ac:dyDescent="0.35">
      <c r="BK266" t="str">
        <f>IFERROR(INDEX(added_new_stocks!$F$6:$H$1048576,MATCH($A266,added_new_stocks!$F$6:$F$1048576,0),3),"")</f>
        <v/>
      </c>
    </row>
    <row r="267" spans="63:63" x14ac:dyDescent="0.35">
      <c r="BK267" t="str">
        <f>IFERROR(INDEX(added_new_stocks!$F$6:$H$1048576,MATCH($A267,added_new_stocks!$F$6:$F$1048576,0),3),"")</f>
        <v/>
      </c>
    </row>
    <row r="268" spans="63:63" x14ac:dyDescent="0.35">
      <c r="BK268" t="str">
        <f>IFERROR(INDEX(added_new_stocks!$F$6:$H$1048576,MATCH($A268,added_new_stocks!$F$6:$F$1048576,0),3),"")</f>
        <v/>
      </c>
    </row>
    <row r="269" spans="63:63" x14ac:dyDescent="0.35">
      <c r="BK269" t="str">
        <f>IFERROR(INDEX(added_new_stocks!$F$6:$H$1048576,MATCH($A269,added_new_stocks!$F$6:$F$1048576,0),3),"")</f>
        <v/>
      </c>
    </row>
    <row r="270" spans="63:63" x14ac:dyDescent="0.35">
      <c r="BK270" t="str">
        <f>IFERROR(INDEX(added_new_stocks!$F$6:$H$1048576,MATCH($A270,added_new_stocks!$F$6:$F$1048576,0),3),"")</f>
        <v/>
      </c>
    </row>
    <row r="271" spans="63:63" x14ac:dyDescent="0.35">
      <c r="BK271" t="str">
        <f>IFERROR(INDEX(added_new_stocks!$F$6:$H$1048576,MATCH($A271,added_new_stocks!$F$6:$F$1048576,0),3),"")</f>
        <v/>
      </c>
    </row>
    <row r="272" spans="63:63" x14ac:dyDescent="0.35">
      <c r="BK272" t="str">
        <f>IFERROR(INDEX(added_new_stocks!$F$6:$H$1048576,MATCH($A272,added_new_stocks!$F$6:$F$1048576,0),3),"")</f>
        <v/>
      </c>
    </row>
    <row r="273" spans="63:63" x14ac:dyDescent="0.35">
      <c r="BK273" t="str">
        <f>IFERROR(INDEX(added_new_stocks!$F$6:$H$1048576,MATCH($A273,added_new_stocks!$F$6:$F$1048576,0),3),"")</f>
        <v/>
      </c>
    </row>
    <row r="274" spans="63:63" x14ac:dyDescent="0.35">
      <c r="BK274" t="str">
        <f>IFERROR(INDEX(added_new_stocks!$F$6:$H$1048576,MATCH($A274,added_new_stocks!$F$6:$F$1048576,0),3),"")</f>
        <v/>
      </c>
    </row>
    <row r="275" spans="63:63" x14ac:dyDescent="0.35">
      <c r="BK275" t="str">
        <f>IFERROR(INDEX(added_new_stocks!$F$6:$H$1048576,MATCH($A275,added_new_stocks!$F$6:$F$1048576,0),3),"")</f>
        <v/>
      </c>
    </row>
    <row r="276" spans="63:63" x14ac:dyDescent="0.35">
      <c r="BK276" t="str">
        <f>IFERROR(INDEX(added_new_stocks!$F$6:$H$1048576,MATCH($A276,added_new_stocks!$F$6:$F$1048576,0),3),"")</f>
        <v/>
      </c>
    </row>
    <row r="277" spans="63:63" x14ac:dyDescent="0.35">
      <c r="BK277" t="str">
        <f>IFERROR(INDEX(added_new_stocks!$F$6:$H$1048576,MATCH($A277,added_new_stocks!$F$6:$F$1048576,0),3),"")</f>
        <v/>
      </c>
    </row>
    <row r="278" spans="63:63" x14ac:dyDescent="0.35">
      <c r="BK278" t="str">
        <f>IFERROR(INDEX(added_new_stocks!$F$6:$H$1048576,MATCH($A278,added_new_stocks!$F$6:$F$1048576,0),3),"")</f>
        <v/>
      </c>
    </row>
    <row r="279" spans="63:63" x14ac:dyDescent="0.35">
      <c r="BK279" t="str">
        <f>IFERROR(INDEX(added_new_stocks!$F$6:$H$1048576,MATCH($A279,added_new_stocks!$F$6:$F$1048576,0),3),"")</f>
        <v/>
      </c>
    </row>
    <row r="280" spans="63:63" x14ac:dyDescent="0.35">
      <c r="BK280" t="str">
        <f>IFERROR(INDEX(added_new_stocks!$F$6:$H$1048576,MATCH($A280,added_new_stocks!$F$6:$F$1048576,0),3),"")</f>
        <v/>
      </c>
    </row>
    <row r="281" spans="63:63" x14ac:dyDescent="0.35">
      <c r="BK281" t="str">
        <f>IFERROR(INDEX(added_new_stocks!$F$6:$H$1048576,MATCH($A281,added_new_stocks!$F$6:$F$1048576,0),3),"")</f>
        <v/>
      </c>
    </row>
    <row r="282" spans="63:63" x14ac:dyDescent="0.35">
      <c r="BK282" t="str">
        <f>IFERROR(INDEX(added_new_stocks!$F$6:$H$1048576,MATCH($A282,added_new_stocks!$F$6:$F$1048576,0),3),"")</f>
        <v/>
      </c>
    </row>
    <row r="283" spans="63:63" x14ac:dyDescent="0.35">
      <c r="BK283" t="str">
        <f>IFERROR(INDEX(added_new_stocks!$F$6:$H$1048576,MATCH($A283,added_new_stocks!$F$6:$F$1048576,0),3),"")</f>
        <v/>
      </c>
    </row>
    <row r="284" spans="63:63" x14ac:dyDescent="0.35">
      <c r="BK284" t="str">
        <f>IFERROR(INDEX(added_new_stocks!$F$6:$H$1048576,MATCH($A284,added_new_stocks!$F$6:$F$1048576,0),3),"")</f>
        <v/>
      </c>
    </row>
    <row r="285" spans="63:63" x14ac:dyDescent="0.35">
      <c r="BK285" t="str">
        <f>IFERROR(INDEX(added_new_stocks!$F$6:$H$1048576,MATCH($A285,added_new_stocks!$F$6:$F$1048576,0),3),"")</f>
        <v/>
      </c>
    </row>
    <row r="286" spans="63:63" x14ac:dyDescent="0.35">
      <c r="BK286" t="str">
        <f>IFERROR(INDEX(added_new_stocks!$F$6:$H$1048576,MATCH($A286,added_new_stocks!$F$6:$F$1048576,0),3),"")</f>
        <v/>
      </c>
    </row>
    <row r="287" spans="63:63" x14ac:dyDescent="0.35">
      <c r="BK287" t="str">
        <f>IFERROR(INDEX(added_new_stocks!$F$6:$H$1048576,MATCH($A287,added_new_stocks!$F$6:$F$1048576,0),3),"")</f>
        <v/>
      </c>
    </row>
    <row r="288" spans="63:63" x14ac:dyDescent="0.35">
      <c r="BK288" t="str">
        <f>IFERROR(INDEX(added_new_stocks!$F$6:$H$1048576,MATCH($A288,added_new_stocks!$F$6:$F$1048576,0),3),"")</f>
        <v/>
      </c>
    </row>
    <row r="289" spans="63:63" x14ac:dyDescent="0.35">
      <c r="BK289" t="str">
        <f>IFERROR(INDEX(added_new_stocks!$F$6:$H$1048576,MATCH($A289,added_new_stocks!$F$6:$F$1048576,0),3),"")</f>
        <v/>
      </c>
    </row>
    <row r="290" spans="63:63" x14ac:dyDescent="0.35">
      <c r="BK290" t="str">
        <f>IFERROR(INDEX(added_new_stocks!$F$6:$H$1048576,MATCH($A290,added_new_stocks!$F$6:$F$1048576,0),3),"")</f>
        <v/>
      </c>
    </row>
    <row r="291" spans="63:63" x14ac:dyDescent="0.35">
      <c r="BK291" t="str">
        <f>IFERROR(INDEX(added_new_stocks!$F$6:$H$1048576,MATCH($A291,added_new_stocks!$F$6:$F$1048576,0),3),"")</f>
        <v/>
      </c>
    </row>
    <row r="292" spans="63:63" x14ac:dyDescent="0.35">
      <c r="BK292" t="str">
        <f>IFERROR(INDEX(added_new_stocks!$F$6:$H$1048576,MATCH($A292,added_new_stocks!$F$6:$F$1048576,0),3),"")</f>
        <v/>
      </c>
    </row>
    <row r="293" spans="63:63" x14ac:dyDescent="0.35">
      <c r="BK293" t="str">
        <f>IFERROR(INDEX(added_new_stocks!$F$6:$H$1048576,MATCH($A293,added_new_stocks!$F$6:$F$1048576,0),3),"")</f>
        <v/>
      </c>
    </row>
    <row r="294" spans="63:63" x14ac:dyDescent="0.35">
      <c r="BK294" t="str">
        <f>IFERROR(INDEX(added_new_stocks!$F$6:$H$1048576,MATCH($A294,added_new_stocks!$F$6:$F$1048576,0),3),"")</f>
        <v/>
      </c>
    </row>
    <row r="295" spans="63:63" x14ac:dyDescent="0.35">
      <c r="BK295" t="str">
        <f>IFERROR(INDEX(added_new_stocks!$F$6:$H$1048576,MATCH($A295,added_new_stocks!$F$6:$F$1048576,0),3),"")</f>
        <v/>
      </c>
    </row>
    <row r="296" spans="63:63" x14ac:dyDescent="0.35">
      <c r="BK296" t="str">
        <f>IFERROR(INDEX(added_new_stocks!$F$6:$H$1048576,MATCH($A296,added_new_stocks!$F$6:$F$1048576,0),3),"")</f>
        <v/>
      </c>
    </row>
    <row r="297" spans="63:63" x14ac:dyDescent="0.35">
      <c r="BK297" t="str">
        <f>IFERROR(INDEX(added_new_stocks!$F$6:$H$1048576,MATCH($A297,added_new_stocks!$F$6:$F$1048576,0),3),"")</f>
        <v/>
      </c>
    </row>
    <row r="298" spans="63:63" x14ac:dyDescent="0.35">
      <c r="BK298" t="str">
        <f>IFERROR(INDEX(added_new_stocks!$F$6:$H$1048576,MATCH($A298,added_new_stocks!$F$6:$F$1048576,0),3),"")</f>
        <v/>
      </c>
    </row>
    <row r="299" spans="63:63" x14ac:dyDescent="0.35">
      <c r="BK299" t="str">
        <f>IFERROR(INDEX(added_new_stocks!$F$6:$H$1048576,MATCH($A299,added_new_stocks!$F$6:$F$1048576,0),3),"")</f>
        <v/>
      </c>
    </row>
    <row r="300" spans="63:63" x14ac:dyDescent="0.35">
      <c r="BK300" t="str">
        <f>IFERROR(INDEX(added_new_stocks!$F$6:$H$1048576,MATCH($A300,added_new_stocks!$F$6:$F$1048576,0),3),"")</f>
        <v/>
      </c>
    </row>
    <row r="301" spans="63:63" x14ac:dyDescent="0.35">
      <c r="BK301" t="str">
        <f>IFERROR(INDEX(added_new_stocks!$F$6:$H$1048576,MATCH($A301,added_new_stocks!$F$6:$F$1048576,0),3),"")</f>
        <v/>
      </c>
    </row>
    <row r="302" spans="63:63" x14ac:dyDescent="0.35">
      <c r="BK302" t="str">
        <f>IFERROR(INDEX(added_new_stocks!$F$6:$H$1048576,MATCH($A302,added_new_stocks!$F$6:$F$1048576,0),3),"")</f>
        <v/>
      </c>
    </row>
    <row r="303" spans="63:63" x14ac:dyDescent="0.35">
      <c r="BK303" t="str">
        <f>IFERROR(INDEX(added_new_stocks!$F$6:$H$1048576,MATCH($A303,added_new_stocks!$F$6:$F$1048576,0),3),"")</f>
        <v/>
      </c>
    </row>
    <row r="304" spans="63:63" x14ac:dyDescent="0.35">
      <c r="BK304" t="str">
        <f>IFERROR(INDEX(added_new_stocks!$F$6:$H$1048576,MATCH($A304,added_new_stocks!$F$6:$F$1048576,0),3),"")</f>
        <v/>
      </c>
    </row>
    <row r="305" spans="63:63" x14ac:dyDescent="0.35">
      <c r="BK305" t="str">
        <f>IFERROR(INDEX(added_new_stocks!$F$6:$H$1048576,MATCH($A305,added_new_stocks!$F$6:$F$1048576,0),3),"")</f>
        <v/>
      </c>
    </row>
    <row r="306" spans="63:63" x14ac:dyDescent="0.35">
      <c r="BK306" t="str">
        <f>IFERROR(INDEX(added_new_stocks!$F$6:$H$1048576,MATCH($A306,added_new_stocks!$F$6:$F$1048576,0),3),"")</f>
        <v/>
      </c>
    </row>
    <row r="307" spans="63:63" x14ac:dyDescent="0.35">
      <c r="BK307" t="str">
        <f>IFERROR(INDEX(added_new_stocks!$F$6:$H$1048576,MATCH($A307,added_new_stocks!$F$6:$F$1048576,0),3),"")</f>
        <v/>
      </c>
    </row>
    <row r="308" spans="63:63" x14ac:dyDescent="0.35">
      <c r="BK308" t="str">
        <f>IFERROR(INDEX(added_new_stocks!$F$6:$H$1048576,MATCH($A308,added_new_stocks!$F$6:$F$1048576,0),3),"")</f>
        <v/>
      </c>
    </row>
    <row r="309" spans="63:63" x14ac:dyDescent="0.35">
      <c r="BK309" t="str">
        <f>IFERROR(INDEX(added_new_stocks!$F$6:$H$1048576,MATCH($A309,added_new_stocks!$F$6:$F$1048576,0),3),"")</f>
        <v/>
      </c>
    </row>
    <row r="310" spans="63:63" x14ac:dyDescent="0.35">
      <c r="BK310" t="str">
        <f>IFERROR(INDEX(added_new_stocks!$F$6:$H$1048576,MATCH($A310,added_new_stocks!$F$6:$F$1048576,0),3),"")</f>
        <v/>
      </c>
    </row>
    <row r="311" spans="63:63" x14ac:dyDescent="0.35">
      <c r="BK311" t="str">
        <f>IFERROR(INDEX(added_new_stocks!$F$6:$H$1048576,MATCH($A311,added_new_stocks!$F$6:$F$1048576,0),3),"")</f>
        <v/>
      </c>
    </row>
    <row r="312" spans="63:63" x14ac:dyDescent="0.35">
      <c r="BK312" t="str">
        <f>IFERROR(INDEX(added_new_stocks!$F$6:$H$1048576,MATCH($A312,added_new_stocks!$F$6:$F$1048576,0),3),"")</f>
        <v/>
      </c>
    </row>
    <row r="313" spans="63:63" x14ac:dyDescent="0.35">
      <c r="BK313" t="str">
        <f>IFERROR(INDEX(added_new_stocks!$F$6:$H$1048576,MATCH($A313,added_new_stocks!$F$6:$F$1048576,0),3),"")</f>
        <v/>
      </c>
    </row>
    <row r="314" spans="63:63" x14ac:dyDescent="0.35">
      <c r="BK314" t="str">
        <f>IFERROR(INDEX(added_new_stocks!$F$6:$H$1048576,MATCH($A314,added_new_stocks!$F$6:$F$1048576,0),3),"")</f>
        <v/>
      </c>
    </row>
    <row r="315" spans="63:63" x14ac:dyDescent="0.35">
      <c r="BK315" t="str">
        <f>IFERROR(INDEX(added_new_stocks!$F$6:$H$1048576,MATCH($A315,added_new_stocks!$F$6:$F$1048576,0),3),"")</f>
        <v/>
      </c>
    </row>
    <row r="316" spans="63:63" x14ac:dyDescent="0.35">
      <c r="BK316" t="str">
        <f>IFERROR(INDEX(added_new_stocks!$F$6:$H$1048576,MATCH($A316,added_new_stocks!$F$6:$F$1048576,0),3),"")</f>
        <v/>
      </c>
    </row>
    <row r="317" spans="63:63" x14ac:dyDescent="0.35">
      <c r="BK317" t="str">
        <f>IFERROR(INDEX(added_new_stocks!$F$6:$H$1048576,MATCH($A317,added_new_stocks!$F$6:$F$1048576,0),3),"")</f>
        <v/>
      </c>
    </row>
    <row r="318" spans="63:63" x14ac:dyDescent="0.35">
      <c r="BK318" t="str">
        <f>IFERROR(INDEX(added_new_stocks!$F$6:$H$1048576,MATCH($A318,added_new_stocks!$F$6:$F$1048576,0),3),"")</f>
        <v/>
      </c>
    </row>
    <row r="319" spans="63:63" x14ac:dyDescent="0.35">
      <c r="BK319" t="str">
        <f>IFERROR(INDEX(added_new_stocks!$F$6:$H$1048576,MATCH($A319,added_new_stocks!$F$6:$F$1048576,0),3),"")</f>
        <v/>
      </c>
    </row>
    <row r="320" spans="63:63" x14ac:dyDescent="0.35">
      <c r="BK320" t="str">
        <f>IFERROR(INDEX(added_new_stocks!$F$6:$H$1048576,MATCH($A320,added_new_stocks!$F$6:$F$1048576,0),3),"")</f>
        <v/>
      </c>
    </row>
    <row r="321" spans="63:63" x14ac:dyDescent="0.35">
      <c r="BK321" t="str">
        <f>IFERROR(INDEX(added_new_stocks!$F$6:$H$1048576,MATCH($A321,added_new_stocks!$F$6:$F$1048576,0),3),"")</f>
        <v/>
      </c>
    </row>
    <row r="322" spans="63:63" x14ac:dyDescent="0.35">
      <c r="BK322" t="str">
        <f>IFERROR(INDEX(added_new_stocks!$F$6:$H$1048576,MATCH($A322,added_new_stocks!$F$6:$F$1048576,0),3),"")</f>
        <v/>
      </c>
    </row>
    <row r="323" spans="63:63" x14ac:dyDescent="0.35">
      <c r="BK323" t="str">
        <f>IFERROR(INDEX(added_new_stocks!$F$6:$H$1048576,MATCH($A323,added_new_stocks!$F$6:$F$1048576,0),3),"")</f>
        <v/>
      </c>
    </row>
    <row r="324" spans="63:63" x14ac:dyDescent="0.35">
      <c r="BK324" t="str">
        <f>IFERROR(INDEX(added_new_stocks!$F$6:$H$1048576,MATCH($A324,added_new_stocks!$F$6:$F$1048576,0),3),"")</f>
        <v/>
      </c>
    </row>
    <row r="325" spans="63:63" x14ac:dyDescent="0.35">
      <c r="BK325" t="str">
        <f>IFERROR(INDEX(added_new_stocks!$F$6:$H$1048576,MATCH($A325,added_new_stocks!$F$6:$F$1048576,0),3),"")</f>
        <v/>
      </c>
    </row>
    <row r="326" spans="63:63" x14ac:dyDescent="0.35">
      <c r="BK326" t="str">
        <f>IFERROR(INDEX(added_new_stocks!$F$6:$H$1048576,MATCH($A326,added_new_stocks!$F$6:$F$1048576,0),3),"")</f>
        <v/>
      </c>
    </row>
    <row r="327" spans="63:63" x14ac:dyDescent="0.35">
      <c r="BK327" t="str">
        <f>IFERROR(INDEX(added_new_stocks!$F$6:$H$1048576,MATCH($A327,added_new_stocks!$F$6:$F$1048576,0),3),"")</f>
        <v/>
      </c>
    </row>
    <row r="328" spans="63:63" x14ac:dyDescent="0.35">
      <c r="BK328" t="str">
        <f>IFERROR(INDEX(added_new_stocks!$F$6:$H$1048576,MATCH($A328,added_new_stocks!$F$6:$F$1048576,0),3),"")</f>
        <v/>
      </c>
    </row>
    <row r="329" spans="63:63" x14ac:dyDescent="0.35">
      <c r="BK329" t="str">
        <f>IFERROR(INDEX(added_new_stocks!$F$6:$H$1048576,MATCH($A329,added_new_stocks!$F$6:$F$1048576,0),3),"")</f>
        <v/>
      </c>
    </row>
    <row r="330" spans="63:63" x14ac:dyDescent="0.35">
      <c r="BK330" t="str">
        <f>IFERROR(INDEX(added_new_stocks!$F$6:$H$1048576,MATCH($A330,added_new_stocks!$F$6:$F$1048576,0),3),"")</f>
        <v/>
      </c>
    </row>
    <row r="331" spans="63:63" x14ac:dyDescent="0.35">
      <c r="BK331" t="str">
        <f>IFERROR(INDEX(added_new_stocks!$F$6:$H$1048576,MATCH($A331,added_new_stocks!$F$6:$F$1048576,0),3),"")</f>
        <v/>
      </c>
    </row>
    <row r="332" spans="63:63" x14ac:dyDescent="0.35">
      <c r="BK332" t="str">
        <f>IFERROR(INDEX(added_new_stocks!$F$6:$H$1048576,MATCH($A332,added_new_stocks!$F$6:$F$1048576,0),3),"")</f>
        <v/>
      </c>
    </row>
    <row r="333" spans="63:63" x14ac:dyDescent="0.35">
      <c r="BK333" t="str">
        <f>IFERROR(INDEX(added_new_stocks!$F$6:$H$1048576,MATCH($A333,added_new_stocks!$F$6:$F$1048576,0),3),"")</f>
        <v/>
      </c>
    </row>
    <row r="334" spans="63:63" x14ac:dyDescent="0.35">
      <c r="BK334" t="str">
        <f>IFERROR(INDEX(added_new_stocks!$F$6:$H$1048576,MATCH($A334,added_new_stocks!$F$6:$F$1048576,0),3),"")</f>
        <v/>
      </c>
    </row>
    <row r="335" spans="63:63" x14ac:dyDescent="0.35">
      <c r="BK335" t="str">
        <f>IFERROR(INDEX(added_new_stocks!$F$6:$H$1048576,MATCH($A335,added_new_stocks!$F$6:$F$1048576,0),3),"")</f>
        <v/>
      </c>
    </row>
    <row r="336" spans="63:63" x14ac:dyDescent="0.35">
      <c r="BK336" t="str">
        <f>IFERROR(INDEX(added_new_stocks!$F$6:$H$1048576,MATCH($A336,added_new_stocks!$F$6:$F$1048576,0),3),"")</f>
        <v/>
      </c>
    </row>
    <row r="337" spans="63:63" x14ac:dyDescent="0.35">
      <c r="BK337" t="str">
        <f>IFERROR(INDEX(added_new_stocks!$F$6:$H$1048576,MATCH($A337,added_new_stocks!$F$6:$F$1048576,0),3),"")</f>
        <v/>
      </c>
    </row>
    <row r="338" spans="63:63" x14ac:dyDescent="0.35">
      <c r="BK338" t="str">
        <f>IFERROR(INDEX(added_new_stocks!$F$6:$H$1048576,MATCH($A338,added_new_stocks!$F$6:$F$1048576,0),3),"")</f>
        <v/>
      </c>
    </row>
    <row r="339" spans="63:63" x14ac:dyDescent="0.35">
      <c r="BK339" t="str">
        <f>IFERROR(INDEX(added_new_stocks!$F$6:$H$1048576,MATCH($A339,added_new_stocks!$F$6:$F$1048576,0),3),"")</f>
        <v/>
      </c>
    </row>
    <row r="340" spans="63:63" x14ac:dyDescent="0.35">
      <c r="BK340" t="str">
        <f>IFERROR(INDEX(added_new_stocks!$F$6:$H$1048576,MATCH($A340,added_new_stocks!$F$6:$F$1048576,0),3),"")</f>
        <v/>
      </c>
    </row>
    <row r="341" spans="63:63" x14ac:dyDescent="0.35">
      <c r="BK341" t="str">
        <f>IFERROR(INDEX(added_new_stocks!$F$6:$H$1048576,MATCH($A341,added_new_stocks!$F$6:$F$1048576,0),3),"")</f>
        <v/>
      </c>
    </row>
    <row r="342" spans="63:63" x14ac:dyDescent="0.35">
      <c r="BK342" t="str">
        <f>IFERROR(INDEX(added_new_stocks!$F$6:$H$1048576,MATCH($A342,added_new_stocks!$F$6:$F$1048576,0),3),"")</f>
        <v/>
      </c>
    </row>
    <row r="343" spans="63:63" x14ac:dyDescent="0.35">
      <c r="BK343" t="str">
        <f>IFERROR(INDEX(added_new_stocks!$F$6:$H$1048576,MATCH($A343,added_new_stocks!$F$6:$F$1048576,0),3),"")</f>
        <v/>
      </c>
    </row>
    <row r="344" spans="63:63" x14ac:dyDescent="0.35">
      <c r="BK344" t="str">
        <f>IFERROR(INDEX(added_new_stocks!$F$6:$H$1048576,MATCH($A344,added_new_stocks!$F$6:$F$1048576,0),3),"")</f>
        <v/>
      </c>
    </row>
    <row r="345" spans="63:63" x14ac:dyDescent="0.35">
      <c r="BK345" t="str">
        <f>IFERROR(INDEX(added_new_stocks!$F$6:$H$1048576,MATCH($A345,added_new_stocks!$F$6:$F$1048576,0),3),"")</f>
        <v/>
      </c>
    </row>
    <row r="346" spans="63:63" x14ac:dyDescent="0.35">
      <c r="BK346" t="str">
        <f>IFERROR(INDEX(added_new_stocks!$F$6:$H$1048576,MATCH($A346,added_new_stocks!$F$6:$F$1048576,0),3),"")</f>
        <v/>
      </c>
    </row>
    <row r="347" spans="63:63" x14ac:dyDescent="0.35">
      <c r="BK347" t="str">
        <f>IFERROR(INDEX(added_new_stocks!$F$6:$H$1048576,MATCH($A347,added_new_stocks!$F$6:$F$1048576,0),3),"")</f>
        <v/>
      </c>
    </row>
    <row r="348" spans="63:63" x14ac:dyDescent="0.35">
      <c r="BK348" t="str">
        <f>IFERROR(INDEX(added_new_stocks!$F$6:$H$1048576,MATCH($A348,added_new_stocks!$F$6:$F$1048576,0),3),"")</f>
        <v/>
      </c>
    </row>
    <row r="349" spans="63:63" x14ac:dyDescent="0.35">
      <c r="BK349" t="str">
        <f>IFERROR(INDEX(added_new_stocks!$F$6:$H$1048576,MATCH($A349,added_new_stocks!$F$6:$F$1048576,0),3),"")</f>
        <v/>
      </c>
    </row>
    <row r="350" spans="63:63" x14ac:dyDescent="0.35">
      <c r="BK350" t="str">
        <f>IFERROR(INDEX(added_new_stocks!$F$6:$H$1048576,MATCH($A350,added_new_stocks!$F$6:$F$1048576,0),3),"")</f>
        <v/>
      </c>
    </row>
    <row r="351" spans="63:63" x14ac:dyDescent="0.35">
      <c r="BK351" t="str">
        <f>IFERROR(INDEX(added_new_stocks!$F$6:$H$1048576,MATCH($A351,added_new_stocks!$F$6:$F$1048576,0),3),"")</f>
        <v/>
      </c>
    </row>
    <row r="352" spans="63:63" x14ac:dyDescent="0.35">
      <c r="BK352" t="str">
        <f>IFERROR(INDEX(added_new_stocks!$F$6:$H$1048576,MATCH($A352,added_new_stocks!$F$6:$F$1048576,0),3),"")</f>
        <v/>
      </c>
    </row>
    <row r="353" spans="63:63" x14ac:dyDescent="0.35">
      <c r="BK353" t="str">
        <f>IFERROR(INDEX(added_new_stocks!$F$6:$H$1048576,MATCH($A353,added_new_stocks!$F$6:$F$1048576,0),3),"")</f>
        <v/>
      </c>
    </row>
    <row r="354" spans="63:63" x14ac:dyDescent="0.35">
      <c r="BK354" t="str">
        <f>IFERROR(INDEX(added_new_stocks!$F$6:$H$1048576,MATCH($A354,added_new_stocks!$F$6:$F$1048576,0),3),"")</f>
        <v/>
      </c>
    </row>
    <row r="355" spans="63:63" x14ac:dyDescent="0.35">
      <c r="BK355" t="str">
        <f>IFERROR(INDEX(added_new_stocks!$F$6:$H$1048576,MATCH($A355,added_new_stocks!$F$6:$F$1048576,0),3),"")</f>
        <v/>
      </c>
    </row>
    <row r="356" spans="63:63" x14ac:dyDescent="0.35">
      <c r="BK356" t="str">
        <f>IFERROR(INDEX(added_new_stocks!$F$6:$H$1048576,MATCH($A356,added_new_stocks!$F$6:$F$1048576,0),3),"")</f>
        <v/>
      </c>
    </row>
    <row r="357" spans="63:63" x14ac:dyDescent="0.35">
      <c r="BK357" t="str">
        <f>IFERROR(INDEX(added_new_stocks!$F$6:$H$1048576,MATCH($A357,added_new_stocks!$F$6:$F$1048576,0),3),"")</f>
        <v/>
      </c>
    </row>
    <row r="358" spans="63:63" x14ac:dyDescent="0.35">
      <c r="BK358" t="str">
        <f>IFERROR(INDEX(added_new_stocks!$F$6:$H$1048576,MATCH($A358,added_new_stocks!$F$6:$F$1048576,0),3),"")</f>
        <v/>
      </c>
    </row>
    <row r="359" spans="63:63" x14ac:dyDescent="0.35">
      <c r="BK359" t="str">
        <f>IFERROR(INDEX(added_new_stocks!$F$6:$H$1048576,MATCH($A359,added_new_stocks!$F$6:$F$1048576,0),3),"")</f>
        <v/>
      </c>
    </row>
    <row r="360" spans="63:63" x14ac:dyDescent="0.35">
      <c r="BK360" t="str">
        <f>IFERROR(INDEX(added_new_stocks!$F$6:$H$1048576,MATCH($A360,added_new_stocks!$F$6:$F$1048576,0),3),"")</f>
        <v/>
      </c>
    </row>
    <row r="361" spans="63:63" x14ac:dyDescent="0.35">
      <c r="BK361" t="str">
        <f>IFERROR(INDEX(added_new_stocks!$F$6:$H$1048576,MATCH($A361,added_new_stocks!$F$6:$F$1048576,0),3),"")</f>
        <v/>
      </c>
    </row>
    <row r="362" spans="63:63" x14ac:dyDescent="0.35">
      <c r="BK362" t="str">
        <f>IFERROR(INDEX(added_new_stocks!$F$6:$H$1048576,MATCH($A362,added_new_stocks!$F$6:$F$1048576,0),3),"")</f>
        <v/>
      </c>
    </row>
    <row r="363" spans="63:63" x14ac:dyDescent="0.35">
      <c r="BK363" t="str">
        <f>IFERROR(INDEX(added_new_stocks!$F$6:$H$1048576,MATCH($A363,added_new_stocks!$F$6:$F$1048576,0),3),"")</f>
        <v/>
      </c>
    </row>
    <row r="364" spans="63:63" x14ac:dyDescent="0.35">
      <c r="BK364" t="str">
        <f>IFERROR(INDEX(added_new_stocks!$F$6:$H$1048576,MATCH($A364,added_new_stocks!$F$6:$F$1048576,0),3),"")</f>
        <v/>
      </c>
    </row>
    <row r="365" spans="63:63" x14ac:dyDescent="0.35">
      <c r="BK365" t="str">
        <f>IFERROR(INDEX(added_new_stocks!$F$6:$H$1048576,MATCH($A365,added_new_stocks!$F$6:$F$1048576,0),3),"")</f>
        <v/>
      </c>
    </row>
    <row r="366" spans="63:63" x14ac:dyDescent="0.35">
      <c r="BK366" t="str">
        <f>IFERROR(INDEX(added_new_stocks!$F$6:$H$1048576,MATCH($A366,added_new_stocks!$F$6:$F$1048576,0),3),"")</f>
        <v/>
      </c>
    </row>
    <row r="367" spans="63:63" x14ac:dyDescent="0.35">
      <c r="BK367" t="str">
        <f>IFERROR(INDEX(added_new_stocks!$F$6:$H$1048576,MATCH($A367,added_new_stocks!$F$6:$F$1048576,0),3),"")</f>
        <v/>
      </c>
    </row>
    <row r="368" spans="63:63" x14ac:dyDescent="0.35">
      <c r="BK368" t="str">
        <f>IFERROR(INDEX(added_new_stocks!$F$6:$H$1048576,MATCH($A368,added_new_stocks!$F$6:$F$1048576,0),3),"")</f>
        <v/>
      </c>
    </row>
    <row r="369" spans="63:63" x14ac:dyDescent="0.35">
      <c r="BK369" t="str">
        <f>IFERROR(INDEX(added_new_stocks!$F$6:$H$1048576,MATCH($A369,added_new_stocks!$F$6:$F$1048576,0),3),"")</f>
        <v/>
      </c>
    </row>
    <row r="370" spans="63:63" x14ac:dyDescent="0.35">
      <c r="BK370" t="str">
        <f>IFERROR(INDEX(added_new_stocks!$F$6:$H$1048576,MATCH($A370,added_new_stocks!$F$6:$F$1048576,0),3),"")</f>
        <v/>
      </c>
    </row>
    <row r="371" spans="63:63" x14ac:dyDescent="0.35">
      <c r="BK371" t="str">
        <f>IFERROR(INDEX(added_new_stocks!$F$6:$H$1048576,MATCH($A371,added_new_stocks!$F$6:$F$1048576,0),3),"")</f>
        <v/>
      </c>
    </row>
    <row r="372" spans="63:63" x14ac:dyDescent="0.35">
      <c r="BK372" t="str">
        <f>IFERROR(INDEX(added_new_stocks!$F$6:$H$1048576,MATCH($A372,added_new_stocks!$F$6:$F$1048576,0),3),"")</f>
        <v/>
      </c>
    </row>
    <row r="373" spans="63:63" x14ac:dyDescent="0.35">
      <c r="BK373" t="str">
        <f>IFERROR(INDEX(added_new_stocks!$F$6:$H$1048576,MATCH($A373,added_new_stocks!$F$6:$F$1048576,0),3),"")</f>
        <v/>
      </c>
    </row>
    <row r="374" spans="63:63" x14ac:dyDescent="0.35">
      <c r="BK374" t="str">
        <f>IFERROR(INDEX(added_new_stocks!$F$6:$H$1048576,MATCH($A374,added_new_stocks!$F$6:$F$1048576,0),3),"")</f>
        <v/>
      </c>
    </row>
    <row r="375" spans="63:63" x14ac:dyDescent="0.35">
      <c r="BK375" t="str">
        <f>IFERROR(INDEX(added_new_stocks!$F$6:$H$1048576,MATCH($A375,added_new_stocks!$F$6:$F$1048576,0),3),"")</f>
        <v/>
      </c>
    </row>
    <row r="376" spans="63:63" x14ac:dyDescent="0.35">
      <c r="BK376" t="str">
        <f>IFERROR(INDEX(added_new_stocks!$F$6:$H$1048576,MATCH($A376,added_new_stocks!$F$6:$F$1048576,0),3),"")</f>
        <v/>
      </c>
    </row>
    <row r="377" spans="63:63" x14ac:dyDescent="0.35">
      <c r="BK377" t="str">
        <f>IFERROR(INDEX(added_new_stocks!$F$6:$H$1048576,MATCH($A377,added_new_stocks!$F$6:$F$1048576,0),3),"")</f>
        <v/>
      </c>
    </row>
    <row r="378" spans="63:63" x14ac:dyDescent="0.35">
      <c r="BK378" t="str">
        <f>IFERROR(INDEX(added_new_stocks!$F$6:$H$1048576,MATCH($A378,added_new_stocks!$F$6:$F$1048576,0),3),"")</f>
        <v/>
      </c>
    </row>
    <row r="379" spans="63:63" x14ac:dyDescent="0.35">
      <c r="BK379" t="str">
        <f>IFERROR(INDEX(added_new_stocks!$F$6:$H$1048576,MATCH($A379,added_new_stocks!$F$6:$F$1048576,0),3),"")</f>
        <v/>
      </c>
    </row>
    <row r="380" spans="63:63" x14ac:dyDescent="0.35">
      <c r="BK380" t="str">
        <f>IFERROR(INDEX(added_new_stocks!$F$6:$H$1048576,MATCH($A380,added_new_stocks!$F$6:$F$1048576,0),3),"")</f>
        <v/>
      </c>
    </row>
    <row r="381" spans="63:63" x14ac:dyDescent="0.35">
      <c r="BK381" t="str">
        <f>IFERROR(INDEX(added_new_stocks!$F$6:$H$1048576,MATCH($A381,added_new_stocks!$F$6:$F$1048576,0),3),"")</f>
        <v/>
      </c>
    </row>
    <row r="382" spans="63:63" x14ac:dyDescent="0.35">
      <c r="BK382" t="str">
        <f>IFERROR(INDEX(added_new_stocks!$F$6:$H$1048576,MATCH($A382,added_new_stocks!$F$6:$F$1048576,0),3),"")</f>
        <v/>
      </c>
    </row>
    <row r="383" spans="63:63" x14ac:dyDescent="0.35">
      <c r="BK383" t="str">
        <f>IFERROR(INDEX(added_new_stocks!$F$6:$H$1048576,MATCH($A383,added_new_stocks!$F$6:$F$1048576,0),3),"")</f>
        <v/>
      </c>
    </row>
    <row r="384" spans="63:63" x14ac:dyDescent="0.35">
      <c r="BK384" t="str">
        <f>IFERROR(INDEX(added_new_stocks!$F$6:$H$1048576,MATCH($A384,added_new_stocks!$F$6:$F$1048576,0),3),"")</f>
        <v/>
      </c>
    </row>
    <row r="385" spans="63:63" x14ac:dyDescent="0.35">
      <c r="BK385" t="str">
        <f>IFERROR(INDEX(added_new_stocks!$F$6:$H$1048576,MATCH($A385,added_new_stocks!$F$6:$F$1048576,0),3),"")</f>
        <v/>
      </c>
    </row>
    <row r="386" spans="63:63" x14ac:dyDescent="0.35">
      <c r="BK386" t="str">
        <f>IFERROR(INDEX(added_new_stocks!$F$6:$H$1048576,MATCH($A386,added_new_stocks!$F$6:$F$1048576,0),3),"")</f>
        <v/>
      </c>
    </row>
    <row r="387" spans="63:63" x14ac:dyDescent="0.35">
      <c r="BK387" t="str">
        <f>IFERROR(INDEX(added_new_stocks!$F$6:$H$1048576,MATCH($A387,added_new_stocks!$F$6:$F$1048576,0),3),"")</f>
        <v/>
      </c>
    </row>
    <row r="388" spans="63:63" x14ac:dyDescent="0.35">
      <c r="BK388" t="str">
        <f>IFERROR(INDEX(added_new_stocks!$F$6:$H$1048576,MATCH($A388,added_new_stocks!$F$6:$F$1048576,0),3),"")</f>
        <v/>
      </c>
    </row>
    <row r="389" spans="63:63" x14ac:dyDescent="0.35">
      <c r="BK389" t="str">
        <f>IFERROR(INDEX(added_new_stocks!$F$6:$H$1048576,MATCH($A389,added_new_stocks!$F$6:$F$1048576,0),3),"")</f>
        <v/>
      </c>
    </row>
    <row r="390" spans="63:63" x14ac:dyDescent="0.35">
      <c r="BK390" t="str">
        <f>IFERROR(INDEX(added_new_stocks!$F$6:$H$1048576,MATCH($A390,added_new_stocks!$F$6:$F$1048576,0),3),"")</f>
        <v/>
      </c>
    </row>
    <row r="391" spans="63:63" x14ac:dyDescent="0.35">
      <c r="BK391" t="str">
        <f>IFERROR(INDEX(added_new_stocks!$F$6:$H$1048576,MATCH($A391,added_new_stocks!$F$6:$F$1048576,0),3),"")</f>
        <v/>
      </c>
    </row>
    <row r="392" spans="63:63" x14ac:dyDescent="0.35">
      <c r="BK392" t="str">
        <f>IFERROR(INDEX(added_new_stocks!$F$6:$H$1048576,MATCH($A392,added_new_stocks!$F$6:$F$1048576,0),3),"")</f>
        <v/>
      </c>
    </row>
    <row r="393" spans="63:63" x14ac:dyDescent="0.35">
      <c r="BK393" t="str">
        <f>IFERROR(INDEX(added_new_stocks!$F$6:$H$1048576,MATCH($A393,added_new_stocks!$F$6:$F$1048576,0),3),"")</f>
        <v/>
      </c>
    </row>
    <row r="394" spans="63:63" x14ac:dyDescent="0.35">
      <c r="BK394" t="str">
        <f>IFERROR(INDEX(added_new_stocks!$F$6:$H$1048576,MATCH($A394,added_new_stocks!$F$6:$F$1048576,0),3),"")</f>
        <v/>
      </c>
    </row>
    <row r="395" spans="63:63" x14ac:dyDescent="0.35">
      <c r="BK395" t="str">
        <f>IFERROR(INDEX(added_new_stocks!$F$6:$H$1048576,MATCH($A395,added_new_stocks!$F$6:$F$1048576,0),3),"")</f>
        <v/>
      </c>
    </row>
    <row r="396" spans="63:63" x14ac:dyDescent="0.35">
      <c r="BK396" t="str">
        <f>IFERROR(INDEX(added_new_stocks!$F$6:$H$1048576,MATCH($A396,added_new_stocks!$F$6:$F$1048576,0),3),"")</f>
        <v/>
      </c>
    </row>
    <row r="397" spans="63:63" x14ac:dyDescent="0.35">
      <c r="BK397" t="str">
        <f>IFERROR(INDEX(added_new_stocks!$F$6:$H$1048576,MATCH($A397,added_new_stocks!$F$6:$F$1048576,0),3),"")</f>
        <v/>
      </c>
    </row>
    <row r="398" spans="63:63" x14ac:dyDescent="0.35">
      <c r="BK398" t="str">
        <f>IFERROR(INDEX(added_new_stocks!$F$6:$H$1048576,MATCH($A398,added_new_stocks!$F$6:$F$1048576,0),3),"")</f>
        <v/>
      </c>
    </row>
    <row r="399" spans="63:63" x14ac:dyDescent="0.35">
      <c r="BK399" t="str">
        <f>IFERROR(INDEX(added_new_stocks!$F$6:$H$1048576,MATCH($A399,added_new_stocks!$F$6:$F$1048576,0),3),"")</f>
        <v/>
      </c>
    </row>
    <row r="400" spans="63:63" x14ac:dyDescent="0.35">
      <c r="BK400" t="str">
        <f>IFERROR(INDEX(added_new_stocks!$F$6:$H$1048576,MATCH($A400,added_new_stocks!$F$6:$F$1048576,0),3),"")</f>
        <v/>
      </c>
    </row>
    <row r="401" spans="63:63" x14ac:dyDescent="0.35">
      <c r="BK401" t="str">
        <f>IFERROR(INDEX(added_new_stocks!$F$6:$H$1048576,MATCH($A401,added_new_stocks!$F$6:$F$1048576,0),3),"")</f>
        <v/>
      </c>
    </row>
    <row r="402" spans="63:63" x14ac:dyDescent="0.35">
      <c r="BK402" t="str">
        <f>IFERROR(INDEX(added_new_stocks!$F$6:$H$1048576,MATCH($A402,added_new_stocks!$F$6:$F$1048576,0),3),"")</f>
        <v/>
      </c>
    </row>
    <row r="403" spans="63:63" x14ac:dyDescent="0.35">
      <c r="BK403" t="str">
        <f>IFERROR(INDEX(added_new_stocks!$F$6:$H$1048576,MATCH($A403,added_new_stocks!$F$6:$F$1048576,0),3),"")</f>
        <v/>
      </c>
    </row>
    <row r="404" spans="63:63" x14ac:dyDescent="0.35">
      <c r="BK404" t="str">
        <f>IFERROR(INDEX(added_new_stocks!$F$6:$H$1048576,MATCH($A404,added_new_stocks!$F$6:$F$1048576,0),3),"")</f>
        <v/>
      </c>
    </row>
    <row r="405" spans="63:63" x14ac:dyDescent="0.35">
      <c r="BK405" t="str">
        <f>IFERROR(INDEX(added_new_stocks!$F$6:$H$1048576,MATCH($A405,added_new_stocks!$F$6:$F$1048576,0),3),"")</f>
        <v/>
      </c>
    </row>
    <row r="406" spans="63:63" x14ac:dyDescent="0.35">
      <c r="BK406" t="str">
        <f>IFERROR(INDEX(added_new_stocks!$F$6:$H$1048576,MATCH($A406,added_new_stocks!$F$6:$F$1048576,0),3),"")</f>
        <v/>
      </c>
    </row>
    <row r="407" spans="63:63" x14ac:dyDescent="0.35">
      <c r="BK407" t="str">
        <f>IFERROR(INDEX(added_new_stocks!$F$6:$H$1048576,MATCH($A407,added_new_stocks!$F$6:$F$1048576,0),3),"")</f>
        <v/>
      </c>
    </row>
    <row r="408" spans="63:63" x14ac:dyDescent="0.35">
      <c r="BK408" t="str">
        <f>IFERROR(INDEX(added_new_stocks!$F$6:$H$1048576,MATCH($A408,added_new_stocks!$F$6:$F$1048576,0),3),"")</f>
        <v/>
      </c>
    </row>
    <row r="409" spans="63:63" x14ac:dyDescent="0.35">
      <c r="BK409" t="str">
        <f>IFERROR(INDEX(added_new_stocks!$F$6:$H$1048576,MATCH($A409,added_new_stocks!$F$6:$F$1048576,0),3),"")</f>
        <v/>
      </c>
    </row>
    <row r="410" spans="63:63" x14ac:dyDescent="0.35">
      <c r="BK410" t="str">
        <f>IFERROR(INDEX(added_new_stocks!$F$6:$H$1048576,MATCH($A410,added_new_stocks!$F$6:$F$1048576,0),3),"")</f>
        <v/>
      </c>
    </row>
    <row r="411" spans="63:63" x14ac:dyDescent="0.35">
      <c r="BK411" t="str">
        <f>IFERROR(INDEX(added_new_stocks!$F$6:$H$1048576,MATCH($A411,added_new_stocks!$F$6:$F$1048576,0),3),"")</f>
        <v/>
      </c>
    </row>
    <row r="412" spans="63:63" x14ac:dyDescent="0.35">
      <c r="BK412" t="str">
        <f>IFERROR(INDEX(added_new_stocks!$F$6:$H$1048576,MATCH($A412,added_new_stocks!$F$6:$F$1048576,0),3),"")</f>
        <v/>
      </c>
    </row>
    <row r="413" spans="63:63" x14ac:dyDescent="0.35">
      <c r="BK413" t="str">
        <f>IFERROR(INDEX(added_new_stocks!$F$6:$H$1048576,MATCH($A413,added_new_stocks!$F$6:$F$1048576,0),3),"")</f>
        <v/>
      </c>
    </row>
    <row r="414" spans="63:63" x14ac:dyDescent="0.35">
      <c r="BK414" t="str">
        <f>IFERROR(INDEX(added_new_stocks!$F$6:$H$1048576,MATCH($A414,added_new_stocks!$F$6:$F$1048576,0),3),"")</f>
        <v/>
      </c>
    </row>
    <row r="415" spans="63:63" x14ac:dyDescent="0.35">
      <c r="BK415" t="str">
        <f>IFERROR(INDEX(added_new_stocks!$F$6:$H$1048576,MATCH($A415,added_new_stocks!$F$6:$F$1048576,0),3),"")</f>
        <v/>
      </c>
    </row>
    <row r="416" spans="63:63" x14ac:dyDescent="0.35">
      <c r="BK416" t="str">
        <f>IFERROR(INDEX(added_new_stocks!$F$6:$H$1048576,MATCH($A416,added_new_stocks!$F$6:$F$1048576,0),3),"")</f>
        <v/>
      </c>
    </row>
    <row r="417" spans="63:63" x14ac:dyDescent="0.35">
      <c r="BK417" t="str">
        <f>IFERROR(INDEX(added_new_stocks!$F$6:$H$1048576,MATCH($A417,added_new_stocks!$F$6:$F$1048576,0),3),"")</f>
        <v/>
      </c>
    </row>
    <row r="418" spans="63:63" x14ac:dyDescent="0.35">
      <c r="BK418" t="str">
        <f>IFERROR(INDEX(added_new_stocks!$F$6:$H$1048576,MATCH($A418,added_new_stocks!$F$6:$F$1048576,0),3),"")</f>
        <v/>
      </c>
    </row>
    <row r="419" spans="63:63" x14ac:dyDescent="0.35">
      <c r="BK419" t="str">
        <f>IFERROR(INDEX(added_new_stocks!$F$6:$H$1048576,MATCH($A419,added_new_stocks!$F$6:$F$1048576,0),3),"")</f>
        <v/>
      </c>
    </row>
    <row r="420" spans="63:63" x14ac:dyDescent="0.35">
      <c r="BK420" t="str">
        <f>IFERROR(INDEX(added_new_stocks!$F$6:$H$1048576,MATCH($A420,added_new_stocks!$F$6:$F$1048576,0),3),"")</f>
        <v/>
      </c>
    </row>
    <row r="421" spans="63:63" x14ac:dyDescent="0.35">
      <c r="BK421" t="str">
        <f>IFERROR(INDEX(added_new_stocks!$F$6:$H$1048576,MATCH($A421,added_new_stocks!$F$6:$F$1048576,0),3),"")</f>
        <v/>
      </c>
    </row>
    <row r="422" spans="63:63" x14ac:dyDescent="0.35">
      <c r="BK422" t="str">
        <f>IFERROR(INDEX(added_new_stocks!$F$6:$H$1048576,MATCH($A422,added_new_stocks!$F$6:$F$1048576,0),3),"")</f>
        <v/>
      </c>
    </row>
    <row r="423" spans="63:63" x14ac:dyDescent="0.35">
      <c r="BK423" t="str">
        <f>IFERROR(INDEX(added_new_stocks!$F$6:$H$1048576,MATCH($A423,added_new_stocks!$F$6:$F$1048576,0),3),"")</f>
        <v/>
      </c>
    </row>
    <row r="424" spans="63:63" x14ac:dyDescent="0.35">
      <c r="BK424" t="str">
        <f>IFERROR(INDEX(added_new_stocks!$F$6:$H$1048576,MATCH($A424,added_new_stocks!$F$6:$F$1048576,0),3),"")</f>
        <v/>
      </c>
    </row>
    <row r="425" spans="63:63" x14ac:dyDescent="0.35">
      <c r="BK425" t="str">
        <f>IFERROR(INDEX(added_new_stocks!$F$6:$H$1048576,MATCH($A425,added_new_stocks!$F$6:$F$1048576,0),3),"")</f>
        <v/>
      </c>
    </row>
    <row r="426" spans="63:63" x14ac:dyDescent="0.35">
      <c r="BK426" t="str">
        <f>IFERROR(INDEX(added_new_stocks!$F$6:$H$1048576,MATCH($A426,added_new_stocks!$F$6:$F$1048576,0),3),"")</f>
        <v/>
      </c>
    </row>
    <row r="427" spans="63:63" x14ac:dyDescent="0.35">
      <c r="BK427" t="str">
        <f>IFERROR(INDEX(added_new_stocks!$F$6:$H$1048576,MATCH($A427,added_new_stocks!$F$6:$F$1048576,0),3),"")</f>
        <v/>
      </c>
    </row>
    <row r="428" spans="63:63" x14ac:dyDescent="0.35">
      <c r="BK428" t="str">
        <f>IFERROR(INDEX(added_new_stocks!$F$6:$H$1048576,MATCH($A428,added_new_stocks!$F$6:$F$1048576,0),3),"")</f>
        <v/>
      </c>
    </row>
    <row r="429" spans="63:63" x14ac:dyDescent="0.35">
      <c r="BK429" t="str">
        <f>IFERROR(INDEX(added_new_stocks!$F$6:$H$1048576,MATCH($A429,added_new_stocks!$F$6:$F$1048576,0),3),"")</f>
        <v/>
      </c>
    </row>
    <row r="430" spans="63:63" x14ac:dyDescent="0.35">
      <c r="BK430" t="str">
        <f>IFERROR(INDEX(added_new_stocks!$F$6:$H$1048576,MATCH($A430,added_new_stocks!$F$6:$F$1048576,0),3),"")</f>
        <v/>
      </c>
    </row>
    <row r="431" spans="63:63" x14ac:dyDescent="0.35">
      <c r="BK431" t="str">
        <f>IFERROR(INDEX(added_new_stocks!$F$6:$H$1048576,MATCH($A431,added_new_stocks!$F$6:$F$1048576,0),3),"")</f>
        <v/>
      </c>
    </row>
    <row r="432" spans="63:63" x14ac:dyDescent="0.35">
      <c r="BK432" t="str">
        <f>IFERROR(INDEX(added_new_stocks!$F$6:$H$1048576,MATCH($A432,added_new_stocks!$F$6:$F$1048576,0),3),"")</f>
        <v/>
      </c>
    </row>
    <row r="433" spans="63:63" x14ac:dyDescent="0.35">
      <c r="BK433" t="str">
        <f>IFERROR(INDEX(added_new_stocks!$F$6:$H$1048576,MATCH($A433,added_new_stocks!$F$6:$F$1048576,0),3),"")</f>
        <v/>
      </c>
    </row>
    <row r="434" spans="63:63" x14ac:dyDescent="0.35">
      <c r="BK434" t="str">
        <f>IFERROR(INDEX(added_new_stocks!$F$6:$H$1048576,MATCH($A434,added_new_stocks!$F$6:$F$1048576,0),3),"")</f>
        <v/>
      </c>
    </row>
    <row r="435" spans="63:63" x14ac:dyDescent="0.35">
      <c r="BK435" t="str">
        <f>IFERROR(INDEX(added_new_stocks!$F$6:$H$1048576,MATCH($A435,added_new_stocks!$F$6:$F$1048576,0),3),"")</f>
        <v/>
      </c>
    </row>
    <row r="436" spans="63:63" x14ac:dyDescent="0.35">
      <c r="BK436" t="str">
        <f>IFERROR(INDEX(added_new_stocks!$F$6:$H$1048576,MATCH($A436,added_new_stocks!$F$6:$F$1048576,0),3),"")</f>
        <v/>
      </c>
    </row>
    <row r="437" spans="63:63" x14ac:dyDescent="0.35">
      <c r="BK437" t="str">
        <f>IFERROR(INDEX(added_new_stocks!$F$6:$H$1048576,MATCH($A437,added_new_stocks!$F$6:$F$1048576,0),3),"")</f>
        <v/>
      </c>
    </row>
    <row r="438" spans="63:63" x14ac:dyDescent="0.35">
      <c r="BK438" t="str">
        <f>IFERROR(INDEX(added_new_stocks!$F$6:$H$1048576,MATCH($A438,added_new_stocks!$F$6:$F$1048576,0),3),"")</f>
        <v/>
      </c>
    </row>
    <row r="439" spans="63:63" x14ac:dyDescent="0.35">
      <c r="BK439" t="str">
        <f>IFERROR(INDEX(added_new_stocks!$F$6:$H$1048576,MATCH($A439,added_new_stocks!$F$6:$F$1048576,0),3),"")</f>
        <v/>
      </c>
    </row>
    <row r="440" spans="63:63" x14ac:dyDescent="0.35">
      <c r="BK440" t="str">
        <f>IFERROR(INDEX(added_new_stocks!$F$6:$H$1048576,MATCH($A440,added_new_stocks!$F$6:$F$1048576,0),3),"")</f>
        <v/>
      </c>
    </row>
    <row r="441" spans="63:63" x14ac:dyDescent="0.35">
      <c r="BK441" t="str">
        <f>IFERROR(INDEX(added_new_stocks!$F$6:$H$1048576,MATCH($A441,added_new_stocks!$F$6:$F$1048576,0),3),"")</f>
        <v/>
      </c>
    </row>
    <row r="442" spans="63:63" x14ac:dyDescent="0.35">
      <c r="BK442" t="str">
        <f>IFERROR(INDEX(added_new_stocks!$F$6:$H$1048576,MATCH($A442,added_new_stocks!$F$6:$F$1048576,0),3),"")</f>
        <v/>
      </c>
    </row>
    <row r="443" spans="63:63" x14ac:dyDescent="0.35">
      <c r="BK443" t="str">
        <f>IFERROR(INDEX(added_new_stocks!$F$6:$H$1048576,MATCH($A443,added_new_stocks!$F$6:$F$1048576,0),3),"")</f>
        <v/>
      </c>
    </row>
    <row r="444" spans="63:63" x14ac:dyDescent="0.35">
      <c r="BK444" t="str">
        <f>IFERROR(INDEX(added_new_stocks!$F$6:$H$1048576,MATCH($A444,added_new_stocks!$F$6:$F$1048576,0),3),"")</f>
        <v/>
      </c>
    </row>
    <row r="445" spans="63:63" x14ac:dyDescent="0.35">
      <c r="BK445" t="str">
        <f>IFERROR(INDEX(added_new_stocks!$F$6:$H$1048576,MATCH($A445,added_new_stocks!$F$6:$F$1048576,0),3),"")</f>
        <v/>
      </c>
    </row>
    <row r="446" spans="63:63" x14ac:dyDescent="0.35">
      <c r="BK446" t="str">
        <f>IFERROR(INDEX(added_new_stocks!$F$6:$H$1048576,MATCH($A446,added_new_stocks!$F$6:$F$1048576,0),3),"")</f>
        <v/>
      </c>
    </row>
    <row r="447" spans="63:63" x14ac:dyDescent="0.35">
      <c r="BK447" t="str">
        <f>IFERROR(INDEX(added_new_stocks!$F$6:$H$1048576,MATCH($A447,added_new_stocks!$F$6:$F$1048576,0),3),"")</f>
        <v/>
      </c>
    </row>
    <row r="448" spans="63:63" x14ac:dyDescent="0.35">
      <c r="BK448" t="str">
        <f>IFERROR(INDEX(added_new_stocks!$F$6:$H$1048576,MATCH($A448,added_new_stocks!$F$6:$F$1048576,0),3),"")</f>
        <v/>
      </c>
    </row>
    <row r="449" spans="63:63" x14ac:dyDescent="0.35">
      <c r="BK449" t="str">
        <f>IFERROR(INDEX(added_new_stocks!$F$6:$H$1048576,MATCH($A449,added_new_stocks!$F$6:$F$1048576,0),3),"")</f>
        <v/>
      </c>
    </row>
    <row r="450" spans="63:63" x14ac:dyDescent="0.35">
      <c r="BK450" t="str">
        <f>IFERROR(INDEX(added_new_stocks!$F$6:$H$1048576,MATCH($A450,added_new_stocks!$F$6:$F$1048576,0),3),"")</f>
        <v/>
      </c>
    </row>
    <row r="451" spans="63:63" x14ac:dyDescent="0.35">
      <c r="BK451" t="str">
        <f>IFERROR(INDEX(added_new_stocks!$F$6:$H$1048576,MATCH($A451,added_new_stocks!$F$6:$F$1048576,0),3),"")</f>
        <v/>
      </c>
    </row>
    <row r="452" spans="63:63" x14ac:dyDescent="0.35">
      <c r="BK452" t="str">
        <f>IFERROR(INDEX(added_new_stocks!$F$6:$H$1048576,MATCH($A452,added_new_stocks!$F$6:$F$1048576,0),3),"")</f>
        <v/>
      </c>
    </row>
    <row r="453" spans="63:63" x14ac:dyDescent="0.35">
      <c r="BK453" t="str">
        <f>IFERROR(INDEX(added_new_stocks!$F$6:$H$1048576,MATCH($A453,added_new_stocks!$F$6:$F$1048576,0),3),"")</f>
        <v/>
      </c>
    </row>
    <row r="454" spans="63:63" x14ac:dyDescent="0.35">
      <c r="BK454" t="str">
        <f>IFERROR(INDEX(added_new_stocks!$F$6:$H$1048576,MATCH($A454,added_new_stocks!$F$6:$F$1048576,0),3),"")</f>
        <v/>
      </c>
    </row>
    <row r="455" spans="63:63" x14ac:dyDescent="0.35">
      <c r="BK455" t="str">
        <f>IFERROR(INDEX(added_new_stocks!$F$6:$H$1048576,MATCH($A455,added_new_stocks!$F$6:$F$1048576,0),3),"")</f>
        <v/>
      </c>
    </row>
    <row r="456" spans="63:63" x14ac:dyDescent="0.35">
      <c r="BK456" t="str">
        <f>IFERROR(INDEX(added_new_stocks!$F$6:$H$1048576,MATCH($A456,added_new_stocks!$F$6:$F$1048576,0),3),"")</f>
        <v/>
      </c>
    </row>
    <row r="457" spans="63:63" x14ac:dyDescent="0.35">
      <c r="BK457" t="str">
        <f>IFERROR(INDEX(added_new_stocks!$F$6:$H$1048576,MATCH($A457,added_new_stocks!$F$6:$F$1048576,0),3),"")</f>
        <v/>
      </c>
    </row>
    <row r="458" spans="63:63" x14ac:dyDescent="0.35">
      <c r="BK458" t="str">
        <f>IFERROR(INDEX(added_new_stocks!$F$6:$H$1048576,MATCH($A458,added_new_stocks!$F$6:$F$1048576,0),3),"")</f>
        <v/>
      </c>
    </row>
    <row r="459" spans="63:63" x14ac:dyDescent="0.35">
      <c r="BK459" t="str">
        <f>IFERROR(INDEX(added_new_stocks!$F$6:$H$1048576,MATCH($A459,added_new_stocks!$F$6:$F$1048576,0),3),"")</f>
        <v/>
      </c>
    </row>
    <row r="460" spans="63:63" x14ac:dyDescent="0.35">
      <c r="BK460" t="str">
        <f>IFERROR(INDEX(added_new_stocks!$F$6:$H$1048576,MATCH($A460,added_new_stocks!$F$6:$F$1048576,0),3),"")</f>
        <v/>
      </c>
    </row>
    <row r="461" spans="63:63" x14ac:dyDescent="0.35">
      <c r="BK461" t="str">
        <f>IFERROR(INDEX(added_new_stocks!$F$6:$H$1048576,MATCH($A461,added_new_stocks!$F$6:$F$1048576,0),3),"")</f>
        <v/>
      </c>
    </row>
    <row r="462" spans="63:63" x14ac:dyDescent="0.35">
      <c r="BK462" t="str">
        <f>IFERROR(INDEX(added_new_stocks!$F$6:$H$1048576,MATCH($A462,added_new_stocks!$F$6:$F$1048576,0),3),"")</f>
        <v/>
      </c>
    </row>
    <row r="463" spans="63:63" x14ac:dyDescent="0.35">
      <c r="BK463" t="str">
        <f>IFERROR(INDEX(added_new_stocks!$F$6:$H$1048576,MATCH($A463,added_new_stocks!$F$6:$F$1048576,0),3),"")</f>
        <v/>
      </c>
    </row>
    <row r="464" spans="63:63" x14ac:dyDescent="0.35">
      <c r="BK464" t="str">
        <f>IFERROR(INDEX(added_new_stocks!$F$6:$H$1048576,MATCH($A464,added_new_stocks!$F$6:$F$1048576,0),3),"")</f>
        <v/>
      </c>
    </row>
    <row r="465" spans="63:63" x14ac:dyDescent="0.35">
      <c r="BK465" t="str">
        <f>IFERROR(INDEX(added_new_stocks!$F$6:$H$1048576,MATCH($A465,added_new_stocks!$F$6:$F$1048576,0),3),"")</f>
        <v/>
      </c>
    </row>
    <row r="466" spans="63:63" x14ac:dyDescent="0.35">
      <c r="BK466" t="str">
        <f>IFERROR(INDEX(added_new_stocks!$F$6:$H$1048576,MATCH($A466,added_new_stocks!$F$6:$F$1048576,0),3),"")</f>
        <v/>
      </c>
    </row>
    <row r="467" spans="63:63" x14ac:dyDescent="0.35">
      <c r="BK467" t="str">
        <f>IFERROR(INDEX(added_new_stocks!$F$6:$H$1048576,MATCH($A467,added_new_stocks!$F$6:$F$1048576,0),3),"")</f>
        <v/>
      </c>
    </row>
    <row r="468" spans="63:63" x14ac:dyDescent="0.35">
      <c r="BK468" t="str">
        <f>IFERROR(INDEX(added_new_stocks!$F$6:$H$1048576,MATCH($A468,added_new_stocks!$F$6:$F$1048576,0),3),"")</f>
        <v/>
      </c>
    </row>
    <row r="469" spans="63:63" x14ac:dyDescent="0.35">
      <c r="BK469" t="str">
        <f>IFERROR(INDEX(added_new_stocks!$F$6:$H$1048576,MATCH($A469,added_new_stocks!$F$6:$F$1048576,0),3),"")</f>
        <v/>
      </c>
    </row>
    <row r="470" spans="63:63" x14ac:dyDescent="0.35">
      <c r="BK470" t="str">
        <f>IFERROR(INDEX(added_new_stocks!$F$6:$H$1048576,MATCH($A470,added_new_stocks!$F$6:$F$1048576,0),3),"")</f>
        <v/>
      </c>
    </row>
    <row r="471" spans="63:63" x14ac:dyDescent="0.35">
      <c r="BK471" t="str">
        <f>IFERROR(INDEX(added_new_stocks!$F$6:$H$1048576,MATCH($A471,added_new_stocks!$F$6:$F$1048576,0),3),"")</f>
        <v/>
      </c>
    </row>
    <row r="472" spans="63:63" x14ac:dyDescent="0.35">
      <c r="BK472" t="str">
        <f>IFERROR(INDEX(added_new_stocks!$F$6:$H$1048576,MATCH($A472,added_new_stocks!$F$6:$F$1048576,0),3),"")</f>
        <v/>
      </c>
    </row>
    <row r="473" spans="63:63" x14ac:dyDescent="0.35">
      <c r="BK473" t="str">
        <f>IFERROR(INDEX(added_new_stocks!$F$6:$H$1048576,MATCH($A473,added_new_stocks!$F$6:$F$1048576,0),3),"")</f>
        <v/>
      </c>
    </row>
    <row r="474" spans="63:63" x14ac:dyDescent="0.35">
      <c r="BK474" t="str">
        <f>IFERROR(INDEX(added_new_stocks!$F$6:$H$1048576,MATCH($A474,added_new_stocks!$F$6:$F$1048576,0),3),"")</f>
        <v/>
      </c>
    </row>
    <row r="475" spans="63:63" x14ac:dyDescent="0.35">
      <c r="BK475" t="str">
        <f>IFERROR(INDEX(added_new_stocks!$F$6:$H$1048576,MATCH($A475,added_new_stocks!$F$6:$F$1048576,0),3),"")</f>
        <v/>
      </c>
    </row>
    <row r="476" spans="63:63" x14ac:dyDescent="0.35">
      <c r="BK476" t="str">
        <f>IFERROR(INDEX(added_new_stocks!$F$6:$H$1048576,MATCH($A476,added_new_stocks!$F$6:$F$1048576,0),3),"")</f>
        <v/>
      </c>
    </row>
    <row r="477" spans="63:63" x14ac:dyDescent="0.35">
      <c r="BK477" t="str">
        <f>IFERROR(INDEX(added_new_stocks!$F$6:$H$1048576,MATCH($A477,added_new_stocks!$F$6:$F$1048576,0),3),"")</f>
        <v/>
      </c>
    </row>
    <row r="478" spans="63:63" x14ac:dyDescent="0.35">
      <c r="BK478" t="str">
        <f>IFERROR(INDEX(added_new_stocks!$F$6:$H$1048576,MATCH($A478,added_new_stocks!$F$6:$F$1048576,0),3),"")</f>
        <v/>
      </c>
    </row>
    <row r="479" spans="63:63" x14ac:dyDescent="0.35">
      <c r="BK479" t="str">
        <f>IFERROR(INDEX(added_new_stocks!$F$6:$H$1048576,MATCH($A479,added_new_stocks!$F$6:$F$1048576,0),3),"")</f>
        <v/>
      </c>
    </row>
    <row r="480" spans="63:63" x14ac:dyDescent="0.35">
      <c r="BK480" t="str">
        <f>IFERROR(INDEX(added_new_stocks!$F$6:$H$1048576,MATCH($A480,added_new_stocks!$F$6:$F$1048576,0),3),"")</f>
        <v/>
      </c>
    </row>
    <row r="481" spans="63:63" x14ac:dyDescent="0.35">
      <c r="BK481" t="str">
        <f>IFERROR(INDEX(added_new_stocks!$F$6:$H$1048576,MATCH($A481,added_new_stocks!$F$6:$F$1048576,0),3),"")</f>
        <v/>
      </c>
    </row>
    <row r="482" spans="63:63" x14ac:dyDescent="0.35">
      <c r="BK482" t="str">
        <f>IFERROR(INDEX(added_new_stocks!$F$6:$H$1048576,MATCH($A482,added_new_stocks!$F$6:$F$1048576,0),3),"")</f>
        <v/>
      </c>
    </row>
    <row r="483" spans="63:63" x14ac:dyDescent="0.35">
      <c r="BK483" t="str">
        <f>IFERROR(INDEX(added_new_stocks!$F$6:$H$1048576,MATCH($A483,added_new_stocks!$F$6:$F$1048576,0),3),"")</f>
        <v/>
      </c>
    </row>
    <row r="484" spans="63:63" x14ac:dyDescent="0.35">
      <c r="BK484" t="str">
        <f>IFERROR(INDEX(added_new_stocks!$F$6:$H$1048576,MATCH($A484,added_new_stocks!$F$6:$F$1048576,0),3),"")</f>
        <v/>
      </c>
    </row>
    <row r="485" spans="63:63" x14ac:dyDescent="0.35">
      <c r="BK485" t="str">
        <f>IFERROR(INDEX(added_new_stocks!$F$6:$H$1048576,MATCH($A485,added_new_stocks!$F$6:$F$1048576,0),3),"")</f>
        <v/>
      </c>
    </row>
    <row r="486" spans="63:63" x14ac:dyDescent="0.35">
      <c r="BK486" t="str">
        <f>IFERROR(INDEX(added_new_stocks!$F$6:$H$1048576,MATCH($A486,added_new_stocks!$F$6:$F$1048576,0),3),"")</f>
        <v/>
      </c>
    </row>
    <row r="487" spans="63:63" x14ac:dyDescent="0.35">
      <c r="BK487" t="str">
        <f>IFERROR(INDEX(added_new_stocks!$F$6:$H$1048576,MATCH($A487,added_new_stocks!$F$6:$F$1048576,0),3),"")</f>
        <v/>
      </c>
    </row>
    <row r="488" spans="63:63" x14ac:dyDescent="0.35">
      <c r="BK488" t="str">
        <f>IFERROR(INDEX(added_new_stocks!$F$6:$H$1048576,MATCH($A488,added_new_stocks!$F$6:$F$1048576,0),3),"")</f>
        <v/>
      </c>
    </row>
    <row r="489" spans="63:63" x14ac:dyDescent="0.35">
      <c r="BK489" t="str">
        <f>IFERROR(INDEX(added_new_stocks!$F$6:$H$1048576,MATCH($A489,added_new_stocks!$F$6:$F$1048576,0),3),"")</f>
        <v/>
      </c>
    </row>
    <row r="490" spans="63:63" x14ac:dyDescent="0.35">
      <c r="BK490" t="str">
        <f>IFERROR(INDEX(added_new_stocks!$F$6:$H$1048576,MATCH($A490,added_new_stocks!$F$6:$F$1048576,0),3),"")</f>
        <v/>
      </c>
    </row>
    <row r="491" spans="63:63" x14ac:dyDescent="0.35">
      <c r="BK491" t="str">
        <f>IFERROR(INDEX(added_new_stocks!$F$6:$H$1048576,MATCH($A491,added_new_stocks!$F$6:$F$1048576,0),3),"")</f>
        <v/>
      </c>
    </row>
    <row r="492" spans="63:63" x14ac:dyDescent="0.35">
      <c r="BK492" t="str">
        <f>IFERROR(INDEX(added_new_stocks!$F$6:$H$1048576,MATCH($A492,added_new_stocks!$F$6:$F$1048576,0),3),"")</f>
        <v/>
      </c>
    </row>
    <row r="493" spans="63:63" x14ac:dyDescent="0.35">
      <c r="BK493" t="str">
        <f>IFERROR(INDEX(added_new_stocks!$F$6:$H$1048576,MATCH($A493,added_new_stocks!$F$6:$F$1048576,0),3),"")</f>
        <v/>
      </c>
    </row>
    <row r="494" spans="63:63" x14ac:dyDescent="0.35">
      <c r="BK494" t="str">
        <f>IFERROR(INDEX(added_new_stocks!$F$6:$H$1048576,MATCH($A494,added_new_stocks!$F$6:$F$1048576,0),3),"")</f>
        <v/>
      </c>
    </row>
    <row r="495" spans="63:63" x14ac:dyDescent="0.35">
      <c r="BK495" t="str">
        <f>IFERROR(INDEX(added_new_stocks!$F$6:$H$1048576,MATCH($A495,added_new_stocks!$F$6:$F$1048576,0),3),"")</f>
        <v/>
      </c>
    </row>
    <row r="496" spans="63:63" x14ac:dyDescent="0.35">
      <c r="BK496" t="str">
        <f>IFERROR(INDEX(added_new_stocks!$F$6:$H$1048576,MATCH($A496,added_new_stocks!$F$6:$F$1048576,0),3),"")</f>
        <v/>
      </c>
    </row>
    <row r="497" spans="63:63" x14ac:dyDescent="0.35">
      <c r="BK497" t="str">
        <f>IFERROR(INDEX(added_new_stocks!$F$6:$H$1048576,MATCH($A497,added_new_stocks!$F$6:$F$1048576,0),3),"")</f>
        <v/>
      </c>
    </row>
    <row r="498" spans="63:63" x14ac:dyDescent="0.35">
      <c r="BK498" t="str">
        <f>IFERROR(INDEX(added_new_stocks!$F$6:$H$1048576,MATCH($A498,added_new_stocks!$F$6:$F$1048576,0),3),"")</f>
        <v/>
      </c>
    </row>
    <row r="499" spans="63:63" x14ac:dyDescent="0.35">
      <c r="BK499" t="str">
        <f>IFERROR(INDEX(added_new_stocks!$F$6:$H$1048576,MATCH($A499,added_new_stocks!$F$6:$F$1048576,0),3),"")</f>
        <v/>
      </c>
    </row>
    <row r="500" spans="63:63" x14ac:dyDescent="0.35">
      <c r="BK500" t="str">
        <f>IFERROR(INDEX(added_new_stocks!$F$6:$H$1048576,MATCH($A500,added_new_stocks!$F$6:$F$1048576,0),3),"")</f>
        <v/>
      </c>
    </row>
    <row r="501" spans="63:63" x14ac:dyDescent="0.35">
      <c r="BK501" t="str">
        <f>IFERROR(INDEX(added_new_stocks!$F$6:$H$1048576,MATCH($A501,added_new_stocks!$F$6:$F$1048576,0),3),"")</f>
        <v/>
      </c>
    </row>
    <row r="502" spans="63:63" x14ac:dyDescent="0.35">
      <c r="BK502" t="str">
        <f>IFERROR(INDEX(added_new_stocks!$F$6:$H$1048576,MATCH($A502,added_new_stocks!$F$6:$F$1048576,0),3),"")</f>
        <v/>
      </c>
    </row>
    <row r="503" spans="63:63" x14ac:dyDescent="0.35">
      <c r="BK503" t="str">
        <f>IFERROR(INDEX(added_new_stocks!$F$6:$H$1048576,MATCH($A503,added_new_stocks!$F$6:$F$1048576,0),3),"")</f>
        <v/>
      </c>
    </row>
    <row r="504" spans="63:63" x14ac:dyDescent="0.35">
      <c r="BK504" t="str">
        <f>IFERROR(INDEX(added_new_stocks!$F$6:$H$1048576,MATCH($A504,added_new_stocks!$F$6:$F$1048576,0),3),"")</f>
        <v/>
      </c>
    </row>
    <row r="505" spans="63:63" x14ac:dyDescent="0.35">
      <c r="BK505" t="str">
        <f>IFERROR(INDEX(added_new_stocks!$F$6:$H$1048576,MATCH($A505,added_new_stocks!$F$6:$F$1048576,0),3),"")</f>
        <v/>
      </c>
    </row>
    <row r="506" spans="63:63" x14ac:dyDescent="0.35">
      <c r="BK506" t="str">
        <f>IFERROR(INDEX(added_new_stocks!$F$6:$H$1048576,MATCH($A506,added_new_stocks!$F$6:$F$1048576,0),3),"")</f>
        <v/>
      </c>
    </row>
    <row r="507" spans="63:63" x14ac:dyDescent="0.35">
      <c r="BK507" t="str">
        <f>IFERROR(INDEX(added_new_stocks!$F$6:$H$1048576,MATCH($A507,added_new_stocks!$F$6:$F$1048576,0),3),"")</f>
        <v/>
      </c>
    </row>
    <row r="508" spans="63:63" x14ac:dyDescent="0.35">
      <c r="BK508" t="str">
        <f>IFERROR(INDEX(added_new_stocks!$F$6:$H$1048576,MATCH($A508,added_new_stocks!$F$6:$F$1048576,0),3),"")</f>
        <v/>
      </c>
    </row>
    <row r="509" spans="63:63" x14ac:dyDescent="0.35">
      <c r="BK509" t="str">
        <f>IFERROR(INDEX(added_new_stocks!$F$6:$H$1048576,MATCH($A509,added_new_stocks!$F$6:$F$1048576,0),3),"")</f>
        <v/>
      </c>
    </row>
    <row r="510" spans="63:63" x14ac:dyDescent="0.35">
      <c r="BK510" t="str">
        <f>IFERROR(INDEX(added_new_stocks!$F$6:$H$1048576,MATCH($A510,added_new_stocks!$F$6:$F$1048576,0),3),"")</f>
        <v/>
      </c>
    </row>
    <row r="511" spans="63:63" x14ac:dyDescent="0.35">
      <c r="BK511" t="str">
        <f>IFERROR(INDEX(added_new_stocks!$F$6:$H$1048576,MATCH($A511,added_new_stocks!$F$6:$F$1048576,0),3),"")</f>
        <v/>
      </c>
    </row>
    <row r="512" spans="63:63" x14ac:dyDescent="0.35">
      <c r="BK512" t="str">
        <f>IFERROR(INDEX(added_new_stocks!$F$6:$H$1048576,MATCH($A512,added_new_stocks!$F$6:$F$1048576,0),3),"")</f>
        <v/>
      </c>
    </row>
    <row r="513" spans="63:63" x14ac:dyDescent="0.35">
      <c r="BK513" t="str">
        <f>IFERROR(INDEX(added_new_stocks!$F$6:$H$1048576,MATCH($A513,added_new_stocks!$F$6:$F$1048576,0),3),"")</f>
        <v/>
      </c>
    </row>
    <row r="514" spans="63:63" x14ac:dyDescent="0.35">
      <c r="BK514" t="str">
        <f>IFERROR(INDEX(added_new_stocks!$F$6:$H$1048576,MATCH($A514,added_new_stocks!$F$6:$F$1048576,0),3),"")</f>
        <v/>
      </c>
    </row>
    <row r="515" spans="63:63" x14ac:dyDescent="0.35">
      <c r="BK515" t="str">
        <f>IFERROR(INDEX(added_new_stocks!$F$6:$H$1048576,MATCH($A515,added_new_stocks!$F$6:$F$1048576,0),3),"")</f>
        <v/>
      </c>
    </row>
    <row r="516" spans="63:63" x14ac:dyDescent="0.35">
      <c r="BK516" t="str">
        <f>IFERROR(INDEX(added_new_stocks!$F$6:$H$1048576,MATCH($A516,added_new_stocks!$F$6:$F$1048576,0),3),"")</f>
        <v/>
      </c>
    </row>
    <row r="517" spans="63:63" x14ac:dyDescent="0.35">
      <c r="BK517" t="str">
        <f>IFERROR(INDEX(added_new_stocks!$F$6:$H$1048576,MATCH($A517,added_new_stocks!$F$6:$F$1048576,0),3),"")</f>
        <v/>
      </c>
    </row>
    <row r="518" spans="63:63" x14ac:dyDescent="0.35">
      <c r="BK518" t="str">
        <f>IFERROR(INDEX(added_new_stocks!$F$6:$H$1048576,MATCH($A518,added_new_stocks!$F$6:$F$1048576,0),3),"")</f>
        <v/>
      </c>
    </row>
    <row r="519" spans="63:63" x14ac:dyDescent="0.35">
      <c r="BK519" t="str">
        <f>IFERROR(INDEX(added_new_stocks!$F$6:$H$1048576,MATCH($A519,added_new_stocks!$F$6:$F$1048576,0),3),"")</f>
        <v/>
      </c>
    </row>
    <row r="520" spans="63:63" x14ac:dyDescent="0.35">
      <c r="BK520" t="str">
        <f>IFERROR(INDEX(added_new_stocks!$F$6:$H$1048576,MATCH($A520,added_new_stocks!$F$6:$F$1048576,0),3),"")</f>
        <v/>
      </c>
    </row>
    <row r="521" spans="63:63" x14ac:dyDescent="0.35">
      <c r="BK521" t="str">
        <f>IFERROR(INDEX(added_new_stocks!$F$6:$H$1048576,MATCH($A521,added_new_stocks!$F$6:$F$1048576,0),3),"")</f>
        <v/>
      </c>
    </row>
    <row r="522" spans="63:63" x14ac:dyDescent="0.35">
      <c r="BK522" t="str">
        <f>IFERROR(INDEX(added_new_stocks!$F$6:$H$1048576,MATCH($A522,added_new_stocks!$F$6:$F$1048576,0),3),"")</f>
        <v/>
      </c>
    </row>
    <row r="523" spans="63:63" x14ac:dyDescent="0.35">
      <c r="BK523" t="str">
        <f>IFERROR(INDEX(added_new_stocks!$F$6:$H$1048576,MATCH($A523,added_new_stocks!$F$6:$F$1048576,0),3),"")</f>
        <v/>
      </c>
    </row>
    <row r="524" spans="63:63" x14ac:dyDescent="0.35">
      <c r="BK524" t="str">
        <f>IFERROR(INDEX(added_new_stocks!$F$6:$H$1048576,MATCH($A524,added_new_stocks!$F$6:$F$1048576,0),3),"")</f>
        <v/>
      </c>
    </row>
    <row r="525" spans="63:63" x14ac:dyDescent="0.35">
      <c r="BK525" t="str">
        <f>IFERROR(INDEX(added_new_stocks!$F$6:$H$1048576,MATCH($A525,added_new_stocks!$F$6:$F$1048576,0),3),"")</f>
        <v/>
      </c>
    </row>
    <row r="526" spans="63:63" x14ac:dyDescent="0.35">
      <c r="BK526" t="str">
        <f>IFERROR(INDEX(added_new_stocks!$F$6:$H$1048576,MATCH($A526,added_new_stocks!$F$6:$F$1048576,0),3),"")</f>
        <v/>
      </c>
    </row>
    <row r="527" spans="63:63" x14ac:dyDescent="0.35">
      <c r="BK527" t="str">
        <f>IFERROR(INDEX(added_new_stocks!$F$6:$H$1048576,MATCH($A527,added_new_stocks!$F$6:$F$1048576,0),3),"")</f>
        <v/>
      </c>
    </row>
    <row r="528" spans="63:63" x14ac:dyDescent="0.35">
      <c r="BK528" t="str">
        <f>IFERROR(INDEX(added_new_stocks!$F$6:$H$1048576,MATCH($A528,added_new_stocks!$F$6:$F$1048576,0),3),"")</f>
        <v/>
      </c>
    </row>
    <row r="529" spans="63:63" x14ac:dyDescent="0.35">
      <c r="BK529" t="str">
        <f>IFERROR(INDEX(added_new_stocks!$F$6:$H$1048576,MATCH($A529,added_new_stocks!$F$6:$F$1048576,0),3),"")</f>
        <v/>
      </c>
    </row>
    <row r="530" spans="63:63" x14ac:dyDescent="0.35">
      <c r="BK530" t="str">
        <f>IFERROR(INDEX(added_new_stocks!$F$6:$H$1048576,MATCH($A530,added_new_stocks!$F$6:$F$1048576,0),3),"")</f>
        <v/>
      </c>
    </row>
    <row r="531" spans="63:63" x14ac:dyDescent="0.35">
      <c r="BK531" t="str">
        <f>IFERROR(INDEX(added_new_stocks!$F$6:$H$1048576,MATCH($A531,added_new_stocks!$F$6:$F$1048576,0),3),"")</f>
        <v/>
      </c>
    </row>
    <row r="532" spans="63:63" x14ac:dyDescent="0.35">
      <c r="BK532" t="str">
        <f>IFERROR(INDEX(added_new_stocks!$F$6:$H$1048576,MATCH($A532,added_new_stocks!$F$6:$F$1048576,0),3),"")</f>
        <v/>
      </c>
    </row>
    <row r="533" spans="63:63" x14ac:dyDescent="0.35">
      <c r="BK533" t="str">
        <f>IFERROR(INDEX(added_new_stocks!$F$6:$H$1048576,MATCH($A533,added_new_stocks!$F$6:$F$1048576,0),3),"")</f>
        <v/>
      </c>
    </row>
    <row r="534" spans="63:63" x14ac:dyDescent="0.35">
      <c r="BK534" t="str">
        <f>IFERROR(INDEX(added_new_stocks!$F$6:$H$1048576,MATCH($A534,added_new_stocks!$F$6:$F$1048576,0),3),"")</f>
        <v/>
      </c>
    </row>
    <row r="535" spans="63:63" x14ac:dyDescent="0.35">
      <c r="BK535" t="str">
        <f>IFERROR(INDEX(added_new_stocks!$F$6:$H$1048576,MATCH($A535,added_new_stocks!$F$6:$F$1048576,0),3),"")</f>
        <v/>
      </c>
    </row>
    <row r="536" spans="63:63" x14ac:dyDescent="0.35">
      <c r="BK536" t="str">
        <f>IFERROR(INDEX(added_new_stocks!$F$6:$H$1048576,MATCH($A536,added_new_stocks!$F$6:$F$1048576,0),3),"")</f>
        <v/>
      </c>
    </row>
    <row r="537" spans="63:63" x14ac:dyDescent="0.35">
      <c r="BK537" t="str">
        <f>IFERROR(INDEX(added_new_stocks!$F$6:$H$1048576,MATCH($A537,added_new_stocks!$F$6:$F$1048576,0),3),"")</f>
        <v/>
      </c>
    </row>
    <row r="538" spans="63:63" x14ac:dyDescent="0.35">
      <c r="BK538" t="str">
        <f>IFERROR(INDEX(added_new_stocks!$F$6:$H$1048576,MATCH($A538,added_new_stocks!$F$6:$F$1048576,0),3),"")</f>
        <v/>
      </c>
    </row>
    <row r="539" spans="63:63" x14ac:dyDescent="0.35">
      <c r="BK539" t="str">
        <f>IFERROR(INDEX(added_new_stocks!$F$6:$H$1048576,MATCH($A539,added_new_stocks!$F$6:$F$1048576,0),3),"")</f>
        <v/>
      </c>
    </row>
    <row r="540" spans="63:63" x14ac:dyDescent="0.35">
      <c r="BK540" t="str">
        <f>IFERROR(INDEX(added_new_stocks!$F$6:$H$1048576,MATCH($A540,added_new_stocks!$F$6:$F$1048576,0),3),"")</f>
        <v/>
      </c>
    </row>
    <row r="541" spans="63:63" x14ac:dyDescent="0.35">
      <c r="BK541" t="str">
        <f>IFERROR(INDEX(added_new_stocks!$F$6:$H$1048576,MATCH($A541,added_new_stocks!$F$6:$F$1048576,0),3),"")</f>
        <v/>
      </c>
    </row>
    <row r="542" spans="63:63" x14ac:dyDescent="0.35">
      <c r="BK542" t="str">
        <f>IFERROR(INDEX(added_new_stocks!$F$6:$H$1048576,MATCH($A542,added_new_stocks!$F$6:$F$1048576,0),3),"")</f>
        <v/>
      </c>
    </row>
    <row r="543" spans="63:63" x14ac:dyDescent="0.35">
      <c r="BK543" t="str">
        <f>IFERROR(INDEX(added_new_stocks!$F$6:$H$1048576,MATCH($A543,added_new_stocks!$F$6:$F$1048576,0),3),"")</f>
        <v/>
      </c>
    </row>
    <row r="544" spans="63:63" x14ac:dyDescent="0.35">
      <c r="BK544" t="str">
        <f>IFERROR(INDEX(added_new_stocks!$F$6:$H$1048576,MATCH($A544,added_new_stocks!$F$6:$F$1048576,0),3),"")</f>
        <v/>
      </c>
    </row>
    <row r="545" spans="63:63" x14ac:dyDescent="0.35">
      <c r="BK545" t="str">
        <f>IFERROR(INDEX(added_new_stocks!$F$6:$H$1048576,MATCH($A545,added_new_stocks!$F$6:$F$1048576,0),3),"")</f>
        <v/>
      </c>
    </row>
    <row r="546" spans="63:63" x14ac:dyDescent="0.35">
      <c r="BK546" t="str">
        <f>IFERROR(INDEX(added_new_stocks!$F$6:$H$1048576,MATCH($A546,added_new_stocks!$F$6:$F$1048576,0),3),"")</f>
        <v/>
      </c>
    </row>
    <row r="547" spans="63:63" x14ac:dyDescent="0.35">
      <c r="BK547" t="str">
        <f>IFERROR(INDEX(added_new_stocks!$F$6:$H$1048576,MATCH($A547,added_new_stocks!$F$6:$F$1048576,0),3),"")</f>
        <v/>
      </c>
    </row>
    <row r="548" spans="63:63" x14ac:dyDescent="0.35">
      <c r="BK548" t="str">
        <f>IFERROR(INDEX(added_new_stocks!$F$6:$H$1048576,MATCH($A548,added_new_stocks!$F$6:$F$1048576,0),3),"")</f>
        <v/>
      </c>
    </row>
    <row r="549" spans="63:63" x14ac:dyDescent="0.35">
      <c r="BK549" t="str">
        <f>IFERROR(INDEX(added_new_stocks!$F$6:$H$1048576,MATCH($A549,added_new_stocks!$F$6:$F$1048576,0),3),"")</f>
        <v/>
      </c>
    </row>
    <row r="550" spans="63:63" x14ac:dyDescent="0.35">
      <c r="BK550" t="str">
        <f>IFERROR(INDEX(added_new_stocks!$F$6:$H$1048576,MATCH($A550,added_new_stocks!$F$6:$F$1048576,0),3),"")</f>
        <v/>
      </c>
    </row>
    <row r="551" spans="63:63" x14ac:dyDescent="0.35">
      <c r="BK551" t="str">
        <f>IFERROR(INDEX(added_new_stocks!$F$6:$H$1048576,MATCH($A551,added_new_stocks!$F$6:$F$1048576,0),3),"")</f>
        <v/>
      </c>
    </row>
    <row r="552" spans="63:63" x14ac:dyDescent="0.35">
      <c r="BK552" t="str">
        <f>IFERROR(INDEX(added_new_stocks!$F$6:$H$1048576,MATCH($A552,added_new_stocks!$F$6:$F$1048576,0),3),"")</f>
        <v/>
      </c>
    </row>
    <row r="553" spans="63:63" x14ac:dyDescent="0.35">
      <c r="BK553" t="str">
        <f>IFERROR(INDEX(added_new_stocks!$F$6:$H$1048576,MATCH($A553,added_new_stocks!$F$6:$F$1048576,0),3),"")</f>
        <v/>
      </c>
    </row>
    <row r="554" spans="63:63" x14ac:dyDescent="0.35">
      <c r="BK554" t="str">
        <f>IFERROR(INDEX(added_new_stocks!$F$6:$H$1048576,MATCH($A554,added_new_stocks!$F$6:$F$1048576,0),3),"")</f>
        <v/>
      </c>
    </row>
    <row r="555" spans="63:63" x14ac:dyDescent="0.35">
      <c r="BK555" t="str">
        <f>IFERROR(INDEX(added_new_stocks!$F$6:$H$1048576,MATCH($A555,added_new_stocks!$F$6:$F$1048576,0),3),"")</f>
        <v/>
      </c>
    </row>
    <row r="556" spans="63:63" x14ac:dyDescent="0.35">
      <c r="BK556" t="str">
        <f>IFERROR(INDEX(added_new_stocks!$F$6:$H$1048576,MATCH($A556,added_new_stocks!$F$6:$F$1048576,0),3),"")</f>
        <v/>
      </c>
    </row>
    <row r="557" spans="63:63" x14ac:dyDescent="0.35">
      <c r="BK557" t="str">
        <f>IFERROR(INDEX(added_new_stocks!$F$6:$H$1048576,MATCH($A557,added_new_stocks!$F$6:$F$1048576,0),3),"")</f>
        <v/>
      </c>
    </row>
    <row r="558" spans="63:63" x14ac:dyDescent="0.35">
      <c r="BK558" t="str">
        <f>IFERROR(INDEX(added_new_stocks!$F$6:$H$1048576,MATCH($A558,added_new_stocks!$F$6:$F$1048576,0),3),"")</f>
        <v/>
      </c>
    </row>
    <row r="559" spans="63:63" x14ac:dyDescent="0.35">
      <c r="BK559" t="str">
        <f>IFERROR(INDEX(added_new_stocks!$F$6:$H$1048576,MATCH($A559,added_new_stocks!$F$6:$F$1048576,0),3),"")</f>
        <v/>
      </c>
    </row>
    <row r="560" spans="63:63" x14ac:dyDescent="0.35">
      <c r="BK560" t="str">
        <f>IFERROR(INDEX(added_new_stocks!$F$6:$H$1048576,MATCH($A560,added_new_stocks!$F$6:$F$1048576,0),3),"")</f>
        <v/>
      </c>
    </row>
    <row r="561" spans="63:63" x14ac:dyDescent="0.35">
      <c r="BK561" t="str">
        <f>IFERROR(INDEX(added_new_stocks!$F$6:$H$1048576,MATCH($A561,added_new_stocks!$F$6:$F$1048576,0),3),"")</f>
        <v/>
      </c>
    </row>
    <row r="562" spans="63:63" x14ac:dyDescent="0.35">
      <c r="BK562" t="str">
        <f>IFERROR(INDEX(added_new_stocks!$F$6:$H$1048576,MATCH($A562,added_new_stocks!$F$6:$F$1048576,0),3),"")</f>
        <v/>
      </c>
    </row>
    <row r="563" spans="63:63" x14ac:dyDescent="0.35">
      <c r="BK563" t="str">
        <f>IFERROR(INDEX(added_new_stocks!$F$6:$H$1048576,MATCH($A563,added_new_stocks!$F$6:$F$1048576,0),3),"")</f>
        <v/>
      </c>
    </row>
    <row r="564" spans="63:63" x14ac:dyDescent="0.35">
      <c r="BK564" t="str">
        <f>IFERROR(INDEX(added_new_stocks!$F$6:$H$1048576,MATCH($A564,added_new_stocks!$F$6:$F$1048576,0),3),"")</f>
        <v/>
      </c>
    </row>
    <row r="565" spans="63:63" x14ac:dyDescent="0.35">
      <c r="BK565" t="str">
        <f>IFERROR(INDEX(added_new_stocks!$F$6:$H$1048576,MATCH($A565,added_new_stocks!$F$6:$F$1048576,0),3),"")</f>
        <v/>
      </c>
    </row>
    <row r="566" spans="63:63" x14ac:dyDescent="0.35">
      <c r="BK566" t="str">
        <f>IFERROR(INDEX(added_new_stocks!$F$6:$H$1048576,MATCH($A566,added_new_stocks!$F$6:$F$1048576,0),3),"")</f>
        <v/>
      </c>
    </row>
    <row r="567" spans="63:63" x14ac:dyDescent="0.35">
      <c r="BK567" t="str">
        <f>IFERROR(INDEX(added_new_stocks!$F$6:$H$1048576,MATCH($A567,added_new_stocks!$F$6:$F$1048576,0),3),"")</f>
        <v/>
      </c>
    </row>
    <row r="568" spans="63:63" x14ac:dyDescent="0.35">
      <c r="BK568" t="str">
        <f>IFERROR(INDEX(added_new_stocks!$F$6:$H$1048576,MATCH($A568,added_new_stocks!$F$6:$F$1048576,0),3),"")</f>
        <v/>
      </c>
    </row>
    <row r="569" spans="63:63" x14ac:dyDescent="0.35">
      <c r="BK569" t="str">
        <f>IFERROR(INDEX(added_new_stocks!$F$6:$H$1048576,MATCH($A569,added_new_stocks!$F$6:$F$1048576,0),3),"")</f>
        <v/>
      </c>
    </row>
    <row r="570" spans="63:63" x14ac:dyDescent="0.35">
      <c r="BK570" t="str">
        <f>IFERROR(INDEX(added_new_stocks!$F$6:$H$1048576,MATCH($A570,added_new_stocks!$F$6:$F$1048576,0),3),"")</f>
        <v/>
      </c>
    </row>
    <row r="571" spans="63:63" x14ac:dyDescent="0.35">
      <c r="BK571" t="str">
        <f>IFERROR(INDEX(added_new_stocks!$F$6:$H$1048576,MATCH($A571,added_new_stocks!$F$6:$F$1048576,0),3),"")</f>
        <v/>
      </c>
    </row>
    <row r="572" spans="63:63" x14ac:dyDescent="0.35">
      <c r="BK572" t="str">
        <f>IFERROR(INDEX(added_new_stocks!$F$6:$H$1048576,MATCH($A572,added_new_stocks!$F$6:$F$1048576,0),3),"")</f>
        <v/>
      </c>
    </row>
    <row r="573" spans="63:63" x14ac:dyDescent="0.35">
      <c r="BK573" t="str">
        <f>IFERROR(INDEX(added_new_stocks!$F$6:$H$1048576,MATCH($A573,added_new_stocks!$F$6:$F$1048576,0),3),"")</f>
        <v/>
      </c>
    </row>
    <row r="574" spans="63:63" x14ac:dyDescent="0.35">
      <c r="BK574" t="str">
        <f>IFERROR(INDEX(added_new_stocks!$F$6:$H$1048576,MATCH($A574,added_new_stocks!$F$6:$F$1048576,0),3),"")</f>
        <v/>
      </c>
    </row>
    <row r="575" spans="63:63" x14ac:dyDescent="0.35">
      <c r="BK575" t="str">
        <f>IFERROR(INDEX(added_new_stocks!$F$6:$H$1048576,MATCH($A575,added_new_stocks!$F$6:$F$1048576,0),3),"")</f>
        <v/>
      </c>
    </row>
    <row r="576" spans="63:63" x14ac:dyDescent="0.35">
      <c r="BK576" t="str">
        <f>IFERROR(INDEX(added_new_stocks!$F$6:$H$1048576,MATCH($A576,added_new_stocks!$F$6:$F$1048576,0),3),"")</f>
        <v/>
      </c>
    </row>
    <row r="577" spans="63:63" x14ac:dyDescent="0.35">
      <c r="BK577" t="str">
        <f>IFERROR(INDEX(added_new_stocks!$F$6:$H$1048576,MATCH($A577,added_new_stocks!$F$6:$F$1048576,0),3),"")</f>
        <v/>
      </c>
    </row>
    <row r="578" spans="63:63" x14ac:dyDescent="0.35">
      <c r="BK578" t="str">
        <f>IFERROR(INDEX(added_new_stocks!$F$6:$H$1048576,MATCH($A578,added_new_stocks!$F$6:$F$1048576,0),3),"")</f>
        <v/>
      </c>
    </row>
    <row r="579" spans="63:63" x14ac:dyDescent="0.35">
      <c r="BK579" t="str">
        <f>IFERROR(INDEX(added_new_stocks!$F$6:$H$1048576,MATCH($A579,added_new_stocks!$F$6:$F$1048576,0),3),"")</f>
        <v/>
      </c>
    </row>
    <row r="580" spans="63:63" x14ac:dyDescent="0.35">
      <c r="BK580" t="str">
        <f>IFERROR(INDEX(added_new_stocks!$F$6:$H$1048576,MATCH($A580,added_new_stocks!$F$6:$F$1048576,0),3),"")</f>
        <v/>
      </c>
    </row>
    <row r="581" spans="63:63" x14ac:dyDescent="0.35">
      <c r="BK581" t="str">
        <f>IFERROR(INDEX(added_new_stocks!$F$6:$H$1048576,MATCH($A581,added_new_stocks!$F$6:$F$1048576,0),3),"")</f>
        <v/>
      </c>
    </row>
    <row r="582" spans="63:63" x14ac:dyDescent="0.35">
      <c r="BK582" t="str">
        <f>IFERROR(INDEX(added_new_stocks!$F$6:$H$1048576,MATCH($A582,added_new_stocks!$F$6:$F$1048576,0),3),"")</f>
        <v/>
      </c>
    </row>
    <row r="583" spans="63:63" x14ac:dyDescent="0.35">
      <c r="BK583" t="str">
        <f>IFERROR(INDEX(added_new_stocks!$F$6:$H$1048576,MATCH($A583,added_new_stocks!$F$6:$F$1048576,0),3),"")</f>
        <v/>
      </c>
    </row>
    <row r="584" spans="63:63" x14ac:dyDescent="0.35">
      <c r="BK584" t="str">
        <f>IFERROR(INDEX(added_new_stocks!$F$6:$H$1048576,MATCH($A584,added_new_stocks!$F$6:$F$1048576,0),3),"")</f>
        <v/>
      </c>
    </row>
    <row r="585" spans="63:63" x14ac:dyDescent="0.35">
      <c r="BK585" t="str">
        <f>IFERROR(INDEX(added_new_stocks!$F$6:$H$1048576,MATCH($A585,added_new_stocks!$F$6:$F$1048576,0),3),"")</f>
        <v/>
      </c>
    </row>
    <row r="586" spans="63:63" x14ac:dyDescent="0.35">
      <c r="BK586" t="str">
        <f>IFERROR(INDEX(added_new_stocks!$F$6:$H$1048576,MATCH($A586,added_new_stocks!$F$6:$F$1048576,0),3),"")</f>
        <v/>
      </c>
    </row>
    <row r="587" spans="63:63" x14ac:dyDescent="0.35">
      <c r="BK587" t="str">
        <f>IFERROR(INDEX(added_new_stocks!$F$6:$H$1048576,MATCH($A587,added_new_stocks!$F$6:$F$1048576,0),3),"")</f>
        <v/>
      </c>
    </row>
    <row r="588" spans="63:63" x14ac:dyDescent="0.35">
      <c r="BK588" t="str">
        <f>IFERROR(INDEX(added_new_stocks!$F$6:$H$1048576,MATCH($A588,added_new_stocks!$F$6:$F$1048576,0),3),"")</f>
        <v/>
      </c>
    </row>
    <row r="589" spans="63:63" x14ac:dyDescent="0.35">
      <c r="BK589" t="str">
        <f>IFERROR(INDEX(added_new_stocks!$F$6:$H$1048576,MATCH($A589,added_new_stocks!$F$6:$F$1048576,0),3),"")</f>
        <v/>
      </c>
    </row>
    <row r="590" spans="63:63" x14ac:dyDescent="0.35">
      <c r="BK590" t="str">
        <f>IFERROR(INDEX(added_new_stocks!$F$6:$H$1048576,MATCH($A590,added_new_stocks!$F$6:$F$1048576,0),3),"")</f>
        <v/>
      </c>
    </row>
    <row r="591" spans="63:63" x14ac:dyDescent="0.35">
      <c r="BK591" t="str">
        <f>IFERROR(INDEX(added_new_stocks!$F$6:$H$1048576,MATCH($A591,added_new_stocks!$F$6:$F$1048576,0),3),"")</f>
        <v/>
      </c>
    </row>
    <row r="592" spans="63:63" x14ac:dyDescent="0.35">
      <c r="BK592" t="str">
        <f>IFERROR(INDEX(added_new_stocks!$F$6:$H$1048576,MATCH($A592,added_new_stocks!$F$6:$F$1048576,0),3),"")</f>
        <v/>
      </c>
    </row>
    <row r="593" spans="63:63" x14ac:dyDescent="0.35">
      <c r="BK593" t="str">
        <f>IFERROR(INDEX(added_new_stocks!$F$6:$H$1048576,MATCH($A593,added_new_stocks!$F$6:$F$1048576,0),3),"")</f>
        <v/>
      </c>
    </row>
    <row r="594" spans="63:63" x14ac:dyDescent="0.35">
      <c r="BK594" t="str">
        <f>IFERROR(INDEX(added_new_stocks!$F$6:$H$1048576,MATCH($A594,added_new_stocks!$F$6:$F$1048576,0),3),"")</f>
        <v/>
      </c>
    </row>
    <row r="595" spans="63:63" x14ac:dyDescent="0.35">
      <c r="BK595" t="str">
        <f>IFERROR(INDEX(added_new_stocks!$F$6:$H$1048576,MATCH($A595,added_new_stocks!$F$6:$F$1048576,0),3),"")</f>
        <v/>
      </c>
    </row>
    <row r="596" spans="63:63" x14ac:dyDescent="0.35">
      <c r="BK596" t="str">
        <f>IFERROR(INDEX(added_new_stocks!$F$6:$H$1048576,MATCH($A596,added_new_stocks!$F$6:$F$1048576,0),3),"")</f>
        <v/>
      </c>
    </row>
    <row r="597" spans="63:63" x14ac:dyDescent="0.35">
      <c r="BK597" t="str">
        <f>IFERROR(INDEX(added_new_stocks!$F$6:$H$1048576,MATCH($A597,added_new_stocks!$F$6:$F$1048576,0),3),"")</f>
        <v/>
      </c>
    </row>
    <row r="598" spans="63:63" x14ac:dyDescent="0.35">
      <c r="BK598" t="str">
        <f>IFERROR(INDEX(added_new_stocks!$F$6:$H$1048576,MATCH($A598,added_new_stocks!$F$6:$F$1048576,0),3),"")</f>
        <v/>
      </c>
    </row>
    <row r="599" spans="63:63" x14ac:dyDescent="0.35">
      <c r="BK599" t="str">
        <f>IFERROR(INDEX(added_new_stocks!$F$6:$H$1048576,MATCH($A599,added_new_stocks!$F$6:$F$1048576,0),3),"")</f>
        <v/>
      </c>
    </row>
    <row r="600" spans="63:63" x14ac:dyDescent="0.35">
      <c r="BK600" t="str">
        <f>IFERROR(INDEX(added_new_stocks!$F$6:$H$1048576,MATCH($A600,added_new_stocks!$F$6:$F$1048576,0),3),"")</f>
        <v/>
      </c>
    </row>
    <row r="601" spans="63:63" x14ac:dyDescent="0.35">
      <c r="BK601" t="str">
        <f>IFERROR(INDEX(added_new_stocks!$F$6:$H$1048576,MATCH($A601,added_new_stocks!$F$6:$F$1048576,0),3),"")</f>
        <v/>
      </c>
    </row>
    <row r="602" spans="63:63" x14ac:dyDescent="0.35">
      <c r="BK602" t="str">
        <f>IFERROR(INDEX(added_new_stocks!$F$6:$H$1048576,MATCH($A602,added_new_stocks!$F$6:$F$1048576,0),3),"")</f>
        <v/>
      </c>
    </row>
    <row r="603" spans="63:63" x14ac:dyDescent="0.35">
      <c r="BK603" t="str">
        <f>IFERROR(INDEX(added_new_stocks!$F$6:$H$1048576,MATCH($A603,added_new_stocks!$F$6:$F$1048576,0),3),"")</f>
        <v/>
      </c>
    </row>
    <row r="604" spans="63:63" x14ac:dyDescent="0.35">
      <c r="BK604" t="str">
        <f>IFERROR(INDEX(added_new_stocks!$F$6:$H$1048576,MATCH($A604,added_new_stocks!$F$6:$F$1048576,0),3),"")</f>
        <v/>
      </c>
    </row>
    <row r="605" spans="63:63" x14ac:dyDescent="0.35">
      <c r="BK605" t="str">
        <f>IFERROR(INDEX(added_new_stocks!$F$6:$H$1048576,MATCH($A605,added_new_stocks!$F$6:$F$1048576,0),3),"")</f>
        <v/>
      </c>
    </row>
    <row r="606" spans="63:63" x14ac:dyDescent="0.35">
      <c r="BK606" t="str">
        <f>IFERROR(INDEX(added_new_stocks!$F$6:$H$1048576,MATCH($A606,added_new_stocks!$F$6:$F$1048576,0),3),"")</f>
        <v/>
      </c>
    </row>
    <row r="607" spans="63:63" x14ac:dyDescent="0.35">
      <c r="BK607" t="str">
        <f>IFERROR(INDEX(added_new_stocks!$F$6:$H$1048576,MATCH($A607,added_new_stocks!$F$6:$F$1048576,0),3),"")</f>
        <v/>
      </c>
    </row>
    <row r="608" spans="63:63" x14ac:dyDescent="0.35">
      <c r="BK608" t="str">
        <f>IFERROR(INDEX(added_new_stocks!$F$6:$H$1048576,MATCH($A608,added_new_stocks!$F$6:$F$1048576,0),3),"")</f>
        <v/>
      </c>
    </row>
    <row r="609" spans="63:63" x14ac:dyDescent="0.35">
      <c r="BK609" t="str">
        <f>IFERROR(INDEX(added_new_stocks!$F$6:$H$1048576,MATCH($A609,added_new_stocks!$F$6:$F$1048576,0),3),"")</f>
        <v/>
      </c>
    </row>
    <row r="610" spans="63:63" x14ac:dyDescent="0.35">
      <c r="BK610" t="str">
        <f>IFERROR(INDEX(added_new_stocks!$F$6:$H$1048576,MATCH($A610,added_new_stocks!$F$6:$F$1048576,0),3),"")</f>
        <v/>
      </c>
    </row>
    <row r="611" spans="63:63" x14ac:dyDescent="0.35">
      <c r="BK611" t="str">
        <f>IFERROR(INDEX(added_new_stocks!$F$6:$H$1048576,MATCH($A611,added_new_stocks!$F$6:$F$1048576,0),3),"")</f>
        <v/>
      </c>
    </row>
    <row r="612" spans="63:63" x14ac:dyDescent="0.35">
      <c r="BK612" t="str">
        <f>IFERROR(INDEX(added_new_stocks!$F$6:$H$1048576,MATCH($A612,added_new_stocks!$F$6:$F$1048576,0),3),"")</f>
        <v/>
      </c>
    </row>
    <row r="613" spans="63:63" x14ac:dyDescent="0.35">
      <c r="BK613" t="str">
        <f>IFERROR(INDEX(added_new_stocks!$F$6:$H$1048576,MATCH($A613,added_new_stocks!$F$6:$F$1048576,0),3),"")</f>
        <v/>
      </c>
    </row>
    <row r="614" spans="63:63" x14ac:dyDescent="0.35">
      <c r="BK614" t="str">
        <f>IFERROR(INDEX(added_new_stocks!$F$6:$H$1048576,MATCH($A614,added_new_stocks!$F$6:$F$1048576,0),3),"")</f>
        <v/>
      </c>
    </row>
    <row r="615" spans="63:63" x14ac:dyDescent="0.35">
      <c r="BK615" t="str">
        <f>IFERROR(INDEX(added_new_stocks!$F$6:$H$1048576,MATCH($A615,added_new_stocks!$F$6:$F$1048576,0),3),"")</f>
        <v/>
      </c>
    </row>
    <row r="616" spans="63:63" x14ac:dyDescent="0.35">
      <c r="BK616" t="str">
        <f>IFERROR(INDEX(added_new_stocks!$F$6:$H$1048576,MATCH($A616,added_new_stocks!$F$6:$F$1048576,0),3),"")</f>
        <v/>
      </c>
    </row>
    <row r="617" spans="63:63" x14ac:dyDescent="0.35">
      <c r="BK617" t="str">
        <f>IFERROR(INDEX(added_new_stocks!$F$6:$H$1048576,MATCH($A617,added_new_stocks!$F$6:$F$1048576,0),3),"")</f>
        <v/>
      </c>
    </row>
    <row r="618" spans="63:63" x14ac:dyDescent="0.35">
      <c r="BK618" t="str">
        <f>IFERROR(INDEX(added_new_stocks!$F$6:$H$1048576,MATCH($A618,added_new_stocks!$F$6:$F$1048576,0),3),"")</f>
        <v/>
      </c>
    </row>
    <row r="619" spans="63:63" x14ac:dyDescent="0.35">
      <c r="BK619" t="str">
        <f>IFERROR(INDEX(added_new_stocks!$F$6:$H$1048576,MATCH($A619,added_new_stocks!$F$6:$F$1048576,0),3),"")</f>
        <v/>
      </c>
    </row>
    <row r="620" spans="63:63" x14ac:dyDescent="0.35">
      <c r="BK620" t="str">
        <f>IFERROR(INDEX(added_new_stocks!$F$6:$H$1048576,MATCH($A620,added_new_stocks!$F$6:$F$1048576,0),3),"")</f>
        <v/>
      </c>
    </row>
    <row r="621" spans="63:63" x14ac:dyDescent="0.35">
      <c r="BK621" t="str">
        <f>IFERROR(INDEX(added_new_stocks!$F$6:$H$1048576,MATCH($A621,added_new_stocks!$F$6:$F$1048576,0),3),"")</f>
        <v/>
      </c>
    </row>
    <row r="622" spans="63:63" x14ac:dyDescent="0.35">
      <c r="BK622" t="str">
        <f>IFERROR(INDEX(added_new_stocks!$F$6:$H$1048576,MATCH($A622,added_new_stocks!$F$6:$F$1048576,0),3),"")</f>
        <v/>
      </c>
    </row>
    <row r="623" spans="63:63" x14ac:dyDescent="0.35">
      <c r="BK623" t="str">
        <f>IFERROR(INDEX(added_new_stocks!$F$6:$H$1048576,MATCH($A623,added_new_stocks!$F$6:$F$1048576,0),3),"")</f>
        <v/>
      </c>
    </row>
    <row r="624" spans="63:63" x14ac:dyDescent="0.35">
      <c r="BK624" t="str">
        <f>IFERROR(INDEX(added_new_stocks!$F$6:$H$1048576,MATCH($A624,added_new_stocks!$F$6:$F$1048576,0),3),"")</f>
        <v/>
      </c>
    </row>
    <row r="625" spans="63:63" x14ac:dyDescent="0.35">
      <c r="BK625" t="str">
        <f>IFERROR(INDEX(added_new_stocks!$F$6:$H$1048576,MATCH($A625,added_new_stocks!$F$6:$F$1048576,0),3),"")</f>
        <v/>
      </c>
    </row>
    <row r="626" spans="63:63" x14ac:dyDescent="0.35">
      <c r="BK626" t="str">
        <f>IFERROR(INDEX(added_new_stocks!$F$6:$H$1048576,MATCH($A626,added_new_stocks!$F$6:$F$1048576,0),3),"")</f>
        <v/>
      </c>
    </row>
    <row r="627" spans="63:63" x14ac:dyDescent="0.35">
      <c r="BK627" t="str">
        <f>IFERROR(INDEX(added_new_stocks!$F$6:$H$1048576,MATCH($A627,added_new_stocks!$F$6:$F$1048576,0),3),"")</f>
        <v/>
      </c>
    </row>
    <row r="628" spans="63:63" x14ac:dyDescent="0.35">
      <c r="BK628" t="str">
        <f>IFERROR(INDEX(added_new_stocks!$F$6:$H$1048576,MATCH($A628,added_new_stocks!$F$6:$F$1048576,0),3),"")</f>
        <v/>
      </c>
    </row>
    <row r="629" spans="63:63" x14ac:dyDescent="0.35">
      <c r="BK629" t="str">
        <f>IFERROR(INDEX(added_new_stocks!$F$6:$H$1048576,MATCH($A629,added_new_stocks!$F$6:$F$1048576,0),3),"")</f>
        <v/>
      </c>
    </row>
    <row r="630" spans="63:63" x14ac:dyDescent="0.35">
      <c r="BK630" t="str">
        <f>IFERROR(INDEX(added_new_stocks!$F$6:$H$1048576,MATCH($A630,added_new_stocks!$F$6:$F$1048576,0),3),"")</f>
        <v/>
      </c>
    </row>
    <row r="631" spans="63:63" x14ac:dyDescent="0.35">
      <c r="BK631" t="str">
        <f>IFERROR(INDEX(added_new_stocks!$F$6:$H$1048576,MATCH($A631,added_new_stocks!$F$6:$F$1048576,0),3),"")</f>
        <v/>
      </c>
    </row>
    <row r="632" spans="63:63" x14ac:dyDescent="0.35">
      <c r="BK632" t="str">
        <f>IFERROR(INDEX(added_new_stocks!$F$6:$H$1048576,MATCH($A632,added_new_stocks!$F$6:$F$1048576,0),3),"")</f>
        <v/>
      </c>
    </row>
    <row r="633" spans="63:63" x14ac:dyDescent="0.35">
      <c r="BK633" t="str">
        <f>IFERROR(INDEX(added_new_stocks!$F$6:$H$1048576,MATCH($A633,added_new_stocks!$F$6:$F$1048576,0),3),"")</f>
        <v/>
      </c>
    </row>
    <row r="634" spans="63:63" x14ac:dyDescent="0.35">
      <c r="BK634" t="str">
        <f>IFERROR(INDEX(added_new_stocks!$F$6:$H$1048576,MATCH($A634,added_new_stocks!$F$6:$F$1048576,0),3),"")</f>
        <v/>
      </c>
    </row>
    <row r="635" spans="63:63" x14ac:dyDescent="0.35">
      <c r="BK635" t="str">
        <f>IFERROR(INDEX(added_new_stocks!$F$6:$H$1048576,MATCH($A635,added_new_stocks!$F$6:$F$1048576,0),3),"")</f>
        <v/>
      </c>
    </row>
    <row r="636" spans="63:63" x14ac:dyDescent="0.35">
      <c r="BK636" t="str">
        <f>IFERROR(INDEX(added_new_stocks!$F$6:$H$1048576,MATCH($A636,added_new_stocks!$F$6:$F$1048576,0),3),"")</f>
        <v/>
      </c>
    </row>
    <row r="637" spans="63:63" x14ac:dyDescent="0.35">
      <c r="BK637" t="str">
        <f>IFERROR(INDEX(added_new_stocks!$F$6:$H$1048576,MATCH($A637,added_new_stocks!$F$6:$F$1048576,0),3),"")</f>
        <v/>
      </c>
    </row>
    <row r="638" spans="63:63" x14ac:dyDescent="0.35">
      <c r="BK638" t="str">
        <f>IFERROR(INDEX(added_new_stocks!$F$6:$H$1048576,MATCH($A638,added_new_stocks!$F$6:$F$1048576,0),3),"")</f>
        <v/>
      </c>
    </row>
    <row r="639" spans="63:63" x14ac:dyDescent="0.35">
      <c r="BK639" t="str">
        <f>IFERROR(INDEX(added_new_stocks!$F$6:$H$1048576,MATCH($A639,added_new_stocks!$F$6:$F$1048576,0),3),"")</f>
        <v/>
      </c>
    </row>
    <row r="640" spans="63:63" x14ac:dyDescent="0.35">
      <c r="BK640" t="str">
        <f>IFERROR(INDEX(added_new_stocks!$F$6:$H$1048576,MATCH($A640,added_new_stocks!$F$6:$F$1048576,0),3),"")</f>
        <v/>
      </c>
    </row>
    <row r="641" spans="63:63" x14ac:dyDescent="0.35">
      <c r="BK641" t="str">
        <f>IFERROR(INDEX(added_new_stocks!$F$6:$H$1048576,MATCH($A641,added_new_stocks!$F$6:$F$1048576,0),3),"")</f>
        <v/>
      </c>
    </row>
    <row r="642" spans="63:63" x14ac:dyDescent="0.35">
      <c r="BK642" t="str">
        <f>IFERROR(INDEX(added_new_stocks!$F$6:$H$1048576,MATCH($A642,added_new_stocks!$F$6:$F$1048576,0),3),"")</f>
        <v/>
      </c>
    </row>
    <row r="643" spans="63:63" x14ac:dyDescent="0.35">
      <c r="BK643" t="str">
        <f>IFERROR(INDEX(added_new_stocks!$F$6:$H$1048576,MATCH($A643,added_new_stocks!$F$6:$F$1048576,0),3),"")</f>
        <v/>
      </c>
    </row>
    <row r="644" spans="63:63" x14ac:dyDescent="0.35">
      <c r="BK644" t="str">
        <f>IFERROR(INDEX(added_new_stocks!$F$6:$H$1048576,MATCH($A644,added_new_stocks!$F$6:$F$1048576,0),3),"")</f>
        <v/>
      </c>
    </row>
    <row r="645" spans="63:63" x14ac:dyDescent="0.35">
      <c r="BK645" t="str">
        <f>IFERROR(INDEX(added_new_stocks!$F$6:$H$1048576,MATCH($A645,added_new_stocks!$F$6:$F$1048576,0),3),"")</f>
        <v/>
      </c>
    </row>
    <row r="646" spans="63:63" x14ac:dyDescent="0.35">
      <c r="BK646" t="str">
        <f>IFERROR(INDEX(added_new_stocks!$F$6:$H$1048576,MATCH($A646,added_new_stocks!$F$6:$F$1048576,0),3),"")</f>
        <v/>
      </c>
    </row>
    <row r="647" spans="63:63" x14ac:dyDescent="0.35">
      <c r="BK647" t="str">
        <f>IFERROR(INDEX(added_new_stocks!$F$6:$H$1048576,MATCH($A647,added_new_stocks!$F$6:$F$1048576,0),3),"")</f>
        <v/>
      </c>
    </row>
    <row r="648" spans="63:63" x14ac:dyDescent="0.35">
      <c r="BK648" t="str">
        <f>IFERROR(INDEX(added_new_stocks!$F$6:$H$1048576,MATCH($A648,added_new_stocks!$F$6:$F$1048576,0),3),"")</f>
        <v/>
      </c>
    </row>
    <row r="649" spans="63:63" x14ac:dyDescent="0.35">
      <c r="BK649" t="str">
        <f>IFERROR(INDEX(added_new_stocks!$F$6:$H$1048576,MATCH($A649,added_new_stocks!$F$6:$F$1048576,0),3),"")</f>
        <v/>
      </c>
    </row>
    <row r="650" spans="63:63" x14ac:dyDescent="0.35">
      <c r="BK650" t="str">
        <f>IFERROR(INDEX(added_new_stocks!$F$6:$H$1048576,MATCH($A650,added_new_stocks!$F$6:$F$1048576,0),3),"")</f>
        <v/>
      </c>
    </row>
    <row r="651" spans="63:63" x14ac:dyDescent="0.35">
      <c r="BK651" t="str">
        <f>IFERROR(INDEX(added_new_stocks!$F$6:$H$1048576,MATCH($A651,added_new_stocks!$F$6:$F$1048576,0),3),"")</f>
        <v/>
      </c>
    </row>
    <row r="652" spans="63:63" x14ac:dyDescent="0.35">
      <c r="BK652" t="str">
        <f>IFERROR(INDEX(added_new_stocks!$F$6:$H$1048576,MATCH($A652,added_new_stocks!$F$6:$F$1048576,0),3),"")</f>
        <v/>
      </c>
    </row>
    <row r="653" spans="63:63" x14ac:dyDescent="0.35">
      <c r="BK653" t="str">
        <f>IFERROR(INDEX(added_new_stocks!$F$6:$H$1048576,MATCH($A653,added_new_stocks!$F$6:$F$1048576,0),3),"")</f>
        <v/>
      </c>
    </row>
    <row r="654" spans="63:63" x14ac:dyDescent="0.35">
      <c r="BK654" t="str">
        <f>IFERROR(INDEX(added_new_stocks!$F$6:$H$1048576,MATCH($A654,added_new_stocks!$F$6:$F$1048576,0),3),"")</f>
        <v/>
      </c>
    </row>
    <row r="655" spans="63:63" x14ac:dyDescent="0.35">
      <c r="BK655" t="str">
        <f>IFERROR(INDEX(added_new_stocks!$F$6:$H$1048576,MATCH($A655,added_new_stocks!$F$6:$F$1048576,0),3),"")</f>
        <v/>
      </c>
    </row>
    <row r="656" spans="63:63" x14ac:dyDescent="0.35">
      <c r="BK656" t="str">
        <f>IFERROR(INDEX(added_new_stocks!$F$6:$H$1048576,MATCH($A656,added_new_stocks!$F$6:$F$1048576,0),3),"")</f>
        <v/>
      </c>
    </row>
    <row r="657" spans="63:63" x14ac:dyDescent="0.35">
      <c r="BK657" t="str">
        <f>IFERROR(INDEX(added_new_stocks!$F$6:$H$1048576,MATCH($A657,added_new_stocks!$F$6:$F$1048576,0),3),"")</f>
        <v/>
      </c>
    </row>
    <row r="658" spans="63:63" x14ac:dyDescent="0.35">
      <c r="BK658" t="str">
        <f>IFERROR(INDEX(added_new_stocks!$F$6:$H$1048576,MATCH($A658,added_new_stocks!$F$6:$F$1048576,0),3),"")</f>
        <v/>
      </c>
    </row>
    <row r="659" spans="63:63" x14ac:dyDescent="0.35">
      <c r="BK659" t="str">
        <f>IFERROR(INDEX(added_new_stocks!$F$6:$H$1048576,MATCH($A659,added_new_stocks!$F$6:$F$1048576,0),3),"")</f>
        <v/>
      </c>
    </row>
    <row r="660" spans="63:63" x14ac:dyDescent="0.35">
      <c r="BK660" t="str">
        <f>IFERROR(INDEX(added_new_stocks!$F$6:$H$1048576,MATCH($A660,added_new_stocks!$F$6:$F$1048576,0),3),"")</f>
        <v/>
      </c>
    </row>
    <row r="661" spans="63:63" x14ac:dyDescent="0.35">
      <c r="BK661" t="str">
        <f>IFERROR(INDEX(added_new_stocks!$F$6:$H$1048576,MATCH($A661,added_new_stocks!$F$6:$F$1048576,0),3),"")</f>
        <v/>
      </c>
    </row>
    <row r="662" spans="63:63" x14ac:dyDescent="0.35">
      <c r="BK662" t="str">
        <f>IFERROR(INDEX(added_new_stocks!$F$6:$H$1048576,MATCH($A662,added_new_stocks!$F$6:$F$1048576,0),3),"")</f>
        <v/>
      </c>
    </row>
    <row r="663" spans="63:63" x14ac:dyDescent="0.35">
      <c r="BK663" t="str">
        <f>IFERROR(INDEX(added_new_stocks!$F$6:$H$1048576,MATCH($A663,added_new_stocks!$F$6:$F$1048576,0),3),"")</f>
        <v/>
      </c>
    </row>
    <row r="664" spans="63:63" x14ac:dyDescent="0.35">
      <c r="BK664" t="str">
        <f>IFERROR(INDEX(added_new_stocks!$F$6:$H$1048576,MATCH($A664,added_new_stocks!$F$6:$F$1048576,0),3),"")</f>
        <v/>
      </c>
    </row>
    <row r="665" spans="63:63" x14ac:dyDescent="0.35">
      <c r="BK665" t="str">
        <f>IFERROR(INDEX(added_new_stocks!$F$6:$H$1048576,MATCH($A665,added_new_stocks!$F$6:$F$1048576,0),3),"")</f>
        <v/>
      </c>
    </row>
    <row r="666" spans="63:63" x14ac:dyDescent="0.35">
      <c r="BK666" t="str">
        <f>IFERROR(INDEX(added_new_stocks!$F$6:$H$1048576,MATCH($A666,added_new_stocks!$F$6:$F$1048576,0),3),"")</f>
        <v/>
      </c>
    </row>
    <row r="667" spans="63:63" x14ac:dyDescent="0.35">
      <c r="BK667" t="str">
        <f>IFERROR(INDEX(added_new_stocks!$F$6:$H$1048576,MATCH($A667,added_new_stocks!$F$6:$F$1048576,0),3),"")</f>
        <v/>
      </c>
    </row>
    <row r="668" spans="63:63" x14ac:dyDescent="0.35">
      <c r="BK668" t="str">
        <f>IFERROR(INDEX(added_new_stocks!$F$6:$H$1048576,MATCH($A668,added_new_stocks!$F$6:$F$1048576,0),3),"")</f>
        <v/>
      </c>
    </row>
    <row r="669" spans="63:63" x14ac:dyDescent="0.35">
      <c r="BK669" t="str">
        <f>IFERROR(INDEX(added_new_stocks!$F$6:$H$1048576,MATCH($A669,added_new_stocks!$F$6:$F$1048576,0),3),"")</f>
        <v/>
      </c>
    </row>
    <row r="670" spans="63:63" x14ac:dyDescent="0.35">
      <c r="BK670" t="str">
        <f>IFERROR(INDEX(added_new_stocks!$F$6:$H$1048576,MATCH($A670,added_new_stocks!$F$6:$F$1048576,0),3),"")</f>
        <v/>
      </c>
    </row>
    <row r="671" spans="63:63" x14ac:dyDescent="0.35">
      <c r="BK671" t="str">
        <f>IFERROR(INDEX(added_new_stocks!$F$6:$H$1048576,MATCH($A671,added_new_stocks!$F$6:$F$1048576,0),3),"")</f>
        <v/>
      </c>
    </row>
    <row r="672" spans="63:63" x14ac:dyDescent="0.35">
      <c r="BK672" t="str">
        <f>IFERROR(INDEX(added_new_stocks!$F$6:$H$1048576,MATCH($A672,added_new_stocks!$F$6:$F$1048576,0),3),"")</f>
        <v/>
      </c>
    </row>
    <row r="673" spans="63:63" x14ac:dyDescent="0.35">
      <c r="BK673" t="str">
        <f>IFERROR(INDEX(added_new_stocks!$F$6:$H$1048576,MATCH($A673,added_new_stocks!$F$6:$F$1048576,0),3),"")</f>
        <v/>
      </c>
    </row>
    <row r="674" spans="63:63" x14ac:dyDescent="0.35">
      <c r="BK674" t="str">
        <f>IFERROR(INDEX(added_new_stocks!$F$6:$H$1048576,MATCH($A674,added_new_stocks!$F$6:$F$1048576,0),3),"")</f>
        <v/>
      </c>
    </row>
    <row r="675" spans="63:63" x14ac:dyDescent="0.35">
      <c r="BK675" t="str">
        <f>IFERROR(INDEX(added_new_stocks!$F$6:$H$1048576,MATCH($A675,added_new_stocks!$F$6:$F$1048576,0),3),"")</f>
        <v/>
      </c>
    </row>
    <row r="676" spans="63:63" x14ac:dyDescent="0.35">
      <c r="BK676" t="str">
        <f>IFERROR(INDEX(added_new_stocks!$F$6:$H$1048576,MATCH($A676,added_new_stocks!$F$6:$F$1048576,0),3),"")</f>
        <v/>
      </c>
    </row>
    <row r="677" spans="63:63" x14ac:dyDescent="0.35">
      <c r="BK677" t="str">
        <f>IFERROR(INDEX(added_new_stocks!$F$6:$H$1048576,MATCH($A677,added_new_stocks!$F$6:$F$1048576,0),3),"")</f>
        <v/>
      </c>
    </row>
    <row r="678" spans="63:63" x14ac:dyDescent="0.35">
      <c r="BK678" t="str">
        <f>IFERROR(INDEX(added_new_stocks!$F$6:$H$1048576,MATCH($A678,added_new_stocks!$F$6:$F$1048576,0),3),"")</f>
        <v/>
      </c>
    </row>
    <row r="679" spans="63:63" x14ac:dyDescent="0.35">
      <c r="BK679" t="str">
        <f>IFERROR(INDEX(added_new_stocks!$F$6:$H$1048576,MATCH($A679,added_new_stocks!$F$6:$F$1048576,0),3),"")</f>
        <v/>
      </c>
    </row>
    <row r="680" spans="63:63" x14ac:dyDescent="0.35">
      <c r="BK680" t="str">
        <f>IFERROR(INDEX(added_new_stocks!$F$6:$H$1048576,MATCH($A680,added_new_stocks!$F$6:$F$1048576,0),3),"")</f>
        <v/>
      </c>
    </row>
    <row r="681" spans="63:63" x14ac:dyDescent="0.35">
      <c r="BK681" t="str">
        <f>IFERROR(INDEX(added_new_stocks!$F$6:$H$1048576,MATCH($A681,added_new_stocks!$F$6:$F$1048576,0),3),"")</f>
        <v/>
      </c>
    </row>
    <row r="682" spans="63:63" x14ac:dyDescent="0.35">
      <c r="BK682" t="str">
        <f>IFERROR(INDEX(added_new_stocks!$F$6:$H$1048576,MATCH($A682,added_new_stocks!$F$6:$F$1048576,0),3),"")</f>
        <v/>
      </c>
    </row>
    <row r="683" spans="63:63" x14ac:dyDescent="0.35">
      <c r="BK683" t="str">
        <f>IFERROR(INDEX(added_new_stocks!$F$6:$H$1048576,MATCH($A683,added_new_stocks!$F$6:$F$1048576,0),3),"")</f>
        <v/>
      </c>
    </row>
    <row r="684" spans="63:63" x14ac:dyDescent="0.35">
      <c r="BK684" t="str">
        <f>IFERROR(INDEX(added_new_stocks!$F$6:$H$1048576,MATCH($A684,added_new_stocks!$F$6:$F$1048576,0),3),"")</f>
        <v/>
      </c>
    </row>
    <row r="685" spans="63:63" x14ac:dyDescent="0.35">
      <c r="BK685" t="str">
        <f>IFERROR(INDEX(added_new_stocks!$F$6:$H$1048576,MATCH($A685,added_new_stocks!$F$6:$F$1048576,0),3),"")</f>
        <v/>
      </c>
    </row>
    <row r="686" spans="63:63" x14ac:dyDescent="0.35">
      <c r="BK686" t="str">
        <f>IFERROR(INDEX(added_new_stocks!$F$6:$H$1048576,MATCH($A686,added_new_stocks!$F$6:$F$1048576,0),3),"")</f>
        <v/>
      </c>
    </row>
    <row r="687" spans="63:63" x14ac:dyDescent="0.35">
      <c r="BK687" t="str">
        <f>IFERROR(INDEX(added_new_stocks!$F$6:$H$1048576,MATCH($A687,added_new_stocks!$F$6:$F$1048576,0),3),"")</f>
        <v/>
      </c>
    </row>
    <row r="688" spans="63:63" x14ac:dyDescent="0.35">
      <c r="BK688" t="str">
        <f>IFERROR(INDEX(added_new_stocks!$F$6:$H$1048576,MATCH($A688,added_new_stocks!$F$6:$F$1048576,0),3),"")</f>
        <v/>
      </c>
    </row>
    <row r="689" spans="63:63" x14ac:dyDescent="0.35">
      <c r="BK689" t="str">
        <f>IFERROR(INDEX(added_new_stocks!$F$6:$H$1048576,MATCH($A689,added_new_stocks!$F$6:$F$1048576,0),3),"")</f>
        <v/>
      </c>
    </row>
    <row r="690" spans="63:63" x14ac:dyDescent="0.35">
      <c r="BK690" t="str">
        <f>IFERROR(INDEX(added_new_stocks!$F$6:$H$1048576,MATCH($A690,added_new_stocks!$F$6:$F$1048576,0),3),"")</f>
        <v/>
      </c>
    </row>
    <row r="691" spans="63:63" x14ac:dyDescent="0.35">
      <c r="BK691" t="str">
        <f>IFERROR(INDEX(added_new_stocks!$F$6:$H$1048576,MATCH($A691,added_new_stocks!$F$6:$F$1048576,0),3),"")</f>
        <v/>
      </c>
    </row>
    <row r="692" spans="63:63" x14ac:dyDescent="0.35">
      <c r="BK692" t="str">
        <f>IFERROR(INDEX(added_new_stocks!$F$6:$H$1048576,MATCH($A692,added_new_stocks!$F$6:$F$1048576,0),3),"")</f>
        <v/>
      </c>
    </row>
    <row r="693" spans="63:63" x14ac:dyDescent="0.35">
      <c r="BK693" t="str">
        <f>IFERROR(INDEX(added_new_stocks!$F$6:$H$1048576,MATCH($A693,added_new_stocks!$F$6:$F$1048576,0),3),"")</f>
        <v/>
      </c>
    </row>
    <row r="694" spans="63:63" x14ac:dyDescent="0.35">
      <c r="BK694" t="str">
        <f>IFERROR(INDEX(added_new_stocks!$F$6:$H$1048576,MATCH($A694,added_new_stocks!$F$6:$F$1048576,0),3),"")</f>
        <v/>
      </c>
    </row>
    <row r="695" spans="63:63" x14ac:dyDescent="0.35">
      <c r="BK695" t="str">
        <f>IFERROR(INDEX(added_new_stocks!$F$6:$H$1048576,MATCH($A695,added_new_stocks!$F$6:$F$1048576,0),3),"")</f>
        <v/>
      </c>
    </row>
    <row r="696" spans="63:63" x14ac:dyDescent="0.35">
      <c r="BK696" t="str">
        <f>IFERROR(INDEX(added_new_stocks!$F$6:$H$1048576,MATCH($A696,added_new_stocks!$F$6:$F$1048576,0),3),"")</f>
        <v/>
      </c>
    </row>
    <row r="697" spans="63:63" x14ac:dyDescent="0.35">
      <c r="BK697" t="str">
        <f>IFERROR(INDEX(added_new_stocks!$F$6:$H$1048576,MATCH($A697,added_new_stocks!$F$6:$F$1048576,0),3),"")</f>
        <v/>
      </c>
    </row>
    <row r="698" spans="63:63" x14ac:dyDescent="0.35">
      <c r="BK698" t="str">
        <f>IFERROR(INDEX(added_new_stocks!$F$6:$H$1048576,MATCH($A698,added_new_stocks!$F$6:$F$1048576,0),3),"")</f>
        <v/>
      </c>
    </row>
    <row r="699" spans="63:63" x14ac:dyDescent="0.35">
      <c r="BK699" t="str">
        <f>IFERROR(INDEX(added_new_stocks!$F$6:$H$1048576,MATCH($A699,added_new_stocks!$F$6:$F$1048576,0),3),"")</f>
        <v/>
      </c>
    </row>
    <row r="700" spans="63:63" x14ac:dyDescent="0.35">
      <c r="BK700" t="str">
        <f>IFERROR(INDEX(added_new_stocks!$F$6:$H$1048576,MATCH($A700,added_new_stocks!$F$6:$F$1048576,0),3),"")</f>
        <v/>
      </c>
    </row>
    <row r="701" spans="63:63" x14ac:dyDescent="0.35">
      <c r="BK701" t="str">
        <f>IFERROR(INDEX(added_new_stocks!$F$6:$H$1048576,MATCH($A701,added_new_stocks!$F$6:$F$1048576,0),3),"")</f>
        <v/>
      </c>
    </row>
    <row r="702" spans="63:63" x14ac:dyDescent="0.35">
      <c r="BK702" t="str">
        <f>IFERROR(INDEX(added_new_stocks!$F$6:$H$1048576,MATCH($A702,added_new_stocks!$F$6:$F$1048576,0),3),"")</f>
        <v/>
      </c>
    </row>
    <row r="703" spans="63:63" x14ac:dyDescent="0.35">
      <c r="BK703" t="str">
        <f>IFERROR(INDEX(added_new_stocks!$F$6:$H$1048576,MATCH($A703,added_new_stocks!$F$6:$F$1048576,0),3),"")</f>
        <v/>
      </c>
    </row>
    <row r="704" spans="63:63" x14ac:dyDescent="0.35">
      <c r="BK704" t="str">
        <f>IFERROR(INDEX(added_new_stocks!$F$6:$H$1048576,MATCH($A704,added_new_stocks!$F$6:$F$1048576,0),3),"")</f>
        <v/>
      </c>
    </row>
    <row r="705" spans="63:63" x14ac:dyDescent="0.35">
      <c r="BK705" t="str">
        <f>IFERROR(INDEX(added_new_stocks!$F$6:$H$1048576,MATCH($A705,added_new_stocks!$F$6:$F$1048576,0),3),"")</f>
        <v/>
      </c>
    </row>
    <row r="706" spans="63:63" x14ac:dyDescent="0.35">
      <c r="BK706" t="str">
        <f>IFERROR(INDEX(added_new_stocks!$F$6:$H$1048576,MATCH($A706,added_new_stocks!$F$6:$F$1048576,0),3),"")</f>
        <v/>
      </c>
    </row>
    <row r="707" spans="63:63" x14ac:dyDescent="0.35">
      <c r="BK707" t="str">
        <f>IFERROR(INDEX(added_new_stocks!$F$6:$H$1048576,MATCH($A707,added_new_stocks!$F$6:$F$1048576,0),3),"")</f>
        <v/>
      </c>
    </row>
    <row r="708" spans="63:63" x14ac:dyDescent="0.35">
      <c r="BK708" t="str">
        <f>IFERROR(INDEX(added_new_stocks!$F$6:$H$1048576,MATCH($A708,added_new_stocks!$F$6:$F$1048576,0),3),"")</f>
        <v/>
      </c>
    </row>
    <row r="709" spans="63:63" x14ac:dyDescent="0.35">
      <c r="BK709" t="str">
        <f>IFERROR(INDEX(added_new_stocks!$F$6:$H$1048576,MATCH($A709,added_new_stocks!$F$6:$F$1048576,0),3),"")</f>
        <v/>
      </c>
    </row>
    <row r="710" spans="63:63" x14ac:dyDescent="0.35">
      <c r="BK710" t="str">
        <f>IFERROR(INDEX(added_new_stocks!$F$6:$H$1048576,MATCH($A710,added_new_stocks!$F$6:$F$1048576,0),3),"")</f>
        <v/>
      </c>
    </row>
    <row r="711" spans="63:63" x14ac:dyDescent="0.35">
      <c r="BK711" t="str">
        <f>IFERROR(INDEX(added_new_stocks!$F$6:$H$1048576,MATCH($A711,added_new_stocks!$F$6:$F$1048576,0),3),"")</f>
        <v/>
      </c>
    </row>
    <row r="712" spans="63:63" x14ac:dyDescent="0.35">
      <c r="BK712" t="str">
        <f>IFERROR(INDEX(added_new_stocks!$F$6:$H$1048576,MATCH($A712,added_new_stocks!$F$6:$F$1048576,0),3),"")</f>
        <v/>
      </c>
    </row>
    <row r="713" spans="63:63" x14ac:dyDescent="0.35">
      <c r="BK713" t="str">
        <f>IFERROR(INDEX(added_new_stocks!$F$6:$H$1048576,MATCH($A713,added_new_stocks!$F$6:$F$1048576,0),3),"")</f>
        <v/>
      </c>
    </row>
    <row r="714" spans="63:63" x14ac:dyDescent="0.35">
      <c r="BK714" t="str">
        <f>IFERROR(INDEX(added_new_stocks!$F$6:$H$1048576,MATCH($A714,added_new_stocks!$F$6:$F$1048576,0),3),"")</f>
        <v/>
      </c>
    </row>
    <row r="715" spans="63:63" x14ac:dyDescent="0.35">
      <c r="BK715" t="str">
        <f>IFERROR(INDEX(added_new_stocks!$F$6:$H$1048576,MATCH($A715,added_new_stocks!$F$6:$F$1048576,0),3),"")</f>
        <v/>
      </c>
    </row>
    <row r="716" spans="63:63" x14ac:dyDescent="0.35">
      <c r="BK716" t="str">
        <f>IFERROR(INDEX(added_new_stocks!$F$6:$H$1048576,MATCH($A716,added_new_stocks!$F$6:$F$1048576,0),3),"")</f>
        <v/>
      </c>
    </row>
    <row r="717" spans="63:63" x14ac:dyDescent="0.35">
      <c r="BK717" t="str">
        <f>IFERROR(INDEX(added_new_stocks!$F$6:$H$1048576,MATCH($A717,added_new_stocks!$F$6:$F$1048576,0),3),"")</f>
        <v/>
      </c>
    </row>
    <row r="718" spans="63:63" x14ac:dyDescent="0.35">
      <c r="BK718" t="str">
        <f>IFERROR(INDEX(added_new_stocks!$F$6:$H$1048576,MATCH($A718,added_new_stocks!$F$6:$F$1048576,0),3),"")</f>
        <v/>
      </c>
    </row>
    <row r="719" spans="63:63" x14ac:dyDescent="0.35">
      <c r="BK719" t="str">
        <f>IFERROR(INDEX(added_new_stocks!$F$6:$H$1048576,MATCH($A719,added_new_stocks!$F$6:$F$1048576,0),3),"")</f>
        <v/>
      </c>
    </row>
    <row r="720" spans="63:63" x14ac:dyDescent="0.35">
      <c r="BK720" t="str">
        <f>IFERROR(INDEX(added_new_stocks!$F$6:$H$1048576,MATCH($A720,added_new_stocks!$F$6:$F$1048576,0),3),"")</f>
        <v/>
      </c>
    </row>
    <row r="721" spans="63:63" x14ac:dyDescent="0.35">
      <c r="BK721" t="str">
        <f>IFERROR(INDEX(added_new_stocks!$F$6:$H$1048576,MATCH($A721,added_new_stocks!$F$6:$F$1048576,0),3),"")</f>
        <v/>
      </c>
    </row>
    <row r="722" spans="63:63" x14ac:dyDescent="0.35">
      <c r="BK722" t="str">
        <f>IFERROR(INDEX(added_new_stocks!$F$6:$H$1048576,MATCH($A722,added_new_stocks!$F$6:$F$1048576,0),3),"")</f>
        <v/>
      </c>
    </row>
    <row r="723" spans="63:63" x14ac:dyDescent="0.35">
      <c r="BK723" t="str">
        <f>IFERROR(INDEX(added_new_stocks!$F$6:$H$1048576,MATCH($A723,added_new_stocks!$F$6:$F$1048576,0),3),"")</f>
        <v/>
      </c>
    </row>
    <row r="724" spans="63:63" x14ac:dyDescent="0.35">
      <c r="BK724" t="str">
        <f>IFERROR(INDEX(added_new_stocks!$F$6:$H$1048576,MATCH($A724,added_new_stocks!$F$6:$F$1048576,0),3),"")</f>
        <v/>
      </c>
    </row>
    <row r="725" spans="63:63" x14ac:dyDescent="0.35">
      <c r="BK725" t="str">
        <f>IFERROR(INDEX(added_new_stocks!$F$6:$H$1048576,MATCH($A725,added_new_stocks!$F$6:$F$1048576,0),3),"")</f>
        <v/>
      </c>
    </row>
    <row r="726" spans="63:63" x14ac:dyDescent="0.35">
      <c r="BK726" t="str">
        <f>IFERROR(INDEX(added_new_stocks!$F$6:$H$1048576,MATCH($A726,added_new_stocks!$F$6:$F$1048576,0),3),"")</f>
        <v/>
      </c>
    </row>
    <row r="727" spans="63:63" x14ac:dyDescent="0.35">
      <c r="BK727" t="str">
        <f>IFERROR(INDEX(added_new_stocks!$F$6:$H$1048576,MATCH($A727,added_new_stocks!$F$6:$F$1048576,0),3),"")</f>
        <v/>
      </c>
    </row>
    <row r="728" spans="63:63" x14ac:dyDescent="0.35">
      <c r="BK728" t="str">
        <f>IFERROR(INDEX(added_new_stocks!$F$6:$H$1048576,MATCH($A728,added_new_stocks!$F$6:$F$1048576,0),3),"")</f>
        <v/>
      </c>
    </row>
    <row r="729" spans="63:63" x14ac:dyDescent="0.35">
      <c r="BK729" t="str">
        <f>IFERROR(INDEX(added_new_stocks!$F$6:$H$1048576,MATCH($A729,added_new_stocks!$F$6:$F$1048576,0),3),"")</f>
        <v/>
      </c>
    </row>
    <row r="730" spans="63:63" x14ac:dyDescent="0.35">
      <c r="BK730" t="str">
        <f>IFERROR(INDEX(added_new_stocks!$F$6:$H$1048576,MATCH($A730,added_new_stocks!$F$6:$F$1048576,0),3),"")</f>
        <v/>
      </c>
    </row>
    <row r="731" spans="63:63" x14ac:dyDescent="0.35">
      <c r="BK731" t="str">
        <f>IFERROR(INDEX(added_new_stocks!$F$6:$H$1048576,MATCH($A731,added_new_stocks!$F$6:$F$1048576,0),3),"")</f>
        <v/>
      </c>
    </row>
    <row r="732" spans="63:63" x14ac:dyDescent="0.35">
      <c r="BK732" t="str">
        <f>IFERROR(INDEX(added_new_stocks!$F$6:$H$1048576,MATCH($A732,added_new_stocks!$F$6:$F$1048576,0),3),"")</f>
        <v/>
      </c>
    </row>
    <row r="733" spans="63:63" x14ac:dyDescent="0.35">
      <c r="BK733" t="str">
        <f>IFERROR(INDEX(added_new_stocks!$F$6:$H$1048576,MATCH($A733,added_new_stocks!$F$6:$F$1048576,0),3),"")</f>
        <v/>
      </c>
    </row>
    <row r="734" spans="63:63" x14ac:dyDescent="0.35">
      <c r="BK734" t="str">
        <f>IFERROR(INDEX(added_new_stocks!$F$6:$H$1048576,MATCH($A734,added_new_stocks!$F$6:$F$1048576,0),3),"")</f>
        <v/>
      </c>
    </row>
    <row r="735" spans="63:63" x14ac:dyDescent="0.35">
      <c r="BK735" t="str">
        <f>IFERROR(INDEX(added_new_stocks!$F$6:$H$1048576,MATCH($A735,added_new_stocks!$F$6:$F$1048576,0),3),"")</f>
        <v/>
      </c>
    </row>
    <row r="736" spans="63:63" x14ac:dyDescent="0.35">
      <c r="BK736" t="str">
        <f>IFERROR(INDEX(added_new_stocks!$F$6:$H$1048576,MATCH($A736,added_new_stocks!$F$6:$F$1048576,0),3),"")</f>
        <v/>
      </c>
    </row>
    <row r="737" spans="63:63" x14ac:dyDescent="0.35">
      <c r="BK737" t="str">
        <f>IFERROR(INDEX(added_new_stocks!$F$6:$H$1048576,MATCH($A737,added_new_stocks!$F$6:$F$1048576,0),3),"")</f>
        <v/>
      </c>
    </row>
    <row r="738" spans="63:63" x14ac:dyDescent="0.35">
      <c r="BK738" t="str">
        <f>IFERROR(INDEX(added_new_stocks!$F$6:$H$1048576,MATCH($A738,added_new_stocks!$F$6:$F$1048576,0),3),"")</f>
        <v/>
      </c>
    </row>
    <row r="739" spans="63:63" x14ac:dyDescent="0.35">
      <c r="BK739" t="str">
        <f>IFERROR(INDEX(added_new_stocks!$F$6:$H$1048576,MATCH($A739,added_new_stocks!$F$6:$F$1048576,0),3),"")</f>
        <v/>
      </c>
    </row>
    <row r="740" spans="63:63" x14ac:dyDescent="0.35">
      <c r="BK740" t="str">
        <f>IFERROR(INDEX(added_new_stocks!$F$6:$H$1048576,MATCH($A740,added_new_stocks!$F$6:$F$1048576,0),3),"")</f>
        <v/>
      </c>
    </row>
    <row r="741" spans="63:63" x14ac:dyDescent="0.35">
      <c r="BK741" t="str">
        <f>IFERROR(INDEX(added_new_stocks!$F$6:$H$1048576,MATCH($A741,added_new_stocks!$F$6:$F$1048576,0),3),"")</f>
        <v/>
      </c>
    </row>
    <row r="742" spans="63:63" x14ac:dyDescent="0.35">
      <c r="BK742" t="str">
        <f>IFERROR(INDEX(added_new_stocks!$F$6:$H$1048576,MATCH($A742,added_new_stocks!$F$6:$F$1048576,0),3),"")</f>
        <v/>
      </c>
    </row>
    <row r="743" spans="63:63" x14ac:dyDescent="0.35">
      <c r="BK743" t="str">
        <f>IFERROR(INDEX(added_new_stocks!$F$6:$H$1048576,MATCH($A743,added_new_stocks!$F$6:$F$1048576,0),3),"")</f>
        <v/>
      </c>
    </row>
    <row r="744" spans="63:63" x14ac:dyDescent="0.35">
      <c r="BK744" t="str">
        <f>IFERROR(INDEX(added_new_stocks!$F$6:$H$1048576,MATCH($A744,added_new_stocks!$F$6:$F$1048576,0),3),"")</f>
        <v/>
      </c>
    </row>
    <row r="745" spans="63:63" x14ac:dyDescent="0.35">
      <c r="BK745" t="str">
        <f>IFERROR(INDEX(added_new_stocks!$F$6:$H$1048576,MATCH($A745,added_new_stocks!$F$6:$F$1048576,0),3),"")</f>
        <v/>
      </c>
    </row>
    <row r="746" spans="63:63" x14ac:dyDescent="0.35">
      <c r="BK746" t="str">
        <f>IFERROR(INDEX(added_new_stocks!$F$6:$H$1048576,MATCH($A746,added_new_stocks!$F$6:$F$1048576,0),3),"")</f>
        <v/>
      </c>
    </row>
    <row r="747" spans="63:63" x14ac:dyDescent="0.35">
      <c r="BK747" t="str">
        <f>IFERROR(INDEX(added_new_stocks!$F$6:$H$1048576,MATCH($A747,added_new_stocks!$F$6:$F$1048576,0),3),"")</f>
        <v/>
      </c>
    </row>
    <row r="748" spans="63:63" x14ac:dyDescent="0.35">
      <c r="BK748" t="str">
        <f>IFERROR(INDEX(added_new_stocks!$F$6:$H$1048576,MATCH($A748,added_new_stocks!$F$6:$F$1048576,0),3),"")</f>
        <v/>
      </c>
    </row>
    <row r="749" spans="63:63" x14ac:dyDescent="0.35">
      <c r="BK749" t="str">
        <f>IFERROR(INDEX(added_new_stocks!$F$6:$H$1048576,MATCH($A749,added_new_stocks!$F$6:$F$1048576,0),3),"")</f>
        <v/>
      </c>
    </row>
    <row r="750" spans="63:63" x14ac:dyDescent="0.35">
      <c r="BK750" t="str">
        <f>IFERROR(INDEX(added_new_stocks!$F$6:$H$1048576,MATCH($A750,added_new_stocks!$F$6:$F$1048576,0),3),"")</f>
        <v/>
      </c>
    </row>
    <row r="751" spans="63:63" x14ac:dyDescent="0.35">
      <c r="BK751" t="str">
        <f>IFERROR(INDEX(added_new_stocks!$F$6:$H$1048576,MATCH($A751,added_new_stocks!$F$6:$F$1048576,0),3),"")</f>
        <v/>
      </c>
    </row>
    <row r="752" spans="63:63" x14ac:dyDescent="0.35">
      <c r="BK752" t="str">
        <f>IFERROR(INDEX(added_new_stocks!$F$6:$H$1048576,MATCH($A752,added_new_stocks!$F$6:$F$1048576,0),3),"")</f>
        <v/>
      </c>
    </row>
    <row r="753" spans="63:63" x14ac:dyDescent="0.35">
      <c r="BK753" t="str">
        <f>IFERROR(INDEX(added_new_stocks!$F$6:$H$1048576,MATCH($A753,added_new_stocks!$F$6:$F$1048576,0),3),"")</f>
        <v/>
      </c>
    </row>
    <row r="754" spans="63:63" x14ac:dyDescent="0.35">
      <c r="BK754" t="str">
        <f>IFERROR(INDEX(added_new_stocks!$F$6:$H$1048576,MATCH($A754,added_new_stocks!$F$6:$F$1048576,0),3),"")</f>
        <v/>
      </c>
    </row>
    <row r="755" spans="63:63" x14ac:dyDescent="0.35">
      <c r="BK755" t="str">
        <f>IFERROR(INDEX(added_new_stocks!$F$6:$H$1048576,MATCH($A755,added_new_stocks!$F$6:$F$1048576,0),3),"")</f>
        <v/>
      </c>
    </row>
    <row r="756" spans="63:63" x14ac:dyDescent="0.35">
      <c r="BK756" t="str">
        <f>IFERROR(INDEX(added_new_stocks!$F$6:$H$1048576,MATCH($A756,added_new_stocks!$F$6:$F$1048576,0),3),"")</f>
        <v/>
      </c>
    </row>
    <row r="757" spans="63:63" x14ac:dyDescent="0.35">
      <c r="BK757" t="str">
        <f>IFERROR(INDEX(added_new_stocks!$F$6:$H$1048576,MATCH($A757,added_new_stocks!$F$6:$F$1048576,0),3),"")</f>
        <v/>
      </c>
    </row>
    <row r="758" spans="63:63" x14ac:dyDescent="0.35">
      <c r="BK758" t="str">
        <f>IFERROR(INDEX(added_new_stocks!$F$6:$H$1048576,MATCH($A758,added_new_stocks!$F$6:$F$1048576,0),3),"")</f>
        <v/>
      </c>
    </row>
    <row r="759" spans="63:63" x14ac:dyDescent="0.35">
      <c r="BK759" t="str">
        <f>IFERROR(INDEX(added_new_stocks!$F$6:$H$1048576,MATCH($A759,added_new_stocks!$F$6:$F$1048576,0),3),"")</f>
        <v/>
      </c>
    </row>
    <row r="760" spans="63:63" x14ac:dyDescent="0.35">
      <c r="BK760" t="str">
        <f>IFERROR(INDEX(added_new_stocks!$F$6:$H$1048576,MATCH($A760,added_new_stocks!$F$6:$F$1048576,0),3),"")</f>
        <v/>
      </c>
    </row>
    <row r="761" spans="63:63" x14ac:dyDescent="0.35">
      <c r="BK761" t="str">
        <f>IFERROR(INDEX(added_new_stocks!$F$6:$H$1048576,MATCH($A761,added_new_stocks!$F$6:$F$1048576,0),3),"")</f>
        <v/>
      </c>
    </row>
    <row r="762" spans="63:63" x14ac:dyDescent="0.35">
      <c r="BK762" t="str">
        <f>IFERROR(INDEX(added_new_stocks!$F$6:$H$1048576,MATCH($A762,added_new_stocks!$F$6:$F$1048576,0),3),"")</f>
        <v/>
      </c>
    </row>
    <row r="763" spans="63:63" x14ac:dyDescent="0.35">
      <c r="BK763" t="str">
        <f>IFERROR(INDEX(added_new_stocks!$F$6:$H$1048576,MATCH($A763,added_new_stocks!$F$6:$F$1048576,0),3),"")</f>
        <v/>
      </c>
    </row>
    <row r="764" spans="63:63" x14ac:dyDescent="0.35">
      <c r="BK764" t="str">
        <f>IFERROR(INDEX(added_new_stocks!$F$6:$H$1048576,MATCH($A764,added_new_stocks!$F$6:$F$1048576,0),3),"")</f>
        <v/>
      </c>
    </row>
    <row r="765" spans="63:63" x14ac:dyDescent="0.35">
      <c r="BK765" t="str">
        <f>IFERROR(INDEX(added_new_stocks!$F$6:$H$1048576,MATCH($A765,added_new_stocks!$F$6:$F$1048576,0),3),"")</f>
        <v/>
      </c>
    </row>
    <row r="766" spans="63:63" x14ac:dyDescent="0.35">
      <c r="BK766" t="str">
        <f>IFERROR(INDEX(added_new_stocks!$F$6:$H$1048576,MATCH($A766,added_new_stocks!$F$6:$F$1048576,0),3),"")</f>
        <v/>
      </c>
    </row>
    <row r="767" spans="63:63" x14ac:dyDescent="0.35">
      <c r="BK767" t="str">
        <f>IFERROR(INDEX(added_new_stocks!$F$6:$H$1048576,MATCH($A767,added_new_stocks!$F$6:$F$1048576,0),3),"")</f>
        <v/>
      </c>
    </row>
    <row r="768" spans="63:63" x14ac:dyDescent="0.35">
      <c r="BK768" t="str">
        <f>IFERROR(INDEX(added_new_stocks!$F$6:$H$1048576,MATCH($A768,added_new_stocks!$F$6:$F$1048576,0),3),"")</f>
        <v/>
      </c>
    </row>
    <row r="769" spans="63:63" x14ac:dyDescent="0.35">
      <c r="BK769" t="str">
        <f>IFERROR(INDEX(added_new_stocks!$F$6:$H$1048576,MATCH($A769,added_new_stocks!$F$6:$F$1048576,0),3),"")</f>
        <v/>
      </c>
    </row>
    <row r="770" spans="63:63" x14ac:dyDescent="0.35">
      <c r="BK770" t="str">
        <f>IFERROR(INDEX(added_new_stocks!$F$6:$H$1048576,MATCH($A770,added_new_stocks!$F$6:$F$1048576,0),3),"")</f>
        <v/>
      </c>
    </row>
    <row r="771" spans="63:63" x14ac:dyDescent="0.35">
      <c r="BK771" t="str">
        <f>IFERROR(INDEX(added_new_stocks!$F$6:$H$1048576,MATCH($A771,added_new_stocks!$F$6:$F$1048576,0),3),"")</f>
        <v/>
      </c>
    </row>
    <row r="772" spans="63:63" x14ac:dyDescent="0.35">
      <c r="BK772" t="str">
        <f>IFERROR(INDEX(added_new_stocks!$F$6:$H$1048576,MATCH($A772,added_new_stocks!$F$6:$F$1048576,0),3),"")</f>
        <v/>
      </c>
    </row>
    <row r="773" spans="63:63" x14ac:dyDescent="0.35">
      <c r="BK773" t="str">
        <f>IFERROR(INDEX(added_new_stocks!$F$6:$H$1048576,MATCH($A773,added_new_stocks!$F$6:$F$1048576,0),3),"")</f>
        <v/>
      </c>
    </row>
    <row r="774" spans="63:63" x14ac:dyDescent="0.35">
      <c r="BK774" t="str">
        <f>IFERROR(INDEX(added_new_stocks!$F$6:$H$1048576,MATCH($A774,added_new_stocks!$F$6:$F$1048576,0),3),"")</f>
        <v/>
      </c>
    </row>
    <row r="775" spans="63:63" x14ac:dyDescent="0.35">
      <c r="BK775" t="str">
        <f>IFERROR(INDEX(added_new_stocks!$F$6:$H$1048576,MATCH($A775,added_new_stocks!$F$6:$F$1048576,0),3),"")</f>
        <v/>
      </c>
    </row>
    <row r="776" spans="63:63" x14ac:dyDescent="0.35">
      <c r="BK776" t="str">
        <f>IFERROR(INDEX(added_new_stocks!$F$6:$H$1048576,MATCH($A776,added_new_stocks!$F$6:$F$1048576,0),3),"")</f>
        <v/>
      </c>
    </row>
    <row r="777" spans="63:63" x14ac:dyDescent="0.35">
      <c r="BK777" t="str">
        <f>IFERROR(INDEX(added_new_stocks!$F$6:$H$1048576,MATCH($A777,added_new_stocks!$F$6:$F$1048576,0),3),"")</f>
        <v/>
      </c>
    </row>
    <row r="778" spans="63:63" x14ac:dyDescent="0.35">
      <c r="BK778" t="str">
        <f>IFERROR(INDEX(added_new_stocks!$F$6:$H$1048576,MATCH($A778,added_new_stocks!$F$6:$F$1048576,0),3),"")</f>
        <v/>
      </c>
    </row>
    <row r="779" spans="63:63" x14ac:dyDescent="0.35">
      <c r="BK779" t="str">
        <f>IFERROR(INDEX(added_new_stocks!$F$6:$H$1048576,MATCH($A779,added_new_stocks!$F$6:$F$1048576,0),3),"")</f>
        <v/>
      </c>
    </row>
    <row r="780" spans="63:63" x14ac:dyDescent="0.35">
      <c r="BK780" t="str">
        <f>IFERROR(INDEX(added_new_stocks!$F$6:$H$1048576,MATCH($A780,added_new_stocks!$F$6:$F$1048576,0),3),"")</f>
        <v/>
      </c>
    </row>
    <row r="781" spans="63:63" x14ac:dyDescent="0.35">
      <c r="BK781" t="str">
        <f>IFERROR(INDEX(added_new_stocks!$F$6:$H$1048576,MATCH($A781,added_new_stocks!$F$6:$F$1048576,0),3),"")</f>
        <v/>
      </c>
    </row>
    <row r="782" spans="63:63" x14ac:dyDescent="0.35">
      <c r="BK782" t="str">
        <f>IFERROR(INDEX(added_new_stocks!$F$6:$H$1048576,MATCH($A782,added_new_stocks!$F$6:$F$1048576,0),3),"")</f>
        <v/>
      </c>
    </row>
    <row r="783" spans="63:63" x14ac:dyDescent="0.35">
      <c r="BK783" t="str">
        <f>IFERROR(INDEX(added_new_stocks!$F$6:$H$1048576,MATCH($A783,added_new_stocks!$F$6:$F$1048576,0),3),"")</f>
        <v/>
      </c>
    </row>
    <row r="784" spans="63:63" x14ac:dyDescent="0.35">
      <c r="BK784" t="str">
        <f>IFERROR(INDEX(added_new_stocks!$F$6:$H$1048576,MATCH($A784,added_new_stocks!$F$6:$F$1048576,0),3),"")</f>
        <v/>
      </c>
    </row>
    <row r="785" spans="63:63" x14ac:dyDescent="0.35">
      <c r="BK785" t="str">
        <f>IFERROR(INDEX(added_new_stocks!$F$6:$H$1048576,MATCH($A785,added_new_stocks!$F$6:$F$1048576,0),3),"")</f>
        <v/>
      </c>
    </row>
    <row r="786" spans="63:63" x14ac:dyDescent="0.35">
      <c r="BK786" t="str">
        <f>IFERROR(INDEX(added_new_stocks!$F$6:$H$1048576,MATCH($A786,added_new_stocks!$F$6:$F$1048576,0),3),"")</f>
        <v/>
      </c>
    </row>
    <row r="787" spans="63:63" x14ac:dyDescent="0.35">
      <c r="BK787" t="str">
        <f>IFERROR(INDEX(added_new_stocks!$F$6:$H$1048576,MATCH($A787,added_new_stocks!$F$6:$F$1048576,0),3),"")</f>
        <v/>
      </c>
    </row>
    <row r="788" spans="63:63" x14ac:dyDescent="0.35">
      <c r="BK788" t="str">
        <f>IFERROR(INDEX(added_new_stocks!$F$6:$H$1048576,MATCH($A788,added_new_stocks!$F$6:$F$1048576,0),3),"")</f>
        <v/>
      </c>
    </row>
    <row r="789" spans="63:63" x14ac:dyDescent="0.35">
      <c r="BK789" t="str">
        <f>IFERROR(INDEX(added_new_stocks!$F$6:$H$1048576,MATCH($A789,added_new_stocks!$F$6:$F$1048576,0),3),"")</f>
        <v/>
      </c>
    </row>
    <row r="790" spans="63:63" x14ac:dyDescent="0.35">
      <c r="BK790" t="str">
        <f>IFERROR(INDEX(added_new_stocks!$F$6:$H$1048576,MATCH($A790,added_new_stocks!$F$6:$F$1048576,0),3),"")</f>
        <v/>
      </c>
    </row>
    <row r="791" spans="63:63" x14ac:dyDescent="0.35">
      <c r="BK791" t="str">
        <f>IFERROR(INDEX(added_new_stocks!$F$6:$H$1048576,MATCH($A791,added_new_stocks!$F$6:$F$1048576,0),3),"")</f>
        <v/>
      </c>
    </row>
    <row r="792" spans="63:63" x14ac:dyDescent="0.35">
      <c r="BK792" t="str">
        <f>IFERROR(INDEX(added_new_stocks!$F$6:$H$1048576,MATCH($A792,added_new_stocks!$F$6:$F$1048576,0),3),"")</f>
        <v/>
      </c>
    </row>
    <row r="793" spans="63:63" x14ac:dyDescent="0.35">
      <c r="BK793" t="str">
        <f>IFERROR(INDEX(added_new_stocks!$F$6:$H$1048576,MATCH($A793,added_new_stocks!$F$6:$F$1048576,0),3),"")</f>
        <v/>
      </c>
    </row>
    <row r="794" spans="63:63" x14ac:dyDescent="0.35">
      <c r="BK794" t="str">
        <f>IFERROR(INDEX(added_new_stocks!$F$6:$H$1048576,MATCH($A794,added_new_stocks!$F$6:$F$1048576,0),3),"")</f>
        <v/>
      </c>
    </row>
    <row r="795" spans="63:63" x14ac:dyDescent="0.35">
      <c r="BK795" t="str">
        <f>IFERROR(INDEX(added_new_stocks!$F$6:$H$1048576,MATCH($A795,added_new_stocks!$F$6:$F$1048576,0),3),"")</f>
        <v/>
      </c>
    </row>
    <row r="796" spans="63:63" x14ac:dyDescent="0.35">
      <c r="BK796" t="str">
        <f>IFERROR(INDEX(added_new_stocks!$F$6:$H$1048576,MATCH($A796,added_new_stocks!$F$6:$F$1048576,0),3),"")</f>
        <v/>
      </c>
    </row>
    <row r="797" spans="63:63" x14ac:dyDescent="0.35">
      <c r="BK797" t="str">
        <f>IFERROR(INDEX(added_new_stocks!$F$6:$H$1048576,MATCH($A797,added_new_stocks!$F$6:$F$1048576,0),3),"")</f>
        <v/>
      </c>
    </row>
    <row r="798" spans="63:63" x14ac:dyDescent="0.35">
      <c r="BK798" t="str">
        <f>IFERROR(INDEX(added_new_stocks!$F$6:$H$1048576,MATCH($A798,added_new_stocks!$F$6:$F$1048576,0),3),"")</f>
        <v/>
      </c>
    </row>
    <row r="799" spans="63:63" x14ac:dyDescent="0.35">
      <c r="BK799" t="str">
        <f>IFERROR(INDEX(added_new_stocks!$F$6:$H$1048576,MATCH($A799,added_new_stocks!$F$6:$F$1048576,0),3),"")</f>
        <v/>
      </c>
    </row>
    <row r="800" spans="63:63" x14ac:dyDescent="0.35">
      <c r="BK800" t="str">
        <f>IFERROR(INDEX(added_new_stocks!$F$6:$H$1048576,MATCH($A800,added_new_stocks!$F$6:$F$1048576,0),3),"")</f>
        <v/>
      </c>
    </row>
    <row r="801" spans="63:63" x14ac:dyDescent="0.35">
      <c r="BK801" t="str">
        <f>IFERROR(INDEX(added_new_stocks!$F$6:$H$1048576,MATCH($A801,added_new_stocks!$F$6:$F$1048576,0),3),"")</f>
        <v/>
      </c>
    </row>
    <row r="802" spans="63:63" x14ac:dyDescent="0.35">
      <c r="BK802" t="str">
        <f>IFERROR(INDEX(added_new_stocks!$F$6:$H$1048576,MATCH($A802,added_new_stocks!$F$6:$F$1048576,0),3),"")</f>
        <v/>
      </c>
    </row>
    <row r="803" spans="63:63" x14ac:dyDescent="0.35">
      <c r="BK803" t="str">
        <f>IFERROR(INDEX(added_new_stocks!$F$6:$H$1048576,MATCH($A803,added_new_stocks!$F$6:$F$1048576,0),3),"")</f>
        <v/>
      </c>
    </row>
    <row r="804" spans="63:63" x14ac:dyDescent="0.35">
      <c r="BK804" t="str">
        <f>IFERROR(INDEX(added_new_stocks!$F$6:$H$1048576,MATCH($A804,added_new_stocks!$F$6:$F$1048576,0),3),"")</f>
        <v/>
      </c>
    </row>
    <row r="805" spans="63:63" x14ac:dyDescent="0.35">
      <c r="BK805" t="str">
        <f>IFERROR(INDEX(added_new_stocks!$F$6:$H$1048576,MATCH($A805,added_new_stocks!$F$6:$F$1048576,0),3),"")</f>
        <v/>
      </c>
    </row>
    <row r="806" spans="63:63" x14ac:dyDescent="0.35">
      <c r="BK806" t="str">
        <f>IFERROR(INDEX(added_new_stocks!$F$6:$H$1048576,MATCH($A806,added_new_stocks!$F$6:$F$1048576,0),3),"")</f>
        <v/>
      </c>
    </row>
    <row r="807" spans="63:63" x14ac:dyDescent="0.35">
      <c r="BK807" t="str">
        <f>IFERROR(INDEX(added_new_stocks!$F$6:$H$1048576,MATCH($A807,added_new_stocks!$F$6:$F$1048576,0),3),"")</f>
        <v/>
      </c>
    </row>
    <row r="808" spans="63:63" x14ac:dyDescent="0.35">
      <c r="BK808" t="str">
        <f>IFERROR(INDEX(added_new_stocks!$F$6:$H$1048576,MATCH($A808,added_new_stocks!$F$6:$F$1048576,0),3),"")</f>
        <v/>
      </c>
    </row>
    <row r="809" spans="63:63" x14ac:dyDescent="0.35">
      <c r="BK809" t="str">
        <f>IFERROR(INDEX(added_new_stocks!$F$6:$H$1048576,MATCH($A809,added_new_stocks!$F$6:$F$1048576,0),3),"")</f>
        <v/>
      </c>
    </row>
    <row r="810" spans="63:63" x14ac:dyDescent="0.35">
      <c r="BK810" t="str">
        <f>IFERROR(INDEX(added_new_stocks!$F$6:$H$1048576,MATCH($A810,added_new_stocks!$F$6:$F$1048576,0),3),"")</f>
        <v/>
      </c>
    </row>
    <row r="811" spans="63:63" x14ac:dyDescent="0.35">
      <c r="BK811" t="str">
        <f>IFERROR(INDEX(added_new_stocks!$F$6:$H$1048576,MATCH($A811,added_new_stocks!$F$6:$F$1048576,0),3),"")</f>
        <v/>
      </c>
    </row>
    <row r="812" spans="63:63" x14ac:dyDescent="0.35">
      <c r="BK812" t="str">
        <f>IFERROR(INDEX(added_new_stocks!$F$6:$H$1048576,MATCH($A812,added_new_stocks!$F$6:$F$1048576,0),3),"")</f>
        <v/>
      </c>
    </row>
    <row r="813" spans="63:63" x14ac:dyDescent="0.35">
      <c r="BK813" t="str">
        <f>IFERROR(INDEX(added_new_stocks!$F$6:$H$1048576,MATCH($A813,added_new_stocks!$F$6:$F$1048576,0),3),"")</f>
        <v/>
      </c>
    </row>
    <row r="814" spans="63:63" x14ac:dyDescent="0.35">
      <c r="BK814" t="str">
        <f>IFERROR(INDEX(added_new_stocks!$F$6:$H$1048576,MATCH($A814,added_new_stocks!$F$6:$F$1048576,0),3),"")</f>
        <v/>
      </c>
    </row>
    <row r="815" spans="63:63" x14ac:dyDescent="0.35">
      <c r="BK815" t="str">
        <f>IFERROR(INDEX(added_new_stocks!$F$6:$H$1048576,MATCH($A815,added_new_stocks!$F$6:$F$1048576,0),3),"")</f>
        <v/>
      </c>
    </row>
    <row r="816" spans="63:63" x14ac:dyDescent="0.35">
      <c r="BK816" t="str">
        <f>IFERROR(INDEX(added_new_stocks!$F$6:$H$1048576,MATCH($A816,added_new_stocks!$F$6:$F$1048576,0),3),"")</f>
        <v/>
      </c>
    </row>
    <row r="817" spans="63:63" x14ac:dyDescent="0.35">
      <c r="BK817" t="str">
        <f>IFERROR(INDEX(added_new_stocks!$F$6:$H$1048576,MATCH($A817,added_new_stocks!$F$6:$F$1048576,0),3),"")</f>
        <v/>
      </c>
    </row>
    <row r="818" spans="63:63" x14ac:dyDescent="0.35">
      <c r="BK818" t="str">
        <f>IFERROR(INDEX(added_new_stocks!$F$6:$H$1048576,MATCH($A818,added_new_stocks!$F$6:$F$1048576,0),3),"")</f>
        <v/>
      </c>
    </row>
    <row r="819" spans="63:63" x14ac:dyDescent="0.35">
      <c r="BK819" t="str">
        <f>IFERROR(INDEX(added_new_stocks!$F$6:$H$1048576,MATCH($A819,added_new_stocks!$F$6:$F$1048576,0),3),"")</f>
        <v/>
      </c>
    </row>
    <row r="820" spans="63:63" x14ac:dyDescent="0.35">
      <c r="BK820" t="str">
        <f>IFERROR(INDEX(added_new_stocks!$F$6:$H$1048576,MATCH($A820,added_new_stocks!$F$6:$F$1048576,0),3),"")</f>
        <v/>
      </c>
    </row>
    <row r="821" spans="63:63" x14ac:dyDescent="0.35">
      <c r="BK821" t="str">
        <f>IFERROR(INDEX(added_new_stocks!$F$6:$H$1048576,MATCH($A821,added_new_stocks!$F$6:$F$1048576,0),3),"")</f>
        <v/>
      </c>
    </row>
    <row r="822" spans="63:63" x14ac:dyDescent="0.35">
      <c r="BK822" t="str">
        <f>IFERROR(INDEX(added_new_stocks!$F$6:$H$1048576,MATCH($A822,added_new_stocks!$F$6:$F$1048576,0),3),"")</f>
        <v/>
      </c>
    </row>
    <row r="823" spans="63:63" x14ac:dyDescent="0.35">
      <c r="BK823" t="str">
        <f>IFERROR(INDEX(added_new_stocks!$F$6:$H$1048576,MATCH($A823,added_new_stocks!$F$6:$F$1048576,0),3),"")</f>
        <v/>
      </c>
    </row>
    <row r="824" spans="63:63" x14ac:dyDescent="0.35">
      <c r="BK824" t="str">
        <f>IFERROR(INDEX(added_new_stocks!$F$6:$H$1048576,MATCH($A824,added_new_stocks!$F$6:$F$1048576,0),3),"")</f>
        <v/>
      </c>
    </row>
    <row r="825" spans="63:63" x14ac:dyDescent="0.35">
      <c r="BK825" t="str">
        <f>IFERROR(INDEX(added_new_stocks!$F$6:$H$1048576,MATCH($A825,added_new_stocks!$F$6:$F$1048576,0),3),"")</f>
        <v/>
      </c>
    </row>
    <row r="826" spans="63:63" x14ac:dyDescent="0.35">
      <c r="BK826" t="str">
        <f>IFERROR(INDEX(added_new_stocks!$F$6:$H$1048576,MATCH($A826,added_new_stocks!$F$6:$F$1048576,0),3),"")</f>
        <v/>
      </c>
    </row>
    <row r="827" spans="63:63" x14ac:dyDescent="0.35">
      <c r="BK827" t="str">
        <f>IFERROR(INDEX(added_new_stocks!$F$6:$H$1048576,MATCH($A827,added_new_stocks!$F$6:$F$1048576,0),3),"")</f>
        <v/>
      </c>
    </row>
    <row r="828" spans="63:63" x14ac:dyDescent="0.35">
      <c r="BK828" t="str">
        <f>IFERROR(INDEX(added_new_stocks!$F$6:$H$1048576,MATCH($A828,added_new_stocks!$F$6:$F$1048576,0),3),"")</f>
        <v/>
      </c>
    </row>
    <row r="829" spans="63:63" x14ac:dyDescent="0.35">
      <c r="BK829" t="str">
        <f>IFERROR(INDEX(added_new_stocks!$F$6:$H$1048576,MATCH($A829,added_new_stocks!$F$6:$F$1048576,0),3),"")</f>
        <v/>
      </c>
    </row>
    <row r="830" spans="63:63" x14ac:dyDescent="0.35">
      <c r="BK830" t="str">
        <f>IFERROR(INDEX(added_new_stocks!$F$6:$H$1048576,MATCH($A830,added_new_stocks!$F$6:$F$1048576,0),3),"")</f>
        <v/>
      </c>
    </row>
    <row r="831" spans="63:63" x14ac:dyDescent="0.35">
      <c r="BK831" t="str">
        <f>IFERROR(INDEX(added_new_stocks!$F$6:$H$1048576,MATCH($A831,added_new_stocks!$F$6:$F$1048576,0),3),"")</f>
        <v/>
      </c>
    </row>
    <row r="832" spans="63:63" x14ac:dyDescent="0.35">
      <c r="BK832" t="str">
        <f>IFERROR(INDEX(added_new_stocks!$F$6:$H$1048576,MATCH($A832,added_new_stocks!$F$6:$F$1048576,0),3),"")</f>
        <v/>
      </c>
    </row>
    <row r="833" spans="63:63" x14ac:dyDescent="0.35">
      <c r="BK833" t="str">
        <f>IFERROR(INDEX(added_new_stocks!$F$6:$H$1048576,MATCH($A833,added_new_stocks!$F$6:$F$1048576,0),3),"")</f>
        <v/>
      </c>
    </row>
    <row r="834" spans="63:63" x14ac:dyDescent="0.35">
      <c r="BK834" t="str">
        <f>IFERROR(INDEX(added_new_stocks!$F$6:$H$1048576,MATCH($A834,added_new_stocks!$F$6:$F$1048576,0),3),"")</f>
        <v/>
      </c>
    </row>
    <row r="835" spans="63:63" x14ac:dyDescent="0.35">
      <c r="BK835" t="str">
        <f>IFERROR(INDEX(added_new_stocks!$F$6:$H$1048576,MATCH($A835,added_new_stocks!$F$6:$F$1048576,0),3),"")</f>
        <v/>
      </c>
    </row>
    <row r="836" spans="63:63" x14ac:dyDescent="0.35">
      <c r="BK836" t="str">
        <f>IFERROR(INDEX(added_new_stocks!$F$6:$H$1048576,MATCH($A836,added_new_stocks!$F$6:$F$1048576,0),3),"")</f>
        <v/>
      </c>
    </row>
    <row r="837" spans="63:63" x14ac:dyDescent="0.35">
      <c r="BK837" t="str">
        <f>IFERROR(INDEX(added_new_stocks!$F$6:$H$1048576,MATCH($A837,added_new_stocks!$F$6:$F$1048576,0),3),"")</f>
        <v/>
      </c>
    </row>
    <row r="838" spans="63:63" x14ac:dyDescent="0.35">
      <c r="BK838" t="str">
        <f>IFERROR(INDEX(added_new_stocks!$F$6:$H$1048576,MATCH($A838,added_new_stocks!$F$6:$F$1048576,0),3),"")</f>
        <v/>
      </c>
    </row>
    <row r="839" spans="63:63" x14ac:dyDescent="0.35">
      <c r="BK839" t="str">
        <f>IFERROR(INDEX(added_new_stocks!$F$6:$H$1048576,MATCH($A839,added_new_stocks!$F$6:$F$1048576,0),3),"")</f>
        <v/>
      </c>
    </row>
    <row r="840" spans="63:63" x14ac:dyDescent="0.35">
      <c r="BK840" t="str">
        <f>IFERROR(INDEX(added_new_stocks!$F$6:$H$1048576,MATCH($A840,added_new_stocks!$F$6:$F$1048576,0),3),"")</f>
        <v/>
      </c>
    </row>
    <row r="841" spans="63:63" x14ac:dyDescent="0.35">
      <c r="BK841" t="str">
        <f>IFERROR(INDEX(added_new_stocks!$F$6:$H$1048576,MATCH($A841,added_new_stocks!$F$6:$F$1048576,0),3),"")</f>
        <v/>
      </c>
    </row>
    <row r="842" spans="63:63" x14ac:dyDescent="0.35">
      <c r="BK842" t="str">
        <f>IFERROR(INDEX(added_new_stocks!$F$6:$H$1048576,MATCH($A842,added_new_stocks!$F$6:$F$1048576,0),3),"")</f>
        <v/>
      </c>
    </row>
    <row r="843" spans="63:63" x14ac:dyDescent="0.35">
      <c r="BK843" t="str">
        <f>IFERROR(INDEX(added_new_stocks!$F$6:$H$1048576,MATCH($A843,added_new_stocks!$F$6:$F$1048576,0),3),"")</f>
        <v/>
      </c>
    </row>
    <row r="844" spans="63:63" x14ac:dyDescent="0.35">
      <c r="BK844" t="str">
        <f>IFERROR(INDEX(added_new_stocks!$F$6:$H$1048576,MATCH($A844,added_new_stocks!$F$6:$F$1048576,0),3),"")</f>
        <v/>
      </c>
    </row>
    <row r="845" spans="63:63" x14ac:dyDescent="0.35">
      <c r="BK845" t="str">
        <f>IFERROR(INDEX(added_new_stocks!$F$6:$H$1048576,MATCH($A845,added_new_stocks!$F$6:$F$1048576,0),3),"")</f>
        <v/>
      </c>
    </row>
    <row r="846" spans="63:63" x14ac:dyDescent="0.35">
      <c r="BK846" t="str">
        <f>IFERROR(INDEX(added_new_stocks!$F$6:$H$1048576,MATCH($A846,added_new_stocks!$F$6:$F$1048576,0),3),"")</f>
        <v/>
      </c>
    </row>
    <row r="847" spans="63:63" x14ac:dyDescent="0.35">
      <c r="BK847" t="str">
        <f>IFERROR(INDEX(added_new_stocks!$F$6:$H$1048576,MATCH($A847,added_new_stocks!$F$6:$F$1048576,0),3),"")</f>
        <v/>
      </c>
    </row>
    <row r="848" spans="63:63" x14ac:dyDescent="0.35">
      <c r="BK848" t="str">
        <f>IFERROR(INDEX(added_new_stocks!$F$6:$H$1048576,MATCH($A848,added_new_stocks!$F$6:$F$1048576,0),3),"")</f>
        <v/>
      </c>
    </row>
    <row r="849" spans="63:63" x14ac:dyDescent="0.35">
      <c r="BK849" t="str">
        <f>IFERROR(INDEX(added_new_stocks!$F$6:$H$1048576,MATCH($A849,added_new_stocks!$F$6:$F$1048576,0),3),"")</f>
        <v/>
      </c>
    </row>
    <row r="850" spans="63:63" x14ac:dyDescent="0.35">
      <c r="BK850" t="str">
        <f>IFERROR(INDEX(added_new_stocks!$F$6:$H$1048576,MATCH($A850,added_new_stocks!$F$6:$F$1048576,0),3),"")</f>
        <v/>
      </c>
    </row>
    <row r="851" spans="63:63" x14ac:dyDescent="0.35">
      <c r="BK851" t="str">
        <f>IFERROR(INDEX(added_new_stocks!$F$6:$H$1048576,MATCH($A851,added_new_stocks!$F$6:$F$1048576,0),3),"")</f>
        <v/>
      </c>
    </row>
    <row r="852" spans="63:63" x14ac:dyDescent="0.35">
      <c r="BK852" t="str">
        <f>IFERROR(INDEX(added_new_stocks!$F$6:$H$1048576,MATCH($A852,added_new_stocks!$F$6:$F$1048576,0),3),"")</f>
        <v/>
      </c>
    </row>
    <row r="853" spans="63:63" x14ac:dyDescent="0.35">
      <c r="BK853" t="str">
        <f>IFERROR(INDEX(added_new_stocks!$F$6:$H$1048576,MATCH($A853,added_new_stocks!$F$6:$F$1048576,0),3),"")</f>
        <v/>
      </c>
    </row>
    <row r="854" spans="63:63" x14ac:dyDescent="0.35">
      <c r="BK854" t="str">
        <f>IFERROR(INDEX(added_new_stocks!$F$6:$H$1048576,MATCH($A854,added_new_stocks!$F$6:$F$1048576,0),3),"")</f>
        <v/>
      </c>
    </row>
    <row r="855" spans="63:63" x14ac:dyDescent="0.35">
      <c r="BK855" t="str">
        <f>IFERROR(INDEX(added_new_stocks!$F$6:$H$1048576,MATCH($A855,added_new_stocks!$F$6:$F$1048576,0),3),"")</f>
        <v/>
      </c>
    </row>
    <row r="856" spans="63:63" x14ac:dyDescent="0.35">
      <c r="BK856" t="str">
        <f>IFERROR(INDEX(added_new_stocks!$F$6:$H$1048576,MATCH($A856,added_new_stocks!$F$6:$F$1048576,0),3),"")</f>
        <v/>
      </c>
    </row>
    <row r="857" spans="63:63" x14ac:dyDescent="0.35">
      <c r="BK857" t="str">
        <f>IFERROR(INDEX(added_new_stocks!$F$6:$H$1048576,MATCH($A857,added_new_stocks!$F$6:$F$1048576,0),3),"")</f>
        <v/>
      </c>
    </row>
    <row r="858" spans="63:63" x14ac:dyDescent="0.35">
      <c r="BK858" t="str">
        <f>IFERROR(INDEX(added_new_stocks!$F$6:$H$1048576,MATCH($A858,added_new_stocks!$F$6:$F$1048576,0),3),"")</f>
        <v/>
      </c>
    </row>
    <row r="859" spans="63:63" x14ac:dyDescent="0.35">
      <c r="BK859" t="str">
        <f>IFERROR(INDEX(added_new_stocks!$F$6:$H$1048576,MATCH($A859,added_new_stocks!$F$6:$F$1048576,0),3),"")</f>
        <v/>
      </c>
    </row>
    <row r="860" spans="63:63" x14ac:dyDescent="0.35">
      <c r="BK860" t="str">
        <f>IFERROR(INDEX(added_new_stocks!$F$6:$H$1048576,MATCH($A860,added_new_stocks!$F$6:$F$1048576,0),3),"")</f>
        <v/>
      </c>
    </row>
    <row r="861" spans="63:63" x14ac:dyDescent="0.35">
      <c r="BK861" t="str">
        <f>IFERROR(INDEX(added_new_stocks!$F$6:$H$1048576,MATCH($A861,added_new_stocks!$F$6:$F$1048576,0),3),"")</f>
        <v/>
      </c>
    </row>
    <row r="862" spans="63:63" x14ac:dyDescent="0.35">
      <c r="BK862" t="str">
        <f>IFERROR(INDEX(added_new_stocks!$F$6:$H$1048576,MATCH($A862,added_new_stocks!$F$6:$F$1048576,0),3),"")</f>
        <v/>
      </c>
    </row>
    <row r="863" spans="63:63" x14ac:dyDescent="0.35">
      <c r="BK863" t="str">
        <f>IFERROR(INDEX(added_new_stocks!$F$6:$H$1048576,MATCH($A863,added_new_stocks!$F$6:$F$1048576,0),3),"")</f>
        <v/>
      </c>
    </row>
    <row r="864" spans="63:63" x14ac:dyDescent="0.35">
      <c r="BK864" t="str">
        <f>IFERROR(INDEX(added_new_stocks!$F$6:$H$1048576,MATCH($A864,added_new_stocks!$F$6:$F$1048576,0),3),"")</f>
        <v/>
      </c>
    </row>
    <row r="865" spans="63:63" x14ac:dyDescent="0.35">
      <c r="BK865" t="str">
        <f>IFERROR(INDEX(added_new_stocks!$F$6:$H$1048576,MATCH($A865,added_new_stocks!$F$6:$F$1048576,0),3),"")</f>
        <v/>
      </c>
    </row>
    <row r="866" spans="63:63" x14ac:dyDescent="0.35">
      <c r="BK866" t="str">
        <f>IFERROR(INDEX(added_new_stocks!$F$6:$H$1048576,MATCH($A866,added_new_stocks!$F$6:$F$1048576,0),3),"")</f>
        <v/>
      </c>
    </row>
    <row r="867" spans="63:63" x14ac:dyDescent="0.35">
      <c r="BK867" t="str">
        <f>IFERROR(INDEX(added_new_stocks!$F$6:$H$1048576,MATCH($A867,added_new_stocks!$F$6:$F$1048576,0),3),"")</f>
        <v/>
      </c>
    </row>
    <row r="868" spans="63:63" x14ac:dyDescent="0.35">
      <c r="BK868" t="str">
        <f>IFERROR(INDEX(added_new_stocks!$F$6:$H$1048576,MATCH($A868,added_new_stocks!$F$6:$F$1048576,0),3),"")</f>
        <v/>
      </c>
    </row>
    <row r="869" spans="63:63" x14ac:dyDescent="0.35">
      <c r="BK869" t="str">
        <f>IFERROR(INDEX(added_new_stocks!$F$6:$H$1048576,MATCH($A869,added_new_stocks!$F$6:$F$1048576,0),3),"")</f>
        <v/>
      </c>
    </row>
    <row r="870" spans="63:63" x14ac:dyDescent="0.35">
      <c r="BK870" t="str">
        <f>IFERROR(INDEX(added_new_stocks!$F$6:$H$1048576,MATCH($A870,added_new_stocks!$F$6:$F$1048576,0),3),"")</f>
        <v/>
      </c>
    </row>
    <row r="871" spans="63:63" x14ac:dyDescent="0.35">
      <c r="BK871" t="str">
        <f>IFERROR(INDEX(added_new_stocks!$F$6:$H$1048576,MATCH($A871,added_new_stocks!$F$6:$F$1048576,0),3),"")</f>
        <v/>
      </c>
    </row>
    <row r="872" spans="63:63" x14ac:dyDescent="0.35">
      <c r="BK872" t="str">
        <f>IFERROR(INDEX(added_new_stocks!$F$6:$H$1048576,MATCH($A872,added_new_stocks!$F$6:$F$1048576,0),3),"")</f>
        <v/>
      </c>
    </row>
    <row r="873" spans="63:63" x14ac:dyDescent="0.35">
      <c r="BK873" t="str">
        <f>IFERROR(INDEX(added_new_stocks!$F$6:$H$1048576,MATCH($A873,added_new_stocks!$F$6:$F$1048576,0),3),"")</f>
        <v/>
      </c>
    </row>
    <row r="874" spans="63:63" x14ac:dyDescent="0.35">
      <c r="BK874" t="str">
        <f>IFERROR(INDEX(added_new_stocks!$F$6:$H$1048576,MATCH($A874,added_new_stocks!$F$6:$F$1048576,0),3),"")</f>
        <v/>
      </c>
    </row>
    <row r="875" spans="63:63" x14ac:dyDescent="0.35">
      <c r="BK875" t="str">
        <f>IFERROR(INDEX(added_new_stocks!$F$6:$H$1048576,MATCH($A875,added_new_stocks!$F$6:$F$1048576,0),3),"")</f>
        <v/>
      </c>
    </row>
    <row r="876" spans="63:63" x14ac:dyDescent="0.35">
      <c r="BK876" t="str">
        <f>IFERROR(INDEX(added_new_stocks!$F$6:$H$1048576,MATCH($A876,added_new_stocks!$F$6:$F$1048576,0),3),"")</f>
        <v/>
      </c>
    </row>
    <row r="877" spans="63:63" x14ac:dyDescent="0.35">
      <c r="BK877" t="str">
        <f>IFERROR(INDEX(added_new_stocks!$F$6:$H$1048576,MATCH($A877,added_new_stocks!$F$6:$F$1048576,0),3),"")</f>
        <v/>
      </c>
    </row>
    <row r="878" spans="63:63" x14ac:dyDescent="0.35">
      <c r="BK878" t="str">
        <f>IFERROR(INDEX(added_new_stocks!$F$6:$H$1048576,MATCH($A878,added_new_stocks!$F$6:$F$1048576,0),3),"")</f>
        <v/>
      </c>
    </row>
    <row r="879" spans="63:63" x14ac:dyDescent="0.35">
      <c r="BK879" t="str">
        <f>IFERROR(INDEX(added_new_stocks!$F$6:$H$1048576,MATCH($A879,added_new_stocks!$F$6:$F$1048576,0),3),"")</f>
        <v/>
      </c>
    </row>
    <row r="880" spans="63:63" x14ac:dyDescent="0.35">
      <c r="BK880" t="str">
        <f>IFERROR(INDEX(added_new_stocks!$F$6:$H$1048576,MATCH($A880,added_new_stocks!$F$6:$F$1048576,0),3),"")</f>
        <v/>
      </c>
    </row>
    <row r="881" spans="63:63" x14ac:dyDescent="0.35">
      <c r="BK881" t="str">
        <f>IFERROR(INDEX(added_new_stocks!$F$6:$H$1048576,MATCH($A881,added_new_stocks!$F$6:$F$1048576,0),3),"")</f>
        <v/>
      </c>
    </row>
    <row r="882" spans="63:63" x14ac:dyDescent="0.35">
      <c r="BK882" t="str">
        <f>IFERROR(INDEX(added_new_stocks!$F$6:$H$1048576,MATCH($A882,added_new_stocks!$F$6:$F$1048576,0),3),"")</f>
        <v/>
      </c>
    </row>
    <row r="883" spans="63:63" x14ac:dyDescent="0.35">
      <c r="BK883" t="str">
        <f>IFERROR(INDEX(added_new_stocks!$F$6:$H$1048576,MATCH($A883,added_new_stocks!$F$6:$F$1048576,0),3),"")</f>
        <v/>
      </c>
    </row>
    <row r="884" spans="63:63" x14ac:dyDescent="0.35">
      <c r="BK884" t="str">
        <f>IFERROR(INDEX(added_new_stocks!$F$6:$H$1048576,MATCH($A884,added_new_stocks!$F$6:$F$1048576,0),3),"")</f>
        <v/>
      </c>
    </row>
    <row r="885" spans="63:63" x14ac:dyDescent="0.35">
      <c r="BK885" t="str">
        <f>IFERROR(INDEX(added_new_stocks!$F$6:$H$1048576,MATCH($A885,added_new_stocks!$F$6:$F$1048576,0),3),"")</f>
        <v/>
      </c>
    </row>
    <row r="886" spans="63:63" x14ac:dyDescent="0.35">
      <c r="BK886" t="str">
        <f>IFERROR(INDEX(added_new_stocks!$F$6:$H$1048576,MATCH($A886,added_new_stocks!$F$6:$F$1048576,0),3),"")</f>
        <v/>
      </c>
    </row>
    <row r="887" spans="63:63" x14ac:dyDescent="0.35">
      <c r="BK887" t="str">
        <f>IFERROR(INDEX(added_new_stocks!$F$6:$H$1048576,MATCH($A887,added_new_stocks!$F$6:$F$1048576,0),3),"")</f>
        <v/>
      </c>
    </row>
    <row r="888" spans="63:63" x14ac:dyDescent="0.35">
      <c r="BK888" t="str">
        <f>IFERROR(INDEX(added_new_stocks!$F$6:$H$1048576,MATCH($A888,added_new_stocks!$F$6:$F$1048576,0),3),"")</f>
        <v/>
      </c>
    </row>
    <row r="889" spans="63:63" x14ac:dyDescent="0.35">
      <c r="BK889" t="str">
        <f>IFERROR(INDEX(added_new_stocks!$F$6:$H$1048576,MATCH($A889,added_new_stocks!$F$6:$F$1048576,0),3),"")</f>
        <v/>
      </c>
    </row>
    <row r="890" spans="63:63" x14ac:dyDescent="0.35">
      <c r="BK890" t="str">
        <f>IFERROR(INDEX(added_new_stocks!$F$6:$H$1048576,MATCH($A890,added_new_stocks!$F$6:$F$1048576,0),3),"")</f>
        <v/>
      </c>
    </row>
    <row r="891" spans="63:63" x14ac:dyDescent="0.35">
      <c r="BK891" t="str">
        <f>IFERROR(INDEX(added_new_stocks!$F$6:$H$1048576,MATCH($A891,added_new_stocks!$F$6:$F$1048576,0),3),"")</f>
        <v/>
      </c>
    </row>
    <row r="892" spans="63:63" x14ac:dyDescent="0.35">
      <c r="BK892" t="str">
        <f>IFERROR(INDEX(added_new_stocks!$F$6:$H$1048576,MATCH($A892,added_new_stocks!$F$6:$F$1048576,0),3),"")</f>
        <v/>
      </c>
    </row>
    <row r="893" spans="63:63" x14ac:dyDescent="0.35">
      <c r="BK893" t="str">
        <f>IFERROR(INDEX(added_new_stocks!$F$6:$H$1048576,MATCH($A893,added_new_stocks!$F$6:$F$1048576,0),3),"")</f>
        <v/>
      </c>
    </row>
    <row r="894" spans="63:63" x14ac:dyDescent="0.35">
      <c r="BK894" t="str">
        <f>IFERROR(INDEX(added_new_stocks!$F$6:$H$1048576,MATCH($A894,added_new_stocks!$F$6:$F$1048576,0),3),"")</f>
        <v/>
      </c>
    </row>
    <row r="895" spans="63:63" x14ac:dyDescent="0.35">
      <c r="BK895" t="str">
        <f>IFERROR(INDEX(added_new_stocks!$F$6:$H$1048576,MATCH($A895,added_new_stocks!$F$6:$F$1048576,0),3),"")</f>
        <v/>
      </c>
    </row>
    <row r="896" spans="63:63" x14ac:dyDescent="0.35">
      <c r="BK896" t="str">
        <f>IFERROR(INDEX(added_new_stocks!$F$6:$H$1048576,MATCH($A896,added_new_stocks!$F$6:$F$1048576,0),3),"")</f>
        <v/>
      </c>
    </row>
    <row r="897" spans="63:63" x14ac:dyDescent="0.35">
      <c r="BK897" t="str">
        <f>IFERROR(INDEX(added_new_stocks!$F$6:$H$1048576,MATCH($A897,added_new_stocks!$F$6:$F$1048576,0),3),"")</f>
        <v/>
      </c>
    </row>
    <row r="898" spans="63:63" x14ac:dyDescent="0.35">
      <c r="BK898" t="str">
        <f>IFERROR(INDEX(added_new_stocks!$F$6:$H$1048576,MATCH($A898,added_new_stocks!$F$6:$F$1048576,0),3),"")</f>
        <v/>
      </c>
    </row>
    <row r="899" spans="63:63" x14ac:dyDescent="0.35">
      <c r="BK899" t="str">
        <f>IFERROR(INDEX(added_new_stocks!$F$6:$H$1048576,MATCH($A899,added_new_stocks!$F$6:$F$1048576,0),3),"")</f>
        <v/>
      </c>
    </row>
    <row r="900" spans="63:63" x14ac:dyDescent="0.35">
      <c r="BK900" t="str">
        <f>IFERROR(INDEX(added_new_stocks!$F$6:$H$1048576,MATCH($A900,added_new_stocks!$F$6:$F$1048576,0),3),"")</f>
        <v/>
      </c>
    </row>
    <row r="901" spans="63:63" x14ac:dyDescent="0.35">
      <c r="BK901" t="str">
        <f>IFERROR(INDEX(added_new_stocks!$F$6:$H$1048576,MATCH($A901,added_new_stocks!$F$6:$F$1048576,0),3),"")</f>
        <v/>
      </c>
    </row>
    <row r="902" spans="63:63" x14ac:dyDescent="0.35">
      <c r="BK902" t="str">
        <f>IFERROR(INDEX(added_new_stocks!$F$6:$H$1048576,MATCH($A902,added_new_stocks!$F$6:$F$1048576,0),3),"")</f>
        <v/>
      </c>
    </row>
    <row r="903" spans="63:63" x14ac:dyDescent="0.35">
      <c r="BK903" t="str">
        <f>IFERROR(INDEX(added_new_stocks!$F$6:$H$1048576,MATCH($A903,added_new_stocks!$F$6:$F$1048576,0),3),"")</f>
        <v/>
      </c>
    </row>
    <row r="904" spans="63:63" x14ac:dyDescent="0.35">
      <c r="BK904" t="str">
        <f>IFERROR(INDEX(added_new_stocks!$F$6:$H$1048576,MATCH($A904,added_new_stocks!$F$6:$F$1048576,0),3),"")</f>
        <v/>
      </c>
    </row>
    <row r="905" spans="63:63" x14ac:dyDescent="0.35">
      <c r="BK905" t="str">
        <f>IFERROR(INDEX(added_new_stocks!$F$6:$H$1048576,MATCH($A905,added_new_stocks!$F$6:$F$1048576,0),3),"")</f>
        <v/>
      </c>
    </row>
    <row r="906" spans="63:63" x14ac:dyDescent="0.35">
      <c r="BK906" t="str">
        <f>IFERROR(INDEX(added_new_stocks!$F$6:$H$1048576,MATCH($A906,added_new_stocks!$F$6:$F$1048576,0),3),"")</f>
        <v/>
      </c>
    </row>
    <row r="907" spans="63:63" x14ac:dyDescent="0.35">
      <c r="BK907" t="str">
        <f>IFERROR(INDEX(added_new_stocks!$F$6:$H$1048576,MATCH($A907,added_new_stocks!$F$6:$F$1048576,0),3),"")</f>
        <v/>
      </c>
    </row>
    <row r="908" spans="63:63" x14ac:dyDescent="0.35">
      <c r="BK908" t="str">
        <f>IFERROR(INDEX(added_new_stocks!$F$6:$H$1048576,MATCH($A908,added_new_stocks!$F$6:$F$1048576,0),3),"")</f>
        <v/>
      </c>
    </row>
    <row r="909" spans="63:63" x14ac:dyDescent="0.35">
      <c r="BK909" t="str">
        <f>IFERROR(INDEX(added_new_stocks!$F$6:$H$1048576,MATCH($A909,added_new_stocks!$F$6:$F$1048576,0),3),"")</f>
        <v/>
      </c>
    </row>
    <row r="910" spans="63:63" x14ac:dyDescent="0.35">
      <c r="BK910" t="str">
        <f>IFERROR(INDEX(added_new_stocks!$F$6:$H$1048576,MATCH($A910,added_new_stocks!$F$6:$F$1048576,0),3),"")</f>
        <v/>
      </c>
    </row>
    <row r="911" spans="63:63" x14ac:dyDescent="0.35">
      <c r="BK911" t="str">
        <f>IFERROR(INDEX(added_new_stocks!$F$6:$H$1048576,MATCH($A911,added_new_stocks!$F$6:$F$1048576,0),3),"")</f>
        <v/>
      </c>
    </row>
    <row r="912" spans="63:63" x14ac:dyDescent="0.35">
      <c r="BK912" t="str">
        <f>IFERROR(INDEX(added_new_stocks!$F$6:$H$1048576,MATCH($A912,added_new_stocks!$F$6:$F$1048576,0),3),"")</f>
        <v/>
      </c>
    </row>
    <row r="913" spans="63:63" x14ac:dyDescent="0.35">
      <c r="BK913" t="str">
        <f>IFERROR(INDEX(added_new_stocks!$F$6:$H$1048576,MATCH($A913,added_new_stocks!$F$6:$F$1048576,0),3),"")</f>
        <v/>
      </c>
    </row>
    <row r="914" spans="63:63" x14ac:dyDescent="0.35">
      <c r="BK914" t="str">
        <f>IFERROR(INDEX(added_new_stocks!$F$6:$H$1048576,MATCH($A914,added_new_stocks!$F$6:$F$1048576,0),3),"")</f>
        <v/>
      </c>
    </row>
    <row r="915" spans="63:63" x14ac:dyDescent="0.35">
      <c r="BK915" t="str">
        <f>IFERROR(INDEX(added_new_stocks!$F$6:$H$1048576,MATCH($A915,added_new_stocks!$F$6:$F$1048576,0),3),"")</f>
        <v/>
      </c>
    </row>
    <row r="916" spans="63:63" x14ac:dyDescent="0.35">
      <c r="BK916" t="str">
        <f>IFERROR(INDEX(added_new_stocks!$F$6:$H$1048576,MATCH($A916,added_new_stocks!$F$6:$F$1048576,0),3),"")</f>
        <v/>
      </c>
    </row>
    <row r="917" spans="63:63" x14ac:dyDescent="0.35">
      <c r="BK917" t="str">
        <f>IFERROR(INDEX(added_new_stocks!$F$6:$H$1048576,MATCH($A917,added_new_stocks!$F$6:$F$1048576,0),3),"")</f>
        <v/>
      </c>
    </row>
    <row r="918" spans="63:63" x14ac:dyDescent="0.35">
      <c r="BK918" t="str">
        <f>IFERROR(INDEX(added_new_stocks!$F$6:$H$1048576,MATCH($A918,added_new_stocks!$F$6:$F$1048576,0),3),"")</f>
        <v/>
      </c>
    </row>
    <row r="919" spans="63:63" x14ac:dyDescent="0.35">
      <c r="BK919" t="str">
        <f>IFERROR(INDEX(added_new_stocks!$F$6:$H$1048576,MATCH($A919,added_new_stocks!$F$6:$F$1048576,0),3),"")</f>
        <v/>
      </c>
    </row>
    <row r="920" spans="63:63" x14ac:dyDescent="0.35">
      <c r="BK920" t="str">
        <f>IFERROR(INDEX(added_new_stocks!$F$6:$H$1048576,MATCH($A920,added_new_stocks!$F$6:$F$1048576,0),3),"")</f>
        <v/>
      </c>
    </row>
    <row r="921" spans="63:63" x14ac:dyDescent="0.35">
      <c r="BK921" t="str">
        <f>IFERROR(INDEX(added_new_stocks!$F$6:$H$1048576,MATCH($A921,added_new_stocks!$F$6:$F$1048576,0),3),"")</f>
        <v/>
      </c>
    </row>
    <row r="922" spans="63:63" x14ac:dyDescent="0.35">
      <c r="BK922" t="str">
        <f>IFERROR(INDEX(added_new_stocks!$F$6:$H$1048576,MATCH($A922,added_new_stocks!$F$6:$F$1048576,0),3),"")</f>
        <v/>
      </c>
    </row>
    <row r="923" spans="63:63" x14ac:dyDescent="0.35">
      <c r="BK923" t="str">
        <f>IFERROR(INDEX(added_new_stocks!$F$6:$H$1048576,MATCH($A923,added_new_stocks!$F$6:$F$1048576,0),3),"")</f>
        <v/>
      </c>
    </row>
    <row r="924" spans="63:63" x14ac:dyDescent="0.35">
      <c r="BK924" t="str">
        <f>IFERROR(INDEX(added_new_stocks!$F$6:$H$1048576,MATCH($A924,added_new_stocks!$F$6:$F$1048576,0),3),"")</f>
        <v/>
      </c>
    </row>
    <row r="925" spans="63:63" x14ac:dyDescent="0.35">
      <c r="BK925" t="str">
        <f>IFERROR(INDEX(added_new_stocks!$F$6:$H$1048576,MATCH($A925,added_new_stocks!$F$6:$F$1048576,0),3),"")</f>
        <v/>
      </c>
    </row>
    <row r="926" spans="63:63" x14ac:dyDescent="0.35">
      <c r="BK926" t="str">
        <f>IFERROR(INDEX(added_new_stocks!$F$6:$H$1048576,MATCH($A926,added_new_stocks!$F$6:$F$1048576,0),3),"")</f>
        <v/>
      </c>
    </row>
    <row r="927" spans="63:63" x14ac:dyDescent="0.35">
      <c r="BK927" t="str">
        <f>IFERROR(INDEX(added_new_stocks!$F$6:$H$1048576,MATCH($A927,added_new_stocks!$F$6:$F$1048576,0),3),"")</f>
        <v/>
      </c>
    </row>
    <row r="928" spans="63:63" x14ac:dyDescent="0.35">
      <c r="BK928" t="str">
        <f>IFERROR(INDEX(added_new_stocks!$F$6:$H$1048576,MATCH($A928,added_new_stocks!$F$6:$F$1048576,0),3),"")</f>
        <v/>
      </c>
    </row>
    <row r="929" spans="63:63" x14ac:dyDescent="0.35">
      <c r="BK929" t="str">
        <f>IFERROR(INDEX(added_new_stocks!$F$6:$H$1048576,MATCH($A929,added_new_stocks!$F$6:$F$1048576,0),3),"")</f>
        <v/>
      </c>
    </row>
    <row r="930" spans="63:63" x14ac:dyDescent="0.35">
      <c r="BK930" t="str">
        <f>IFERROR(INDEX(added_new_stocks!$F$6:$H$1048576,MATCH($A930,added_new_stocks!$F$6:$F$1048576,0),3),"")</f>
        <v/>
      </c>
    </row>
    <row r="931" spans="63:63" x14ac:dyDescent="0.35">
      <c r="BK931" t="str">
        <f>IFERROR(INDEX(added_new_stocks!$F$6:$H$1048576,MATCH($A931,added_new_stocks!$F$6:$F$1048576,0),3),"")</f>
        <v/>
      </c>
    </row>
    <row r="932" spans="63:63" x14ac:dyDescent="0.35">
      <c r="BK932" t="str">
        <f>IFERROR(INDEX(added_new_stocks!$F$6:$H$1048576,MATCH($A932,added_new_stocks!$F$6:$F$1048576,0),3),"")</f>
        <v/>
      </c>
    </row>
    <row r="933" spans="63:63" x14ac:dyDescent="0.35">
      <c r="BK933" t="str">
        <f>IFERROR(INDEX(added_new_stocks!$F$6:$H$1048576,MATCH($A933,added_new_stocks!$F$6:$F$1048576,0),3),"")</f>
        <v/>
      </c>
    </row>
    <row r="934" spans="63:63" x14ac:dyDescent="0.35">
      <c r="BK934" t="str">
        <f>IFERROR(INDEX(added_new_stocks!$F$6:$H$1048576,MATCH($A934,added_new_stocks!$F$6:$F$1048576,0),3),"")</f>
        <v/>
      </c>
    </row>
    <row r="935" spans="63:63" x14ac:dyDescent="0.35">
      <c r="BK935" t="str">
        <f>IFERROR(INDEX(added_new_stocks!$F$6:$H$1048576,MATCH($A935,added_new_stocks!$F$6:$F$1048576,0),3),"")</f>
        <v/>
      </c>
    </row>
    <row r="936" spans="63:63" x14ac:dyDescent="0.35">
      <c r="BK936" t="str">
        <f>IFERROR(INDEX(added_new_stocks!$F$6:$H$1048576,MATCH($A936,added_new_stocks!$F$6:$F$1048576,0),3),"")</f>
        <v/>
      </c>
    </row>
    <row r="937" spans="63:63" x14ac:dyDescent="0.35">
      <c r="BK937" t="str">
        <f>IFERROR(INDEX(added_new_stocks!$F$6:$H$1048576,MATCH($A937,added_new_stocks!$F$6:$F$1048576,0),3),"")</f>
        <v/>
      </c>
    </row>
    <row r="938" spans="63:63" x14ac:dyDescent="0.35">
      <c r="BK938" t="str">
        <f>IFERROR(INDEX(added_new_stocks!$F$6:$H$1048576,MATCH($A938,added_new_stocks!$F$6:$F$1048576,0),3),"")</f>
        <v/>
      </c>
    </row>
    <row r="939" spans="63:63" x14ac:dyDescent="0.35">
      <c r="BK939" t="str">
        <f>IFERROR(INDEX(added_new_stocks!$F$6:$H$1048576,MATCH($A939,added_new_stocks!$F$6:$F$1048576,0),3),"")</f>
        <v/>
      </c>
    </row>
    <row r="940" spans="63:63" x14ac:dyDescent="0.35">
      <c r="BK940" t="str">
        <f>IFERROR(INDEX(added_new_stocks!$F$6:$H$1048576,MATCH($A940,added_new_stocks!$F$6:$F$1048576,0),3),"")</f>
        <v/>
      </c>
    </row>
    <row r="941" spans="63:63" x14ac:dyDescent="0.35">
      <c r="BK941" t="str">
        <f>IFERROR(INDEX(added_new_stocks!$F$6:$H$1048576,MATCH($A941,added_new_stocks!$F$6:$F$1048576,0),3),"")</f>
        <v/>
      </c>
    </row>
    <row r="942" spans="63:63" x14ac:dyDescent="0.35">
      <c r="BK942" t="str">
        <f>IFERROR(INDEX(added_new_stocks!$F$6:$H$1048576,MATCH($A942,added_new_stocks!$F$6:$F$1048576,0),3),"")</f>
        <v/>
      </c>
    </row>
    <row r="943" spans="63:63" x14ac:dyDescent="0.35">
      <c r="BK943" t="str">
        <f>IFERROR(INDEX(added_new_stocks!$F$6:$H$1048576,MATCH($A943,added_new_stocks!$F$6:$F$1048576,0),3),"")</f>
        <v/>
      </c>
    </row>
    <row r="944" spans="63:63" x14ac:dyDescent="0.35">
      <c r="BK944" t="str">
        <f>IFERROR(INDEX(added_new_stocks!$F$6:$H$1048576,MATCH($A944,added_new_stocks!$F$6:$F$1048576,0),3),"")</f>
        <v/>
      </c>
    </row>
    <row r="945" spans="63:63" x14ac:dyDescent="0.35">
      <c r="BK945" t="str">
        <f>IFERROR(INDEX(added_new_stocks!$F$6:$H$1048576,MATCH($A945,added_new_stocks!$F$6:$F$1048576,0),3),"")</f>
        <v/>
      </c>
    </row>
    <row r="946" spans="63:63" x14ac:dyDescent="0.35">
      <c r="BK946" t="str">
        <f>IFERROR(INDEX(added_new_stocks!$F$6:$H$1048576,MATCH($A946,added_new_stocks!$F$6:$F$1048576,0),3),"")</f>
        <v/>
      </c>
    </row>
    <row r="947" spans="63:63" x14ac:dyDescent="0.35">
      <c r="BK947" t="str">
        <f>IFERROR(INDEX(added_new_stocks!$F$6:$H$1048576,MATCH($A947,added_new_stocks!$F$6:$F$1048576,0),3),"")</f>
        <v/>
      </c>
    </row>
    <row r="948" spans="63:63" x14ac:dyDescent="0.35">
      <c r="BK948" t="str">
        <f>IFERROR(INDEX(added_new_stocks!$F$6:$H$1048576,MATCH($A948,added_new_stocks!$F$6:$F$1048576,0),3),"")</f>
        <v/>
      </c>
    </row>
    <row r="949" spans="63:63" x14ac:dyDescent="0.35">
      <c r="BK949" t="str">
        <f>IFERROR(INDEX(added_new_stocks!$F$6:$H$1048576,MATCH($A949,added_new_stocks!$F$6:$F$1048576,0),3),"")</f>
        <v/>
      </c>
    </row>
    <row r="950" spans="63:63" x14ac:dyDescent="0.35">
      <c r="BK950" t="str">
        <f>IFERROR(INDEX(added_new_stocks!$F$6:$H$1048576,MATCH($A950,added_new_stocks!$F$6:$F$1048576,0),3),"")</f>
        <v/>
      </c>
    </row>
    <row r="951" spans="63:63" x14ac:dyDescent="0.35">
      <c r="BK951" t="str">
        <f>IFERROR(INDEX(added_new_stocks!$F$6:$H$1048576,MATCH($A951,added_new_stocks!$F$6:$F$1048576,0),3),"")</f>
        <v/>
      </c>
    </row>
    <row r="952" spans="63:63" x14ac:dyDescent="0.35">
      <c r="BK952" t="str">
        <f>IFERROR(INDEX(added_new_stocks!$F$6:$H$1048576,MATCH($A952,added_new_stocks!$F$6:$F$1048576,0),3),"")</f>
        <v/>
      </c>
    </row>
    <row r="953" spans="63:63" x14ac:dyDescent="0.35">
      <c r="BK953" t="str">
        <f>IFERROR(INDEX(added_new_stocks!$F$6:$H$1048576,MATCH($A953,added_new_stocks!$F$6:$F$1048576,0),3),"")</f>
        <v/>
      </c>
    </row>
    <row r="954" spans="63:63" x14ac:dyDescent="0.35">
      <c r="BK954" t="str">
        <f>IFERROR(INDEX(added_new_stocks!$F$6:$H$1048576,MATCH($A954,added_new_stocks!$F$6:$F$1048576,0),3),"")</f>
        <v/>
      </c>
    </row>
    <row r="955" spans="63:63" x14ac:dyDescent="0.35">
      <c r="BK955" t="str">
        <f>IFERROR(INDEX(added_new_stocks!$F$6:$H$1048576,MATCH($A955,added_new_stocks!$F$6:$F$1048576,0),3),"")</f>
        <v/>
      </c>
    </row>
    <row r="956" spans="63:63" x14ac:dyDescent="0.35">
      <c r="BK956" t="str">
        <f>IFERROR(INDEX(added_new_stocks!$F$6:$H$1048576,MATCH($A956,added_new_stocks!$F$6:$F$1048576,0),3),"")</f>
        <v/>
      </c>
    </row>
    <row r="957" spans="63:63" x14ac:dyDescent="0.35">
      <c r="BK957" t="str">
        <f>IFERROR(INDEX(added_new_stocks!$F$6:$H$1048576,MATCH($A957,added_new_stocks!$F$6:$F$1048576,0),3),"")</f>
        <v/>
      </c>
    </row>
    <row r="958" spans="63:63" x14ac:dyDescent="0.35">
      <c r="BK958" t="str">
        <f>IFERROR(INDEX(added_new_stocks!$F$6:$H$1048576,MATCH($A958,added_new_stocks!$F$6:$F$1048576,0),3),"")</f>
        <v/>
      </c>
    </row>
    <row r="959" spans="63:63" x14ac:dyDescent="0.35">
      <c r="BK959" t="str">
        <f>IFERROR(INDEX(added_new_stocks!$F$6:$H$1048576,MATCH($A959,added_new_stocks!$F$6:$F$1048576,0),3),"")</f>
        <v/>
      </c>
    </row>
    <row r="960" spans="63:63" x14ac:dyDescent="0.35">
      <c r="BK960" t="str">
        <f>IFERROR(INDEX(added_new_stocks!$F$6:$H$1048576,MATCH($A960,added_new_stocks!$F$6:$F$1048576,0),3),"")</f>
        <v/>
      </c>
    </row>
    <row r="961" spans="63:63" x14ac:dyDescent="0.35">
      <c r="BK961" t="str">
        <f>IFERROR(INDEX(added_new_stocks!$F$6:$H$1048576,MATCH($A961,added_new_stocks!$F$6:$F$1048576,0),3),"")</f>
        <v/>
      </c>
    </row>
    <row r="962" spans="63:63" x14ac:dyDescent="0.35">
      <c r="BK962" t="str">
        <f>IFERROR(INDEX(added_new_stocks!$F$6:$H$1048576,MATCH($A962,added_new_stocks!$F$6:$F$1048576,0),3),"")</f>
        <v/>
      </c>
    </row>
    <row r="963" spans="63:63" x14ac:dyDescent="0.35">
      <c r="BK963" t="str">
        <f>IFERROR(INDEX(added_new_stocks!$F$6:$H$1048576,MATCH($A963,added_new_stocks!$F$6:$F$1048576,0),3),"")</f>
        <v/>
      </c>
    </row>
    <row r="964" spans="63:63" x14ac:dyDescent="0.35">
      <c r="BK964" t="str">
        <f>IFERROR(INDEX(added_new_stocks!$F$6:$H$1048576,MATCH($A964,added_new_stocks!$F$6:$F$1048576,0),3),"")</f>
        <v/>
      </c>
    </row>
    <row r="965" spans="63:63" x14ac:dyDescent="0.35">
      <c r="BK965" t="str">
        <f>IFERROR(INDEX(added_new_stocks!$F$6:$H$1048576,MATCH($A965,added_new_stocks!$F$6:$F$1048576,0),3),"")</f>
        <v/>
      </c>
    </row>
    <row r="966" spans="63:63" x14ac:dyDescent="0.35">
      <c r="BK966" t="str">
        <f>IFERROR(INDEX(added_new_stocks!$F$6:$H$1048576,MATCH($A966,added_new_stocks!$F$6:$F$1048576,0),3),"")</f>
        <v/>
      </c>
    </row>
    <row r="967" spans="63:63" x14ac:dyDescent="0.35">
      <c r="BK967" t="str">
        <f>IFERROR(INDEX(added_new_stocks!$F$6:$H$1048576,MATCH($A967,added_new_stocks!$F$6:$F$1048576,0),3),"")</f>
        <v/>
      </c>
    </row>
    <row r="968" spans="63:63" x14ac:dyDescent="0.35">
      <c r="BK968" t="str">
        <f>IFERROR(INDEX(added_new_stocks!$F$6:$H$1048576,MATCH($A968,added_new_stocks!$F$6:$F$1048576,0),3),"")</f>
        <v/>
      </c>
    </row>
    <row r="969" spans="63:63" x14ac:dyDescent="0.35">
      <c r="BK969" t="str">
        <f>IFERROR(INDEX(added_new_stocks!$F$6:$H$1048576,MATCH($A969,added_new_stocks!$F$6:$F$1048576,0),3),"")</f>
        <v/>
      </c>
    </row>
    <row r="970" spans="63:63" x14ac:dyDescent="0.35">
      <c r="BK970" t="str">
        <f>IFERROR(INDEX(added_new_stocks!$F$6:$H$1048576,MATCH($A970,added_new_stocks!$F$6:$F$1048576,0),3),"")</f>
        <v/>
      </c>
    </row>
    <row r="971" spans="63:63" x14ac:dyDescent="0.35">
      <c r="BK971" t="str">
        <f>IFERROR(INDEX(added_new_stocks!$F$6:$H$1048576,MATCH($A971,added_new_stocks!$F$6:$F$1048576,0),3),"")</f>
        <v/>
      </c>
    </row>
    <row r="972" spans="63:63" x14ac:dyDescent="0.35">
      <c r="BK972" t="str">
        <f>IFERROR(INDEX(added_new_stocks!$F$6:$H$1048576,MATCH($A972,added_new_stocks!$F$6:$F$1048576,0),3),"")</f>
        <v/>
      </c>
    </row>
    <row r="973" spans="63:63" x14ac:dyDescent="0.35">
      <c r="BK973" t="str">
        <f>IFERROR(INDEX(added_new_stocks!$F$6:$H$1048576,MATCH($A973,added_new_stocks!$F$6:$F$1048576,0),3),"")</f>
        <v/>
      </c>
    </row>
    <row r="974" spans="63:63" x14ac:dyDescent="0.35">
      <c r="BK974" t="str">
        <f>IFERROR(INDEX(added_new_stocks!$F$6:$H$1048576,MATCH($A974,added_new_stocks!$F$6:$F$1048576,0),3),"")</f>
        <v/>
      </c>
    </row>
    <row r="975" spans="63:63" x14ac:dyDescent="0.35">
      <c r="BK975" t="str">
        <f>IFERROR(INDEX(added_new_stocks!$F$6:$H$1048576,MATCH($A975,added_new_stocks!$F$6:$F$1048576,0),3),"")</f>
        <v/>
      </c>
    </row>
    <row r="976" spans="63:63" x14ac:dyDescent="0.35">
      <c r="BK976" t="str">
        <f>IFERROR(INDEX(added_new_stocks!$F$6:$H$1048576,MATCH($A976,added_new_stocks!$F$6:$F$1048576,0),3),"")</f>
        <v/>
      </c>
    </row>
    <row r="977" spans="63:63" x14ac:dyDescent="0.35">
      <c r="BK977" t="str">
        <f>IFERROR(INDEX(added_new_stocks!$F$6:$H$1048576,MATCH($A977,added_new_stocks!$F$6:$F$1048576,0),3),"")</f>
        <v/>
      </c>
    </row>
    <row r="978" spans="63:63" x14ac:dyDescent="0.35">
      <c r="BK978" t="str">
        <f>IFERROR(INDEX(added_new_stocks!$F$6:$H$1048576,MATCH($A978,added_new_stocks!$F$6:$F$1048576,0),3),"")</f>
        <v/>
      </c>
    </row>
    <row r="979" spans="63:63" x14ac:dyDescent="0.35">
      <c r="BK979" t="str">
        <f>IFERROR(INDEX(added_new_stocks!$F$6:$H$1048576,MATCH($A979,added_new_stocks!$F$6:$F$1048576,0),3),"")</f>
        <v/>
      </c>
    </row>
    <row r="980" spans="63:63" x14ac:dyDescent="0.35">
      <c r="BK980" t="str">
        <f>IFERROR(INDEX(added_new_stocks!$F$6:$H$1048576,MATCH($A980,added_new_stocks!$F$6:$F$1048576,0),3),"")</f>
        <v/>
      </c>
    </row>
    <row r="981" spans="63:63" x14ac:dyDescent="0.35">
      <c r="BK981" t="str">
        <f>IFERROR(INDEX(added_new_stocks!$F$6:$H$1048576,MATCH($A981,added_new_stocks!$F$6:$F$1048576,0),3),"")</f>
        <v/>
      </c>
    </row>
    <row r="982" spans="63:63" x14ac:dyDescent="0.35">
      <c r="BK982" t="str">
        <f>IFERROR(INDEX(added_new_stocks!$F$6:$H$1048576,MATCH($A982,added_new_stocks!$F$6:$F$1048576,0),3),"")</f>
        <v/>
      </c>
    </row>
    <row r="983" spans="63:63" x14ac:dyDescent="0.35">
      <c r="BK983" t="str">
        <f>IFERROR(INDEX(added_new_stocks!$F$6:$H$1048576,MATCH($A983,added_new_stocks!$F$6:$F$1048576,0),3),"")</f>
        <v/>
      </c>
    </row>
    <row r="984" spans="63:63" x14ac:dyDescent="0.35">
      <c r="BK984" t="str">
        <f>IFERROR(INDEX(added_new_stocks!$F$6:$H$1048576,MATCH($A984,added_new_stocks!$F$6:$F$1048576,0),3),"")</f>
        <v/>
      </c>
    </row>
    <row r="985" spans="63:63" x14ac:dyDescent="0.35">
      <c r="BK985" t="str">
        <f>IFERROR(INDEX(added_new_stocks!$F$6:$H$1048576,MATCH($A985,added_new_stocks!$F$6:$F$1048576,0),3),"")</f>
        <v/>
      </c>
    </row>
    <row r="986" spans="63:63" x14ac:dyDescent="0.35">
      <c r="BK986" t="str">
        <f>IFERROR(INDEX(added_new_stocks!$F$6:$H$1048576,MATCH($A986,added_new_stocks!$F$6:$F$1048576,0),3),"")</f>
        <v/>
      </c>
    </row>
    <row r="987" spans="63:63" x14ac:dyDescent="0.35">
      <c r="BK987" t="str">
        <f>IFERROR(INDEX(added_new_stocks!$F$6:$H$1048576,MATCH($A987,added_new_stocks!$F$6:$F$1048576,0),3),"")</f>
        <v/>
      </c>
    </row>
    <row r="988" spans="63:63" x14ac:dyDescent="0.35">
      <c r="BK988" t="str">
        <f>IFERROR(INDEX(added_new_stocks!$F$6:$H$1048576,MATCH($A988,added_new_stocks!$F$6:$F$1048576,0),3),"")</f>
        <v/>
      </c>
    </row>
    <row r="989" spans="63:63" x14ac:dyDescent="0.35">
      <c r="BK989" t="str">
        <f>IFERROR(INDEX(added_new_stocks!$F$6:$H$1048576,MATCH($A989,added_new_stocks!$F$6:$F$1048576,0),3),"")</f>
        <v/>
      </c>
    </row>
    <row r="990" spans="63:63" x14ac:dyDescent="0.35">
      <c r="BK990" t="str">
        <f>IFERROR(INDEX(added_new_stocks!$F$6:$H$1048576,MATCH($A990,added_new_stocks!$F$6:$F$1048576,0),3),"")</f>
        <v/>
      </c>
    </row>
    <row r="991" spans="63:63" x14ac:dyDescent="0.35">
      <c r="BK991" t="str">
        <f>IFERROR(INDEX(added_new_stocks!$F$6:$H$1048576,MATCH($A991,added_new_stocks!$F$6:$F$1048576,0),3),"")</f>
        <v/>
      </c>
    </row>
    <row r="992" spans="63:63" x14ac:dyDescent="0.35">
      <c r="BK992" t="str">
        <f>IFERROR(INDEX(added_new_stocks!$F$6:$H$1048576,MATCH($A992,added_new_stocks!$F$6:$F$1048576,0),3),"")</f>
        <v/>
      </c>
    </row>
    <row r="993" spans="63:63" x14ac:dyDescent="0.35">
      <c r="BK993" t="str">
        <f>IFERROR(INDEX(added_new_stocks!$F$6:$H$1048576,MATCH($A993,added_new_stocks!$F$6:$F$1048576,0),3),"")</f>
        <v/>
      </c>
    </row>
    <row r="994" spans="63:63" x14ac:dyDescent="0.35">
      <c r="BK994" t="str">
        <f>IFERROR(INDEX(added_new_stocks!$F$6:$H$1048576,MATCH($A994,added_new_stocks!$F$6:$F$1048576,0),3),"")</f>
        <v/>
      </c>
    </row>
    <row r="995" spans="63:63" x14ac:dyDescent="0.35">
      <c r="BK995" t="str">
        <f>IFERROR(INDEX(added_new_stocks!$F$6:$H$1048576,MATCH($A995,added_new_stocks!$F$6:$F$1048576,0),3),"")</f>
        <v/>
      </c>
    </row>
    <row r="996" spans="63:63" x14ac:dyDescent="0.35">
      <c r="BK996" t="str">
        <f>IFERROR(INDEX(added_new_stocks!$F$6:$H$1048576,MATCH($A996,added_new_stocks!$F$6:$F$1048576,0),3),"")</f>
        <v/>
      </c>
    </row>
    <row r="997" spans="63:63" x14ac:dyDescent="0.35">
      <c r="BK997" t="str">
        <f>IFERROR(INDEX(added_new_stocks!$F$6:$H$1048576,MATCH($A997,added_new_stocks!$F$6:$F$1048576,0),3),"")</f>
        <v/>
      </c>
    </row>
    <row r="998" spans="63:63" x14ac:dyDescent="0.35">
      <c r="BK998" t="str">
        <f>IFERROR(INDEX(added_new_stocks!$F$6:$H$1048576,MATCH($A998,added_new_stocks!$F$6:$F$1048576,0),3),"")</f>
        <v/>
      </c>
    </row>
    <row r="999" spans="63:63" x14ac:dyDescent="0.35">
      <c r="BK999" t="str">
        <f>IFERROR(INDEX(added_new_stocks!$F$6:$H$1048576,MATCH($A999,added_new_stocks!$F$6:$F$1048576,0),3),"")</f>
        <v/>
      </c>
    </row>
    <row r="1000" spans="63:63" x14ac:dyDescent="0.35">
      <c r="BK1000" t="str">
        <f>IFERROR(INDEX(added_new_stocks!$F$6:$H$1048576,MATCH($A1000,added_new_stocks!$F$6:$F$1048576,0),3),"")</f>
        <v/>
      </c>
    </row>
    <row r="1001" spans="63:63" x14ac:dyDescent="0.35">
      <c r="BK1001" t="str">
        <f>IFERROR(INDEX(added_new_stocks!$F$6:$H$1048576,MATCH($A1001,added_new_stocks!$F$6:$F$1048576,0),3),"")</f>
        <v/>
      </c>
    </row>
    <row r="1002" spans="63:63" x14ac:dyDescent="0.35">
      <c r="BK1002" t="str">
        <f>IFERROR(INDEX(added_new_stocks!$F$6:$H$1048576,MATCH($A1002,added_new_stocks!$F$6:$F$1048576,0),3),"")</f>
        <v/>
      </c>
    </row>
    <row r="1003" spans="63:63" x14ac:dyDescent="0.35">
      <c r="BK1003" t="str">
        <f>IFERROR(INDEX(added_new_stocks!$F$6:$H$1048576,MATCH($A1003,added_new_stocks!$F$6:$F$1048576,0),3),"")</f>
        <v/>
      </c>
    </row>
    <row r="1004" spans="63:63" x14ac:dyDescent="0.35">
      <c r="BK1004" t="str">
        <f>IFERROR(INDEX(added_new_stocks!$F$6:$H$1048576,MATCH($A1004,added_new_stocks!$F$6:$F$1048576,0),3),"")</f>
        <v/>
      </c>
    </row>
    <row r="1005" spans="63:63" x14ac:dyDescent="0.35">
      <c r="BK1005" t="str">
        <f>IFERROR(INDEX(added_new_stocks!$F$6:$H$1048576,MATCH($A1005,added_new_stocks!$F$6:$F$1048576,0),3),"")</f>
        <v/>
      </c>
    </row>
    <row r="1006" spans="63:63" x14ac:dyDescent="0.35">
      <c r="BK1006" t="str">
        <f>IFERROR(INDEX(added_new_stocks!$F$6:$H$1048576,MATCH($A1006,added_new_stocks!$F$6:$F$1048576,0),3),"")</f>
        <v/>
      </c>
    </row>
    <row r="1007" spans="63:63" x14ac:dyDescent="0.35">
      <c r="BK1007" t="str">
        <f>IFERROR(INDEX(added_new_stocks!$F$6:$H$1048576,MATCH($A1007,added_new_stocks!$F$6:$F$1048576,0),3),"")</f>
        <v/>
      </c>
    </row>
    <row r="1008" spans="63:63" x14ac:dyDescent="0.35">
      <c r="BK1008" t="str">
        <f>IFERROR(INDEX(added_new_stocks!$F$6:$H$1048576,MATCH($A1008,added_new_stocks!$F$6:$F$1048576,0),3),"")</f>
        <v/>
      </c>
    </row>
    <row r="1009" spans="63:63" x14ac:dyDescent="0.35">
      <c r="BK1009" t="str">
        <f>IFERROR(INDEX(added_new_stocks!$F$6:$H$1048576,MATCH($A1009,added_new_stocks!$F$6:$F$1048576,0),3),"")</f>
        <v/>
      </c>
    </row>
    <row r="1010" spans="63:63" x14ac:dyDescent="0.35">
      <c r="BK1010" t="str">
        <f>IFERROR(INDEX(added_new_stocks!$F$6:$H$1048576,MATCH($A1010,added_new_stocks!$F$6:$F$1048576,0),3),"")</f>
        <v/>
      </c>
    </row>
    <row r="1011" spans="63:63" x14ac:dyDescent="0.35">
      <c r="BK1011" t="str">
        <f>IFERROR(INDEX(added_new_stocks!$F$6:$H$1048576,MATCH($A1011,added_new_stocks!$F$6:$F$1048576,0),3),"")</f>
        <v/>
      </c>
    </row>
    <row r="1012" spans="63:63" x14ac:dyDescent="0.35">
      <c r="BK1012" t="str">
        <f>IFERROR(INDEX(added_new_stocks!$F$6:$H$1048576,MATCH($A1012,added_new_stocks!$F$6:$F$1048576,0),3),"")</f>
        <v/>
      </c>
    </row>
    <row r="1013" spans="63:63" x14ac:dyDescent="0.35">
      <c r="BK1013" t="str">
        <f>IFERROR(INDEX(added_new_stocks!$F$6:$H$1048576,MATCH($A1013,added_new_stocks!$F$6:$F$1048576,0),3),"")</f>
        <v/>
      </c>
    </row>
    <row r="1014" spans="63:63" x14ac:dyDescent="0.35">
      <c r="BK1014" t="str">
        <f>IFERROR(INDEX(added_new_stocks!$F$6:$H$1048576,MATCH($A1014,added_new_stocks!$F$6:$F$1048576,0),3),"")</f>
        <v/>
      </c>
    </row>
    <row r="1015" spans="63:63" x14ac:dyDescent="0.35">
      <c r="BK1015" t="str">
        <f>IFERROR(INDEX(added_new_stocks!$F$6:$H$1048576,MATCH($A1015,added_new_stocks!$F$6:$F$1048576,0),3),"")</f>
        <v/>
      </c>
    </row>
    <row r="1016" spans="63:63" x14ac:dyDescent="0.35">
      <c r="BK1016" t="str">
        <f>IFERROR(INDEX(added_new_stocks!$F$6:$H$1048576,MATCH($A1016,added_new_stocks!$F$6:$F$1048576,0),3),"")</f>
        <v/>
      </c>
    </row>
    <row r="1017" spans="63:63" x14ac:dyDescent="0.35">
      <c r="BK1017" t="str">
        <f>IFERROR(INDEX(added_new_stocks!$F$6:$H$1048576,MATCH($A1017,added_new_stocks!$F$6:$F$1048576,0),3),"")</f>
        <v/>
      </c>
    </row>
    <row r="1018" spans="63:63" x14ac:dyDescent="0.35">
      <c r="BK1018" t="str">
        <f>IFERROR(INDEX(added_new_stocks!$F$6:$H$1048576,MATCH($A1018,added_new_stocks!$F$6:$F$1048576,0),3),"")</f>
        <v/>
      </c>
    </row>
    <row r="1019" spans="63:63" x14ac:dyDescent="0.35">
      <c r="BK1019" t="str">
        <f>IFERROR(INDEX(added_new_stocks!$F$6:$H$1048576,MATCH($A1019,added_new_stocks!$F$6:$F$1048576,0),3),"")</f>
        <v/>
      </c>
    </row>
    <row r="1020" spans="63:63" x14ac:dyDescent="0.35">
      <c r="BK1020" t="str">
        <f>IFERROR(INDEX(added_new_stocks!$F$6:$H$1048576,MATCH($A1020,added_new_stocks!$F$6:$F$1048576,0),3),"")</f>
        <v/>
      </c>
    </row>
    <row r="1021" spans="63:63" x14ac:dyDescent="0.35">
      <c r="BK1021" t="str">
        <f>IFERROR(INDEX(added_new_stocks!$F$6:$H$1048576,MATCH($A1021,added_new_stocks!$F$6:$F$1048576,0),3),"")</f>
        <v/>
      </c>
    </row>
    <row r="1022" spans="63:63" x14ac:dyDescent="0.35">
      <c r="BK1022" t="str">
        <f>IFERROR(INDEX(added_new_stocks!$F$6:$H$1048576,MATCH($A1022,added_new_stocks!$F$6:$F$1048576,0),3),"")</f>
        <v/>
      </c>
    </row>
    <row r="1023" spans="63:63" x14ac:dyDescent="0.35">
      <c r="BK1023" t="str">
        <f>IFERROR(INDEX(added_new_stocks!$F$6:$H$1048576,MATCH($A1023,added_new_stocks!$F$6:$F$1048576,0),3),"")</f>
        <v/>
      </c>
    </row>
    <row r="1024" spans="63:63" x14ac:dyDescent="0.35">
      <c r="BK1024" t="str">
        <f>IFERROR(INDEX(added_new_stocks!$F$6:$H$1048576,MATCH($A1024,added_new_stocks!$F$6:$F$1048576,0),3),"")</f>
        <v/>
      </c>
    </row>
    <row r="1025" spans="63:63" x14ac:dyDescent="0.35">
      <c r="BK1025" t="str">
        <f>IFERROR(INDEX(added_new_stocks!$F$6:$H$1048576,MATCH($A1025,added_new_stocks!$F$6:$F$1048576,0),3),"")</f>
        <v/>
      </c>
    </row>
    <row r="1026" spans="63:63" x14ac:dyDescent="0.35">
      <c r="BK1026" t="str">
        <f>IFERROR(INDEX(added_new_stocks!$F$6:$H$1048576,MATCH($A1026,added_new_stocks!$F$6:$F$1048576,0),3),"")</f>
        <v/>
      </c>
    </row>
    <row r="1027" spans="63:63" x14ac:dyDescent="0.35">
      <c r="BK1027" t="str">
        <f>IFERROR(INDEX(added_new_stocks!$F$6:$H$1048576,MATCH($A1027,added_new_stocks!$F$6:$F$1048576,0),3),"")</f>
        <v/>
      </c>
    </row>
    <row r="1028" spans="63:63" x14ac:dyDescent="0.35">
      <c r="BK1028" t="str">
        <f>IFERROR(INDEX(added_new_stocks!$F$6:$H$1048576,MATCH($A1028,added_new_stocks!$F$6:$F$1048576,0),3),"")</f>
        <v/>
      </c>
    </row>
    <row r="1029" spans="63:63" x14ac:dyDescent="0.35">
      <c r="BK1029" t="str">
        <f>IFERROR(INDEX(added_new_stocks!$F$6:$H$1048576,MATCH($A1029,added_new_stocks!$F$6:$F$1048576,0),3),"")</f>
        <v/>
      </c>
    </row>
    <row r="1030" spans="63:63" x14ac:dyDescent="0.35">
      <c r="BK1030" t="str">
        <f>IFERROR(INDEX(added_new_stocks!$F$6:$H$1048576,MATCH($A1030,added_new_stocks!$F$6:$F$1048576,0),3),"")</f>
        <v/>
      </c>
    </row>
    <row r="1031" spans="63:63" x14ac:dyDescent="0.35">
      <c r="BK1031" t="str">
        <f>IFERROR(INDEX(added_new_stocks!$F$6:$H$1048576,MATCH($A1031,added_new_stocks!$F$6:$F$1048576,0),3),"")</f>
        <v/>
      </c>
    </row>
    <row r="1032" spans="63:63" x14ac:dyDescent="0.35">
      <c r="BK1032" t="str">
        <f>IFERROR(INDEX(added_new_stocks!$F$6:$H$1048576,MATCH($A1032,added_new_stocks!$F$6:$F$1048576,0),3),"")</f>
        <v/>
      </c>
    </row>
    <row r="1033" spans="63:63" x14ac:dyDescent="0.35">
      <c r="BK1033" t="str">
        <f>IFERROR(INDEX(added_new_stocks!$F$6:$H$1048576,MATCH($A1033,added_new_stocks!$F$6:$F$1048576,0),3),"")</f>
        <v/>
      </c>
    </row>
    <row r="1034" spans="63:63" x14ac:dyDescent="0.35">
      <c r="BK1034" t="str">
        <f>IFERROR(INDEX(added_new_stocks!$F$6:$H$1048576,MATCH($A1034,added_new_stocks!$F$6:$F$1048576,0),3),"")</f>
        <v/>
      </c>
    </row>
    <row r="1035" spans="63:63" x14ac:dyDescent="0.35">
      <c r="BK1035" t="str">
        <f>IFERROR(INDEX(added_new_stocks!$F$6:$H$1048576,MATCH($A1035,added_new_stocks!$F$6:$F$1048576,0),3),"")</f>
        <v/>
      </c>
    </row>
    <row r="1036" spans="63:63" x14ac:dyDescent="0.35">
      <c r="BK1036" t="str">
        <f>IFERROR(INDEX(added_new_stocks!$F$6:$H$1048576,MATCH($A1036,added_new_stocks!$F$6:$F$1048576,0),3),"")</f>
        <v/>
      </c>
    </row>
    <row r="1037" spans="63:63" x14ac:dyDescent="0.35">
      <c r="BK1037" t="str">
        <f>IFERROR(INDEX(added_new_stocks!$F$6:$H$1048576,MATCH($A1037,added_new_stocks!$F$6:$F$1048576,0),3),"")</f>
        <v/>
      </c>
    </row>
    <row r="1038" spans="63:63" x14ac:dyDescent="0.35">
      <c r="BK1038" t="str">
        <f>IFERROR(INDEX(added_new_stocks!$F$6:$H$1048576,MATCH($A1038,added_new_stocks!$F$6:$F$1048576,0),3),"")</f>
        <v/>
      </c>
    </row>
    <row r="1039" spans="63:63" x14ac:dyDescent="0.35">
      <c r="BK1039" t="str">
        <f>IFERROR(INDEX(added_new_stocks!$F$6:$H$1048576,MATCH($A1039,added_new_stocks!$F$6:$F$1048576,0),3),"")</f>
        <v/>
      </c>
    </row>
    <row r="1040" spans="63:63" x14ac:dyDescent="0.35">
      <c r="BK1040" t="str">
        <f>IFERROR(INDEX(added_new_stocks!$F$6:$H$1048576,MATCH($A1040,added_new_stocks!$F$6:$F$1048576,0),3),"")</f>
        <v/>
      </c>
    </row>
    <row r="1041" spans="63:63" x14ac:dyDescent="0.35">
      <c r="BK1041" t="str">
        <f>IFERROR(INDEX(added_new_stocks!$F$6:$H$1048576,MATCH($A1041,added_new_stocks!$F$6:$F$1048576,0),3),"")</f>
        <v/>
      </c>
    </row>
    <row r="1042" spans="63:63" x14ac:dyDescent="0.35">
      <c r="BK1042" t="str">
        <f>IFERROR(INDEX(added_new_stocks!$F$6:$H$1048576,MATCH($A1042,added_new_stocks!$F$6:$F$1048576,0),3),"")</f>
        <v/>
      </c>
    </row>
    <row r="1043" spans="63:63" x14ac:dyDescent="0.35">
      <c r="BK1043" t="str">
        <f>IFERROR(INDEX(added_new_stocks!$F$6:$H$1048576,MATCH($A1043,added_new_stocks!$F$6:$F$1048576,0),3),"")</f>
        <v/>
      </c>
    </row>
    <row r="1044" spans="63:63" x14ac:dyDescent="0.35">
      <c r="BK1044" t="str">
        <f>IFERROR(INDEX(added_new_stocks!$F$6:$H$1048576,MATCH($A1044,added_new_stocks!$F$6:$F$1048576,0),3),"")</f>
        <v/>
      </c>
    </row>
    <row r="1045" spans="63:63" x14ac:dyDescent="0.35">
      <c r="BK1045" t="str">
        <f>IFERROR(INDEX(added_new_stocks!$F$6:$H$1048576,MATCH($A1045,added_new_stocks!$F$6:$F$1048576,0),3),"")</f>
        <v/>
      </c>
    </row>
    <row r="1046" spans="63:63" x14ac:dyDescent="0.35">
      <c r="BK1046" t="str">
        <f>IFERROR(INDEX(added_new_stocks!$F$6:$H$1048576,MATCH($A1046,added_new_stocks!$F$6:$F$1048576,0),3),"")</f>
        <v/>
      </c>
    </row>
    <row r="1047" spans="63:63" x14ac:dyDescent="0.35">
      <c r="BK1047" t="str">
        <f>IFERROR(INDEX(added_new_stocks!$F$6:$H$1048576,MATCH($A1047,added_new_stocks!$F$6:$F$1048576,0),3),"")</f>
        <v/>
      </c>
    </row>
    <row r="1048" spans="63:63" x14ac:dyDescent="0.35">
      <c r="BK1048" t="str">
        <f>IFERROR(INDEX(added_new_stocks!$F$6:$H$1048576,MATCH($A1048,added_new_stocks!$F$6:$F$1048576,0),3),"")</f>
        <v/>
      </c>
    </row>
    <row r="1049" spans="63:63" x14ac:dyDescent="0.35">
      <c r="BK1049" t="str">
        <f>IFERROR(INDEX(added_new_stocks!$F$6:$H$1048576,MATCH($A1049,added_new_stocks!$F$6:$F$1048576,0),3),"")</f>
        <v/>
      </c>
    </row>
    <row r="1050" spans="63:63" x14ac:dyDescent="0.35">
      <c r="BK1050" t="str">
        <f>IFERROR(INDEX(added_new_stocks!$F$6:$H$1048576,MATCH($A1050,added_new_stocks!$F$6:$F$1048576,0),3),"")</f>
        <v/>
      </c>
    </row>
    <row r="1051" spans="63:63" x14ac:dyDescent="0.35">
      <c r="BK1051" t="str">
        <f>IFERROR(INDEX(added_new_stocks!$F$6:$H$1048576,MATCH($A1051,added_new_stocks!$F$6:$F$1048576,0),3),"")</f>
        <v/>
      </c>
    </row>
    <row r="1052" spans="63:63" x14ac:dyDescent="0.35">
      <c r="BK1052" t="str">
        <f>IFERROR(INDEX(added_new_stocks!$F$6:$H$1048576,MATCH($A1052,added_new_stocks!$F$6:$F$1048576,0),3),"")</f>
        <v/>
      </c>
    </row>
    <row r="1053" spans="63:63" x14ac:dyDescent="0.35">
      <c r="BK1053" t="str">
        <f>IFERROR(INDEX(added_new_stocks!$F$6:$H$1048576,MATCH($A1053,added_new_stocks!$F$6:$F$1048576,0),3),"")</f>
        <v/>
      </c>
    </row>
    <row r="1054" spans="63:63" x14ac:dyDescent="0.35">
      <c r="BK1054" t="str">
        <f>IFERROR(INDEX(added_new_stocks!$F$6:$H$1048576,MATCH($A1054,added_new_stocks!$F$6:$F$1048576,0),3),"")</f>
        <v/>
      </c>
    </row>
    <row r="1055" spans="63:63" x14ac:dyDescent="0.35">
      <c r="BK1055" t="str">
        <f>IFERROR(INDEX(added_new_stocks!$F$6:$H$1048576,MATCH($A1055,added_new_stocks!$F$6:$F$1048576,0),3),"")</f>
        <v/>
      </c>
    </row>
    <row r="1056" spans="63:63" x14ac:dyDescent="0.35">
      <c r="BK1056" t="str">
        <f>IFERROR(INDEX(added_new_stocks!$F$6:$H$1048576,MATCH($A1056,added_new_stocks!$F$6:$F$1048576,0),3),"")</f>
        <v/>
      </c>
    </row>
    <row r="1057" spans="63:63" x14ac:dyDescent="0.35">
      <c r="BK1057" t="str">
        <f>IFERROR(INDEX(added_new_stocks!$F$6:$H$1048576,MATCH($A1057,added_new_stocks!$F$6:$F$1048576,0),3),"")</f>
        <v/>
      </c>
    </row>
    <row r="1058" spans="63:63" x14ac:dyDescent="0.35">
      <c r="BK1058" t="str">
        <f>IFERROR(INDEX(added_new_stocks!$F$6:$H$1048576,MATCH($A1058,added_new_stocks!$F$6:$F$1048576,0),3),"")</f>
        <v/>
      </c>
    </row>
    <row r="1059" spans="63:63" x14ac:dyDescent="0.35">
      <c r="BK1059" t="str">
        <f>IFERROR(INDEX(added_new_stocks!$F$6:$H$1048576,MATCH($A1059,added_new_stocks!$F$6:$F$1048576,0),3),"")</f>
        <v/>
      </c>
    </row>
    <row r="1060" spans="63:63" x14ac:dyDescent="0.35">
      <c r="BK1060" t="str">
        <f>IFERROR(INDEX(added_new_stocks!$F$6:$H$1048576,MATCH($A1060,added_new_stocks!$F$6:$F$1048576,0),3),"")</f>
        <v/>
      </c>
    </row>
    <row r="1061" spans="63:63" x14ac:dyDescent="0.35">
      <c r="BK1061" t="str">
        <f>IFERROR(INDEX(added_new_stocks!$F$6:$H$1048576,MATCH($A1061,added_new_stocks!$F$6:$F$1048576,0),3),"")</f>
        <v/>
      </c>
    </row>
    <row r="1062" spans="63:63" x14ac:dyDescent="0.35">
      <c r="BK1062" t="str">
        <f>IFERROR(INDEX(added_new_stocks!$F$6:$H$1048576,MATCH($A1062,added_new_stocks!$F$6:$F$1048576,0),3),"")</f>
        <v/>
      </c>
    </row>
    <row r="1063" spans="63:63" x14ac:dyDescent="0.35">
      <c r="BK1063" t="str">
        <f>IFERROR(INDEX(added_new_stocks!$F$6:$H$1048576,MATCH($A1063,added_new_stocks!$F$6:$F$1048576,0),3),"")</f>
        <v/>
      </c>
    </row>
    <row r="1064" spans="63:63" x14ac:dyDescent="0.35">
      <c r="BK1064" t="str">
        <f>IFERROR(INDEX(added_new_stocks!$F$6:$H$1048576,MATCH($A1064,added_new_stocks!$F$6:$F$1048576,0),3),"")</f>
        <v/>
      </c>
    </row>
    <row r="1065" spans="63:63" x14ac:dyDescent="0.35">
      <c r="BK1065" t="str">
        <f>IFERROR(INDEX(added_new_stocks!$F$6:$H$1048576,MATCH($A1065,added_new_stocks!$F$6:$F$1048576,0),3),"")</f>
        <v/>
      </c>
    </row>
    <row r="1066" spans="63:63" x14ac:dyDescent="0.35">
      <c r="BK1066" t="str">
        <f>IFERROR(INDEX(added_new_stocks!$F$6:$H$1048576,MATCH($A1066,added_new_stocks!$F$6:$F$1048576,0),3),"")</f>
        <v/>
      </c>
    </row>
    <row r="1067" spans="63:63" x14ac:dyDescent="0.35">
      <c r="BK1067" t="str">
        <f>IFERROR(INDEX(added_new_stocks!$F$6:$H$1048576,MATCH($A1067,added_new_stocks!$F$6:$F$1048576,0),3),"")</f>
        <v/>
      </c>
    </row>
    <row r="1068" spans="63:63" x14ac:dyDescent="0.35">
      <c r="BK1068" t="str">
        <f>IFERROR(INDEX(added_new_stocks!$F$6:$H$1048576,MATCH($A1068,added_new_stocks!$F$6:$F$1048576,0),3),"")</f>
        <v/>
      </c>
    </row>
    <row r="1069" spans="63:63" x14ac:dyDescent="0.35">
      <c r="BK1069" t="str">
        <f>IFERROR(INDEX(added_new_stocks!$F$6:$H$1048576,MATCH($A1069,added_new_stocks!$F$6:$F$1048576,0),3),"")</f>
        <v/>
      </c>
    </row>
    <row r="1070" spans="63:63" x14ac:dyDescent="0.35">
      <c r="BK1070" t="str">
        <f>IFERROR(INDEX(added_new_stocks!$F$6:$H$1048576,MATCH($A1070,added_new_stocks!$F$6:$F$1048576,0),3),"")</f>
        <v/>
      </c>
    </row>
    <row r="1071" spans="63:63" x14ac:dyDescent="0.35">
      <c r="BK1071" t="str">
        <f>IFERROR(INDEX(added_new_stocks!$F$6:$H$1048576,MATCH($A1071,added_new_stocks!$F$6:$F$1048576,0),3),"")</f>
        <v/>
      </c>
    </row>
    <row r="1072" spans="63:63" x14ac:dyDescent="0.35">
      <c r="BK1072" t="str">
        <f>IFERROR(INDEX(added_new_stocks!$F$6:$H$1048576,MATCH($A1072,added_new_stocks!$F$6:$F$1048576,0),3),"")</f>
        <v/>
      </c>
    </row>
    <row r="1073" spans="63:63" x14ac:dyDescent="0.35">
      <c r="BK1073" t="str">
        <f>IFERROR(INDEX(added_new_stocks!$F$6:$H$1048576,MATCH($A1073,added_new_stocks!$F$6:$F$1048576,0),3),"")</f>
        <v/>
      </c>
    </row>
    <row r="1074" spans="63:63" x14ac:dyDescent="0.35">
      <c r="BK1074" t="str">
        <f>IFERROR(INDEX(added_new_stocks!$F$6:$H$1048576,MATCH($A1074,added_new_stocks!$F$6:$F$1048576,0),3),"")</f>
        <v/>
      </c>
    </row>
    <row r="1075" spans="63:63" x14ac:dyDescent="0.35">
      <c r="BK1075" t="str">
        <f>IFERROR(INDEX(added_new_stocks!$F$6:$H$1048576,MATCH($A1075,added_new_stocks!$F$6:$F$1048576,0),3),"")</f>
        <v/>
      </c>
    </row>
    <row r="1076" spans="63:63" x14ac:dyDescent="0.35">
      <c r="BK1076" t="str">
        <f>IFERROR(INDEX(added_new_stocks!$F$6:$H$1048576,MATCH($A1076,added_new_stocks!$F$6:$F$1048576,0),3),"")</f>
        <v/>
      </c>
    </row>
    <row r="1077" spans="63:63" x14ac:dyDescent="0.35">
      <c r="BK1077" t="str">
        <f>IFERROR(INDEX(added_new_stocks!$F$6:$H$1048576,MATCH($A1077,added_new_stocks!$F$6:$F$1048576,0),3),"")</f>
        <v/>
      </c>
    </row>
    <row r="1078" spans="63:63" x14ac:dyDescent="0.35">
      <c r="BK1078" t="str">
        <f>IFERROR(INDEX(added_new_stocks!$F$6:$H$1048576,MATCH($A1078,added_new_stocks!$F$6:$F$1048576,0),3),"")</f>
        <v/>
      </c>
    </row>
    <row r="1079" spans="63:63" x14ac:dyDescent="0.35">
      <c r="BK1079" t="str">
        <f>IFERROR(INDEX(added_new_stocks!$F$6:$H$1048576,MATCH($A1079,added_new_stocks!$F$6:$F$1048576,0),3),"")</f>
        <v/>
      </c>
    </row>
    <row r="1080" spans="63:63" x14ac:dyDescent="0.35">
      <c r="BK1080" t="str">
        <f>IFERROR(INDEX(added_new_stocks!$F$6:$H$1048576,MATCH($A1080,added_new_stocks!$F$6:$F$1048576,0),3),"")</f>
        <v/>
      </c>
    </row>
    <row r="1081" spans="63:63" x14ac:dyDescent="0.35">
      <c r="BK1081" t="str">
        <f>IFERROR(INDEX(added_new_stocks!$F$6:$H$1048576,MATCH($A1081,added_new_stocks!$F$6:$F$1048576,0),3),"")</f>
        <v/>
      </c>
    </row>
    <row r="1082" spans="63:63" x14ac:dyDescent="0.35">
      <c r="BK1082" t="str">
        <f>IFERROR(INDEX(added_new_stocks!$F$6:$H$1048576,MATCH($A1082,added_new_stocks!$F$6:$F$1048576,0),3),"")</f>
        <v/>
      </c>
    </row>
    <row r="1083" spans="63:63" x14ac:dyDescent="0.35">
      <c r="BK1083" t="str">
        <f>IFERROR(INDEX(added_new_stocks!$F$6:$H$1048576,MATCH($A1083,added_new_stocks!$F$6:$F$1048576,0),3),"")</f>
        <v/>
      </c>
    </row>
    <row r="1084" spans="63:63" x14ac:dyDescent="0.35">
      <c r="BK1084" t="str">
        <f>IFERROR(INDEX(added_new_stocks!$F$6:$H$1048576,MATCH($A1084,added_new_stocks!$F$6:$F$1048576,0),3),"")</f>
        <v/>
      </c>
    </row>
    <row r="1085" spans="63:63" x14ac:dyDescent="0.35">
      <c r="BK1085" t="str">
        <f>IFERROR(INDEX(added_new_stocks!$F$6:$H$1048576,MATCH($A1085,added_new_stocks!$F$6:$F$1048576,0),3),"")</f>
        <v/>
      </c>
    </row>
    <row r="1086" spans="63:63" x14ac:dyDescent="0.35">
      <c r="BK1086" t="str">
        <f>IFERROR(INDEX(added_new_stocks!$F$6:$H$1048576,MATCH($A1086,added_new_stocks!$F$6:$F$1048576,0),3),"")</f>
        <v/>
      </c>
    </row>
    <row r="1087" spans="63:63" x14ac:dyDescent="0.35">
      <c r="BK1087" t="str">
        <f>IFERROR(INDEX(added_new_stocks!$F$6:$H$1048576,MATCH($A1087,added_new_stocks!$F$6:$F$1048576,0),3),"")</f>
        <v/>
      </c>
    </row>
    <row r="1088" spans="63:63" x14ac:dyDescent="0.35">
      <c r="BK1088" t="str">
        <f>IFERROR(INDEX(added_new_stocks!$F$6:$H$1048576,MATCH($A1088,added_new_stocks!$F$6:$F$1048576,0),3),"")</f>
        <v/>
      </c>
    </row>
    <row r="1089" spans="63:63" x14ac:dyDescent="0.35">
      <c r="BK1089" t="str">
        <f>IFERROR(INDEX(added_new_stocks!$F$6:$H$1048576,MATCH($A1089,added_new_stocks!$F$6:$F$1048576,0),3),"")</f>
        <v/>
      </c>
    </row>
    <row r="1090" spans="63:63" x14ac:dyDescent="0.35">
      <c r="BK1090" t="str">
        <f>IFERROR(INDEX(added_new_stocks!$F$6:$H$1048576,MATCH($A1090,added_new_stocks!$F$6:$F$1048576,0),3),"")</f>
        <v/>
      </c>
    </row>
    <row r="1091" spans="63:63" x14ac:dyDescent="0.35">
      <c r="BK1091" t="str">
        <f>IFERROR(INDEX(added_new_stocks!$F$6:$H$1048576,MATCH($A1091,added_new_stocks!$F$6:$F$1048576,0),3),"")</f>
        <v/>
      </c>
    </row>
    <row r="1092" spans="63:63" x14ac:dyDescent="0.35">
      <c r="BK1092" t="str">
        <f>IFERROR(INDEX(added_new_stocks!$F$6:$H$1048576,MATCH($A1092,added_new_stocks!$F$6:$F$1048576,0),3),"")</f>
        <v/>
      </c>
    </row>
    <row r="1093" spans="63:63" x14ac:dyDescent="0.35">
      <c r="BK1093" t="str">
        <f>IFERROR(INDEX(added_new_stocks!$F$6:$H$1048576,MATCH($A1093,added_new_stocks!$F$6:$F$1048576,0),3),"")</f>
        <v/>
      </c>
    </row>
    <row r="1094" spans="63:63" x14ac:dyDescent="0.35">
      <c r="BK1094" t="str">
        <f>IFERROR(INDEX(added_new_stocks!$F$6:$H$1048576,MATCH($A1094,added_new_stocks!$F$6:$F$1048576,0),3),"")</f>
        <v/>
      </c>
    </row>
    <row r="1095" spans="63:63" x14ac:dyDescent="0.35">
      <c r="BK1095" t="str">
        <f>IFERROR(INDEX(added_new_stocks!$F$6:$H$1048576,MATCH($A1095,added_new_stocks!$F$6:$F$1048576,0),3),"")</f>
        <v/>
      </c>
    </row>
    <row r="1096" spans="63:63" x14ac:dyDescent="0.35">
      <c r="BK1096" t="str">
        <f>IFERROR(INDEX(added_new_stocks!$F$6:$H$1048576,MATCH($A1096,added_new_stocks!$F$6:$F$1048576,0),3),"")</f>
        <v/>
      </c>
    </row>
    <row r="1097" spans="63:63" x14ac:dyDescent="0.35">
      <c r="BK1097" t="str">
        <f>IFERROR(INDEX(added_new_stocks!$F$6:$H$1048576,MATCH($A1097,added_new_stocks!$F$6:$F$1048576,0),3),"")</f>
        <v/>
      </c>
    </row>
    <row r="1098" spans="63:63" x14ac:dyDescent="0.35">
      <c r="BK1098" t="str">
        <f>IFERROR(INDEX(added_new_stocks!$F$6:$H$1048576,MATCH($A1098,added_new_stocks!$F$6:$F$1048576,0),3),"")</f>
        <v/>
      </c>
    </row>
    <row r="1099" spans="63:63" x14ac:dyDescent="0.35">
      <c r="BK1099" t="str">
        <f>IFERROR(INDEX(added_new_stocks!$F$6:$H$1048576,MATCH($A1099,added_new_stocks!$F$6:$F$1048576,0),3),"")</f>
        <v/>
      </c>
    </row>
    <row r="1100" spans="63:63" x14ac:dyDescent="0.35">
      <c r="BK1100" t="str">
        <f>IFERROR(INDEX(added_new_stocks!$F$6:$H$1048576,MATCH($A1100,added_new_stocks!$F$6:$F$1048576,0),3),"")</f>
        <v/>
      </c>
    </row>
    <row r="1101" spans="63:63" x14ac:dyDescent="0.35">
      <c r="BK1101" t="str">
        <f>IFERROR(INDEX(added_new_stocks!$F$6:$H$1048576,MATCH($A1101,added_new_stocks!$F$6:$F$1048576,0),3),"")</f>
        <v/>
      </c>
    </row>
    <row r="1102" spans="63:63" x14ac:dyDescent="0.35">
      <c r="BK1102" t="str">
        <f>IFERROR(INDEX(added_new_stocks!$F$6:$H$1048576,MATCH($A1102,added_new_stocks!$F$6:$F$1048576,0),3),"")</f>
        <v/>
      </c>
    </row>
    <row r="1103" spans="63:63" x14ac:dyDescent="0.35">
      <c r="BK1103" t="str">
        <f>IFERROR(INDEX(added_new_stocks!$F$6:$H$1048576,MATCH($A1103,added_new_stocks!$F$6:$F$1048576,0),3),"")</f>
        <v/>
      </c>
    </row>
    <row r="1104" spans="63:63" x14ac:dyDescent="0.35">
      <c r="BK1104" t="str">
        <f>IFERROR(INDEX(added_new_stocks!$F$6:$H$1048576,MATCH($A1104,added_new_stocks!$F$6:$F$1048576,0),3),"")</f>
        <v/>
      </c>
    </row>
    <row r="1105" spans="63:63" x14ac:dyDescent="0.35">
      <c r="BK1105" t="str">
        <f>IFERROR(INDEX(added_new_stocks!$F$6:$H$1048576,MATCH($A1105,added_new_stocks!$F$6:$F$1048576,0),3),"")</f>
        <v/>
      </c>
    </row>
    <row r="1106" spans="63:63" x14ac:dyDescent="0.35">
      <c r="BK1106" t="str">
        <f>IFERROR(INDEX(added_new_stocks!$F$6:$H$1048576,MATCH($A1106,added_new_stocks!$F$6:$F$1048576,0),3),"")</f>
        <v/>
      </c>
    </row>
    <row r="1107" spans="63:63" x14ac:dyDescent="0.35">
      <c r="BK1107" t="str">
        <f>IFERROR(INDEX(added_new_stocks!$F$6:$H$1048576,MATCH($A1107,added_new_stocks!$F$6:$F$1048576,0),3),"")</f>
        <v/>
      </c>
    </row>
    <row r="1108" spans="63:63" x14ac:dyDescent="0.35">
      <c r="BK1108" t="str">
        <f>IFERROR(INDEX(added_new_stocks!$F$6:$H$1048576,MATCH($A1108,added_new_stocks!$F$6:$F$1048576,0),3),"")</f>
        <v/>
      </c>
    </row>
    <row r="1109" spans="63:63" x14ac:dyDescent="0.35">
      <c r="BK1109" t="str">
        <f>IFERROR(INDEX(added_new_stocks!$F$6:$H$1048576,MATCH($A1109,added_new_stocks!$F$6:$F$1048576,0),3),"")</f>
        <v/>
      </c>
    </row>
    <row r="1110" spans="63:63" x14ac:dyDescent="0.35">
      <c r="BK1110" t="str">
        <f>IFERROR(INDEX(added_new_stocks!$F$6:$H$1048576,MATCH($A1110,added_new_stocks!$F$6:$F$1048576,0),3),"")</f>
        <v/>
      </c>
    </row>
    <row r="1111" spans="63:63" x14ac:dyDescent="0.35">
      <c r="BK1111" t="str">
        <f>IFERROR(INDEX(added_new_stocks!$F$6:$H$1048576,MATCH($A1111,added_new_stocks!$F$6:$F$1048576,0),3),"")</f>
        <v/>
      </c>
    </row>
    <row r="1112" spans="63:63" x14ac:dyDescent="0.35">
      <c r="BK1112" t="str">
        <f>IFERROR(INDEX(added_new_stocks!$F$6:$H$1048576,MATCH($A1112,added_new_stocks!$F$6:$F$1048576,0),3),"")</f>
        <v/>
      </c>
    </row>
    <row r="1113" spans="63:63" x14ac:dyDescent="0.35">
      <c r="BK1113" t="str">
        <f>IFERROR(INDEX(added_new_stocks!$F$6:$H$1048576,MATCH($A1113,added_new_stocks!$F$6:$F$1048576,0),3),"")</f>
        <v/>
      </c>
    </row>
    <row r="1114" spans="63:63" x14ac:dyDescent="0.35">
      <c r="BK1114" t="str">
        <f>IFERROR(INDEX(added_new_stocks!$F$6:$H$1048576,MATCH($A1114,added_new_stocks!$F$6:$F$1048576,0),3),"")</f>
        <v/>
      </c>
    </row>
    <row r="1115" spans="63:63" x14ac:dyDescent="0.35">
      <c r="BK1115" t="str">
        <f>IFERROR(INDEX(added_new_stocks!$F$6:$H$1048576,MATCH($A1115,added_new_stocks!$F$6:$F$1048576,0),3),"")</f>
        <v/>
      </c>
    </row>
    <row r="1116" spans="63:63" x14ac:dyDescent="0.35">
      <c r="BK1116" t="str">
        <f>IFERROR(INDEX(added_new_stocks!$F$6:$H$1048576,MATCH($A1116,added_new_stocks!$F$6:$F$1048576,0),3),"")</f>
        <v/>
      </c>
    </row>
    <row r="1117" spans="63:63" x14ac:dyDescent="0.35">
      <c r="BK1117" t="str">
        <f>IFERROR(INDEX(added_new_stocks!$F$6:$H$1048576,MATCH($A1117,added_new_stocks!$F$6:$F$1048576,0),3),"")</f>
        <v/>
      </c>
    </row>
    <row r="1118" spans="63:63" x14ac:dyDescent="0.35">
      <c r="BK1118" t="str">
        <f>IFERROR(INDEX(added_new_stocks!$F$6:$H$1048576,MATCH($A1118,added_new_stocks!$F$6:$F$1048576,0),3),"")</f>
        <v/>
      </c>
    </row>
    <row r="1119" spans="63:63" x14ac:dyDescent="0.35">
      <c r="BK1119" t="str">
        <f>IFERROR(INDEX(added_new_stocks!$F$6:$H$1048576,MATCH($A1119,added_new_stocks!$F$6:$F$1048576,0),3),"")</f>
        <v/>
      </c>
    </row>
    <row r="1120" spans="63:63" x14ac:dyDescent="0.35">
      <c r="BK1120" t="str">
        <f>IFERROR(INDEX(added_new_stocks!$F$6:$H$1048576,MATCH($A1120,added_new_stocks!$F$6:$F$1048576,0),3),"")</f>
        <v/>
      </c>
    </row>
    <row r="1121" spans="63:63" x14ac:dyDescent="0.35">
      <c r="BK1121" t="str">
        <f>IFERROR(INDEX(added_new_stocks!$F$6:$H$1048576,MATCH($A1121,added_new_stocks!$F$6:$F$1048576,0),3),"")</f>
        <v/>
      </c>
    </row>
    <row r="1122" spans="63:63" x14ac:dyDescent="0.35">
      <c r="BK1122" t="str">
        <f>IFERROR(INDEX(added_new_stocks!$F$6:$H$1048576,MATCH($A1122,added_new_stocks!$F$6:$F$1048576,0),3),"")</f>
        <v/>
      </c>
    </row>
    <row r="1123" spans="63:63" x14ac:dyDescent="0.35">
      <c r="BK1123" t="str">
        <f>IFERROR(INDEX(added_new_stocks!$F$6:$H$1048576,MATCH($A1123,added_new_stocks!$F$6:$F$1048576,0),3),"")</f>
        <v/>
      </c>
    </row>
    <row r="1124" spans="63:63" x14ac:dyDescent="0.35">
      <c r="BK1124" t="str">
        <f>IFERROR(INDEX(added_new_stocks!$F$6:$H$1048576,MATCH($A1124,added_new_stocks!$F$6:$F$1048576,0),3),"")</f>
        <v/>
      </c>
    </row>
    <row r="1125" spans="63:63" x14ac:dyDescent="0.35">
      <c r="BK1125" t="str">
        <f>IFERROR(INDEX(added_new_stocks!$F$6:$H$1048576,MATCH($A1125,added_new_stocks!$F$6:$F$1048576,0),3),"")</f>
        <v/>
      </c>
    </row>
    <row r="1126" spans="63:63" x14ac:dyDescent="0.35">
      <c r="BK1126" t="str">
        <f>IFERROR(INDEX(added_new_stocks!$F$6:$H$1048576,MATCH($A1126,added_new_stocks!$F$6:$F$1048576,0),3),"")</f>
        <v/>
      </c>
    </row>
    <row r="1127" spans="63:63" x14ac:dyDescent="0.35">
      <c r="BK1127" t="str">
        <f>IFERROR(INDEX(added_new_stocks!$F$6:$H$1048576,MATCH($A1127,added_new_stocks!$F$6:$F$1048576,0),3),"")</f>
        <v/>
      </c>
    </row>
    <row r="1128" spans="63:63" x14ac:dyDescent="0.35">
      <c r="BK1128" t="str">
        <f>IFERROR(INDEX(added_new_stocks!$F$6:$H$1048576,MATCH($A1128,added_new_stocks!$F$6:$F$1048576,0),3),"")</f>
        <v/>
      </c>
    </row>
    <row r="1129" spans="63:63" x14ac:dyDescent="0.35">
      <c r="BK1129" t="str">
        <f>IFERROR(INDEX(added_new_stocks!$F$6:$H$1048576,MATCH($A1129,added_new_stocks!$F$6:$F$1048576,0),3),"")</f>
        <v/>
      </c>
    </row>
    <row r="1130" spans="63:63" x14ac:dyDescent="0.35">
      <c r="BK1130" t="str">
        <f>IFERROR(INDEX(added_new_stocks!$F$6:$H$1048576,MATCH($A1130,added_new_stocks!$F$6:$F$1048576,0),3),"")</f>
        <v/>
      </c>
    </row>
    <row r="1131" spans="63:63" x14ac:dyDescent="0.35">
      <c r="BK1131" t="str">
        <f>IFERROR(INDEX(added_new_stocks!$F$6:$H$1048576,MATCH($A1131,added_new_stocks!$F$6:$F$1048576,0),3),"")</f>
        <v/>
      </c>
    </row>
    <row r="1132" spans="63:63" x14ac:dyDescent="0.35">
      <c r="BK1132" t="str">
        <f>IFERROR(INDEX(added_new_stocks!$F$6:$H$1048576,MATCH($A1132,added_new_stocks!$F$6:$F$1048576,0),3),"")</f>
        <v/>
      </c>
    </row>
    <row r="1133" spans="63:63" x14ac:dyDescent="0.35">
      <c r="BK1133" t="str">
        <f>IFERROR(INDEX(added_new_stocks!$F$6:$H$1048576,MATCH($A1133,added_new_stocks!$F$6:$F$1048576,0),3),"")</f>
        <v/>
      </c>
    </row>
    <row r="1134" spans="63:63" x14ac:dyDescent="0.35">
      <c r="BK1134" t="str">
        <f>IFERROR(INDEX(added_new_stocks!$F$6:$H$1048576,MATCH($A1134,added_new_stocks!$F$6:$F$1048576,0),3),"")</f>
        <v/>
      </c>
    </row>
    <row r="1135" spans="63:63" x14ac:dyDescent="0.35">
      <c r="BK1135" t="str">
        <f>IFERROR(INDEX(added_new_stocks!$F$6:$H$1048576,MATCH($A1135,added_new_stocks!$F$6:$F$1048576,0),3),"")</f>
        <v/>
      </c>
    </row>
    <row r="1136" spans="63:63" x14ac:dyDescent="0.35">
      <c r="BK1136" t="str">
        <f>IFERROR(INDEX(added_new_stocks!$F$6:$H$1048576,MATCH($A1136,added_new_stocks!$F$6:$F$1048576,0),3),"")</f>
        <v/>
      </c>
    </row>
    <row r="1137" spans="63:63" x14ac:dyDescent="0.35">
      <c r="BK1137" t="str">
        <f>IFERROR(INDEX(added_new_stocks!$F$6:$H$1048576,MATCH($A1137,added_new_stocks!$F$6:$F$1048576,0),3),"")</f>
        <v/>
      </c>
    </row>
    <row r="1138" spans="63:63" x14ac:dyDescent="0.35">
      <c r="BK1138" t="str">
        <f>IFERROR(INDEX(added_new_stocks!$F$6:$H$1048576,MATCH($A1138,added_new_stocks!$F$6:$F$1048576,0),3),"")</f>
        <v/>
      </c>
    </row>
    <row r="1139" spans="63:63" x14ac:dyDescent="0.35">
      <c r="BK1139" t="str">
        <f>IFERROR(INDEX(added_new_stocks!$F$6:$H$1048576,MATCH($A1139,added_new_stocks!$F$6:$F$1048576,0),3),"")</f>
        <v/>
      </c>
    </row>
    <row r="1140" spans="63:63" x14ac:dyDescent="0.35">
      <c r="BK1140" t="str">
        <f>IFERROR(INDEX(added_new_stocks!$F$6:$H$1048576,MATCH($A1140,added_new_stocks!$F$6:$F$1048576,0),3),"")</f>
        <v/>
      </c>
    </row>
    <row r="1141" spans="63:63" x14ac:dyDescent="0.35">
      <c r="BK1141" t="str">
        <f>IFERROR(INDEX(added_new_stocks!$F$6:$H$1048576,MATCH($A1141,added_new_stocks!$F$6:$F$1048576,0),3),"")</f>
        <v/>
      </c>
    </row>
    <row r="1142" spans="63:63" x14ac:dyDescent="0.35">
      <c r="BK1142" t="str">
        <f>IFERROR(INDEX(added_new_stocks!$F$6:$H$1048576,MATCH($A1142,added_new_stocks!$F$6:$F$1048576,0),3),"")</f>
        <v/>
      </c>
    </row>
    <row r="1143" spans="63:63" x14ac:dyDescent="0.35">
      <c r="BK1143" t="str">
        <f>IFERROR(INDEX(added_new_stocks!$F$6:$H$1048576,MATCH($A1143,added_new_stocks!$F$6:$F$1048576,0),3),"")</f>
        <v/>
      </c>
    </row>
    <row r="1144" spans="63:63" x14ac:dyDescent="0.35">
      <c r="BK1144" t="str">
        <f>IFERROR(INDEX(added_new_stocks!$F$6:$H$1048576,MATCH($A1144,added_new_stocks!$F$6:$F$1048576,0),3),"")</f>
        <v/>
      </c>
    </row>
    <row r="1145" spans="63:63" x14ac:dyDescent="0.35">
      <c r="BK1145" t="str">
        <f>IFERROR(INDEX(added_new_stocks!$F$6:$H$1048576,MATCH($A1145,added_new_stocks!$F$6:$F$1048576,0),3),"")</f>
        <v/>
      </c>
    </row>
    <row r="1146" spans="63:63" x14ac:dyDescent="0.35">
      <c r="BK1146" t="str">
        <f>IFERROR(INDEX(added_new_stocks!$F$6:$H$1048576,MATCH($A1146,added_new_stocks!$F$6:$F$1048576,0),3),"")</f>
        <v/>
      </c>
    </row>
    <row r="1147" spans="63:63" x14ac:dyDescent="0.35">
      <c r="BK1147" t="str">
        <f>IFERROR(INDEX(added_new_stocks!$F$6:$H$1048576,MATCH($A1147,added_new_stocks!$F$6:$F$1048576,0),3),"")</f>
        <v/>
      </c>
    </row>
    <row r="1148" spans="63:63" x14ac:dyDescent="0.35">
      <c r="BK1148" t="str">
        <f>IFERROR(INDEX(added_new_stocks!$F$6:$H$1048576,MATCH($A1148,added_new_stocks!$F$6:$F$1048576,0),3),"")</f>
        <v/>
      </c>
    </row>
    <row r="1149" spans="63:63" x14ac:dyDescent="0.35">
      <c r="BK1149" t="str">
        <f>IFERROR(INDEX(added_new_stocks!$F$6:$H$1048576,MATCH($A1149,added_new_stocks!$F$6:$F$1048576,0),3),"")</f>
        <v/>
      </c>
    </row>
    <row r="1150" spans="63:63" x14ac:dyDescent="0.35">
      <c r="BK1150" t="str">
        <f>IFERROR(INDEX(added_new_stocks!$F$6:$H$1048576,MATCH($A1150,added_new_stocks!$F$6:$F$1048576,0),3),"")</f>
        <v/>
      </c>
    </row>
    <row r="1151" spans="63:63" x14ac:dyDescent="0.35">
      <c r="BK1151" t="str">
        <f>IFERROR(INDEX(added_new_stocks!$F$6:$H$1048576,MATCH($A1151,added_new_stocks!$F$6:$F$1048576,0),3),"")</f>
        <v/>
      </c>
    </row>
    <row r="1152" spans="63:63" x14ac:dyDescent="0.35">
      <c r="BK1152" t="str">
        <f>IFERROR(INDEX(added_new_stocks!$F$6:$H$1048576,MATCH($A1152,added_new_stocks!$F$6:$F$1048576,0),3),"")</f>
        <v/>
      </c>
    </row>
    <row r="1153" spans="63:63" x14ac:dyDescent="0.35">
      <c r="BK1153" t="str">
        <f>IFERROR(INDEX(added_new_stocks!$F$6:$H$1048576,MATCH($A1153,added_new_stocks!$F$6:$F$1048576,0),3),"")</f>
        <v/>
      </c>
    </row>
    <row r="1154" spans="63:63" x14ac:dyDescent="0.35">
      <c r="BK1154" t="str">
        <f>IFERROR(INDEX(added_new_stocks!$F$6:$H$1048576,MATCH($A1154,added_new_stocks!$F$6:$F$1048576,0),3),"")</f>
        <v/>
      </c>
    </row>
    <row r="1155" spans="63:63" x14ac:dyDescent="0.35">
      <c r="BK1155" t="str">
        <f>IFERROR(INDEX(added_new_stocks!$F$6:$H$1048576,MATCH($A1155,added_new_stocks!$F$6:$F$1048576,0),3),"")</f>
        <v/>
      </c>
    </row>
    <row r="1156" spans="63:63" x14ac:dyDescent="0.35">
      <c r="BK1156" t="str">
        <f>IFERROR(INDEX(added_new_stocks!$F$6:$H$1048576,MATCH($A1156,added_new_stocks!$F$6:$F$1048576,0),3),"")</f>
        <v/>
      </c>
    </row>
    <row r="1157" spans="63:63" x14ac:dyDescent="0.35">
      <c r="BK1157" t="str">
        <f>IFERROR(INDEX(added_new_stocks!$F$6:$H$1048576,MATCH($A1157,added_new_stocks!$F$6:$F$1048576,0),3),"")</f>
        <v/>
      </c>
    </row>
    <row r="1158" spans="63:63" x14ac:dyDescent="0.35">
      <c r="BK1158" t="str">
        <f>IFERROR(INDEX(added_new_stocks!$F$6:$H$1048576,MATCH($A1158,added_new_stocks!$F$6:$F$1048576,0),3),"")</f>
        <v/>
      </c>
    </row>
    <row r="1159" spans="63:63" x14ac:dyDescent="0.35">
      <c r="BK1159" t="str">
        <f>IFERROR(INDEX(added_new_stocks!$F$6:$H$1048576,MATCH($A1159,added_new_stocks!$F$6:$F$1048576,0),3),"")</f>
        <v/>
      </c>
    </row>
    <row r="1160" spans="63:63" x14ac:dyDescent="0.35">
      <c r="BK1160" t="str">
        <f>IFERROR(INDEX(added_new_stocks!$F$6:$H$1048576,MATCH($A1160,added_new_stocks!$F$6:$F$1048576,0),3),"")</f>
        <v/>
      </c>
    </row>
    <row r="1161" spans="63:63" x14ac:dyDescent="0.35">
      <c r="BK1161" t="str">
        <f>IFERROR(INDEX(added_new_stocks!$F$6:$H$1048576,MATCH($A1161,added_new_stocks!$F$6:$F$1048576,0),3),"")</f>
        <v/>
      </c>
    </row>
    <row r="1162" spans="63:63" x14ac:dyDescent="0.35">
      <c r="BK1162" t="str">
        <f>IFERROR(INDEX(added_new_stocks!$F$6:$H$1048576,MATCH($A1162,added_new_stocks!$F$6:$F$1048576,0),3),"")</f>
        <v/>
      </c>
    </row>
    <row r="1163" spans="63:63" x14ac:dyDescent="0.35">
      <c r="BK1163" t="str">
        <f>IFERROR(INDEX(added_new_stocks!$F$6:$H$1048576,MATCH($A1163,added_new_stocks!$F$6:$F$1048576,0),3),"")</f>
        <v/>
      </c>
    </row>
    <row r="1164" spans="63:63" x14ac:dyDescent="0.35">
      <c r="BK1164" t="str">
        <f>IFERROR(INDEX(added_new_stocks!$F$6:$H$1048576,MATCH($A1164,added_new_stocks!$F$6:$F$1048576,0),3),"")</f>
        <v/>
      </c>
    </row>
    <row r="1165" spans="63:63" x14ac:dyDescent="0.35">
      <c r="BK1165" t="str">
        <f>IFERROR(INDEX(added_new_stocks!$F$6:$H$1048576,MATCH($A1165,added_new_stocks!$F$6:$F$1048576,0),3),"")</f>
        <v/>
      </c>
    </row>
    <row r="1166" spans="63:63" x14ac:dyDescent="0.35">
      <c r="BK1166" t="str">
        <f>IFERROR(INDEX(added_new_stocks!$F$6:$H$1048576,MATCH($A1166,added_new_stocks!$F$6:$F$1048576,0),3),"")</f>
        <v/>
      </c>
    </row>
    <row r="1167" spans="63:63" x14ac:dyDescent="0.35">
      <c r="BK1167" t="str">
        <f>IFERROR(INDEX(added_new_stocks!$F$6:$H$1048576,MATCH($A1167,added_new_stocks!$F$6:$F$1048576,0),3),"")</f>
        <v/>
      </c>
    </row>
    <row r="1168" spans="63:63" x14ac:dyDescent="0.35">
      <c r="BK1168" t="str">
        <f>IFERROR(INDEX(added_new_stocks!$F$6:$H$1048576,MATCH($A1168,added_new_stocks!$F$6:$F$1048576,0),3),"")</f>
        <v/>
      </c>
    </row>
    <row r="1169" spans="63:63" x14ac:dyDescent="0.35">
      <c r="BK1169" t="str">
        <f>IFERROR(INDEX(added_new_stocks!$F$6:$H$1048576,MATCH($A1169,added_new_stocks!$F$6:$F$1048576,0),3),"")</f>
        <v/>
      </c>
    </row>
    <row r="1170" spans="63:63" x14ac:dyDescent="0.35">
      <c r="BK1170" t="str">
        <f>IFERROR(INDEX(added_new_stocks!$F$6:$H$1048576,MATCH($A1170,added_new_stocks!$F$6:$F$1048576,0),3),"")</f>
        <v/>
      </c>
    </row>
    <row r="1171" spans="63:63" x14ac:dyDescent="0.35">
      <c r="BK1171" t="str">
        <f>IFERROR(INDEX(added_new_stocks!$F$6:$H$1048576,MATCH($A1171,added_new_stocks!$F$6:$F$1048576,0),3),"")</f>
        <v/>
      </c>
    </row>
    <row r="1172" spans="63:63" x14ac:dyDescent="0.35">
      <c r="BK1172" t="str">
        <f>IFERROR(INDEX(added_new_stocks!$F$6:$H$1048576,MATCH($A1172,added_new_stocks!$F$6:$F$1048576,0),3),"")</f>
        <v/>
      </c>
    </row>
    <row r="1173" spans="63:63" x14ac:dyDescent="0.35">
      <c r="BK1173" t="str">
        <f>IFERROR(INDEX(added_new_stocks!$F$6:$H$1048576,MATCH($A1173,added_new_stocks!$F$6:$F$1048576,0),3),"")</f>
        <v/>
      </c>
    </row>
    <row r="1174" spans="63:63" x14ac:dyDescent="0.35">
      <c r="BK1174" t="str">
        <f>IFERROR(INDEX(added_new_stocks!$F$6:$H$1048576,MATCH($A1174,added_new_stocks!$F$6:$F$1048576,0),3),"")</f>
        <v/>
      </c>
    </row>
    <row r="1175" spans="63:63" x14ac:dyDescent="0.35">
      <c r="BK1175" t="str">
        <f>IFERROR(INDEX(added_new_stocks!$F$6:$H$1048576,MATCH($A1175,added_new_stocks!$F$6:$F$1048576,0),3),"")</f>
        <v/>
      </c>
    </row>
    <row r="1176" spans="63:63" x14ac:dyDescent="0.35">
      <c r="BK1176" t="str">
        <f>IFERROR(INDEX(added_new_stocks!$F$6:$H$1048576,MATCH($A1176,added_new_stocks!$F$6:$F$1048576,0),3),"")</f>
        <v/>
      </c>
    </row>
    <row r="1177" spans="63:63" x14ac:dyDescent="0.35">
      <c r="BK1177" t="str">
        <f>IFERROR(INDEX(added_new_stocks!$F$6:$H$1048576,MATCH($A1177,added_new_stocks!$F$6:$F$1048576,0),3),"")</f>
        <v/>
      </c>
    </row>
    <row r="1178" spans="63:63" x14ac:dyDescent="0.35">
      <c r="BK1178" t="str">
        <f>IFERROR(INDEX(added_new_stocks!$F$6:$H$1048576,MATCH($A1178,added_new_stocks!$F$6:$F$1048576,0),3),"")</f>
        <v/>
      </c>
    </row>
    <row r="1179" spans="63:63" x14ac:dyDescent="0.35">
      <c r="BK1179" t="str">
        <f>IFERROR(INDEX(added_new_stocks!$F$6:$H$1048576,MATCH($A1179,added_new_stocks!$F$6:$F$1048576,0),3),"")</f>
        <v/>
      </c>
    </row>
    <row r="1180" spans="63:63" x14ac:dyDescent="0.35">
      <c r="BK1180" t="str">
        <f>IFERROR(INDEX(added_new_stocks!$F$6:$H$1048576,MATCH($A1180,added_new_stocks!$F$6:$F$1048576,0),3),"")</f>
        <v/>
      </c>
    </row>
    <row r="1181" spans="63:63" x14ac:dyDescent="0.35">
      <c r="BK1181" t="str">
        <f>IFERROR(INDEX(added_new_stocks!$F$6:$H$1048576,MATCH($A1181,added_new_stocks!$F$6:$F$1048576,0),3),"")</f>
        <v/>
      </c>
    </row>
    <row r="1182" spans="63:63" x14ac:dyDescent="0.35">
      <c r="BK1182" t="str">
        <f>IFERROR(INDEX(added_new_stocks!$F$6:$H$1048576,MATCH($A1182,added_new_stocks!$F$6:$F$1048576,0),3),"")</f>
        <v/>
      </c>
    </row>
    <row r="1183" spans="63:63" x14ac:dyDescent="0.35">
      <c r="BK1183" t="str">
        <f>IFERROR(INDEX(added_new_stocks!$F$6:$H$1048576,MATCH($A1183,added_new_stocks!$F$6:$F$1048576,0),3),"")</f>
        <v/>
      </c>
    </row>
    <row r="1184" spans="63:63" x14ac:dyDescent="0.35">
      <c r="BK1184" t="str">
        <f>IFERROR(INDEX(added_new_stocks!$F$6:$H$1048576,MATCH($A1184,added_new_stocks!$F$6:$F$1048576,0),3),"")</f>
        <v/>
      </c>
    </row>
    <row r="1185" spans="63:63" x14ac:dyDescent="0.35">
      <c r="BK1185" t="str">
        <f>IFERROR(INDEX(added_new_stocks!$F$6:$H$1048576,MATCH($A1185,added_new_stocks!$F$6:$F$1048576,0),3),"")</f>
        <v/>
      </c>
    </row>
    <row r="1186" spans="63:63" x14ac:dyDescent="0.35">
      <c r="BK1186" t="str">
        <f>IFERROR(INDEX(added_new_stocks!$F$6:$H$1048576,MATCH($A1186,added_new_stocks!$F$6:$F$1048576,0),3),"")</f>
        <v/>
      </c>
    </row>
    <row r="1187" spans="63:63" x14ac:dyDescent="0.35">
      <c r="BK1187" t="str">
        <f>IFERROR(INDEX(added_new_stocks!$F$6:$H$1048576,MATCH($A1187,added_new_stocks!$F$6:$F$1048576,0),3),"")</f>
        <v/>
      </c>
    </row>
    <row r="1188" spans="63:63" x14ac:dyDescent="0.35">
      <c r="BK1188" t="str">
        <f>IFERROR(INDEX(added_new_stocks!$F$6:$H$1048576,MATCH($A1188,added_new_stocks!$F$6:$F$1048576,0),3),"")</f>
        <v/>
      </c>
    </row>
    <row r="1189" spans="63:63" x14ac:dyDescent="0.35">
      <c r="BK1189" t="str">
        <f>IFERROR(INDEX(added_new_stocks!$F$6:$H$1048576,MATCH($A1189,added_new_stocks!$F$6:$F$1048576,0),3),"")</f>
        <v/>
      </c>
    </row>
    <row r="1190" spans="63:63" x14ac:dyDescent="0.35">
      <c r="BK1190" t="str">
        <f>IFERROR(INDEX(added_new_stocks!$F$6:$H$1048576,MATCH($A1190,added_new_stocks!$F$6:$F$1048576,0),3),"")</f>
        <v/>
      </c>
    </row>
    <row r="1191" spans="63:63" x14ac:dyDescent="0.35">
      <c r="BK1191" t="str">
        <f>IFERROR(INDEX(added_new_stocks!$F$6:$H$1048576,MATCH($A1191,added_new_stocks!$F$6:$F$1048576,0),3),"")</f>
        <v/>
      </c>
    </row>
    <row r="1192" spans="63:63" x14ac:dyDescent="0.35">
      <c r="BK1192" t="str">
        <f>IFERROR(INDEX(added_new_stocks!$F$6:$H$1048576,MATCH($A1192,added_new_stocks!$F$6:$F$1048576,0),3),"")</f>
        <v/>
      </c>
    </row>
    <row r="1193" spans="63:63" x14ac:dyDescent="0.35">
      <c r="BK1193" t="str">
        <f>IFERROR(INDEX(added_new_stocks!$F$6:$H$1048576,MATCH($A1193,added_new_stocks!$F$6:$F$1048576,0),3),"")</f>
        <v/>
      </c>
    </row>
    <row r="1194" spans="63:63" x14ac:dyDescent="0.35">
      <c r="BK1194" t="str">
        <f>IFERROR(INDEX(added_new_stocks!$F$6:$H$1048576,MATCH($A1194,added_new_stocks!$F$6:$F$1048576,0),3),"")</f>
        <v/>
      </c>
    </row>
    <row r="1195" spans="63:63" x14ac:dyDescent="0.35">
      <c r="BK1195" t="str">
        <f>IFERROR(INDEX(added_new_stocks!$F$6:$H$1048576,MATCH($A1195,added_new_stocks!$F$6:$F$1048576,0),3),"")</f>
        <v/>
      </c>
    </row>
    <row r="1196" spans="63:63" x14ac:dyDescent="0.35">
      <c r="BK1196" t="str">
        <f>IFERROR(INDEX(added_new_stocks!$F$6:$H$1048576,MATCH($A1196,added_new_stocks!$F$6:$F$1048576,0),3),"")</f>
        <v/>
      </c>
    </row>
    <row r="1197" spans="63:63" x14ac:dyDescent="0.35">
      <c r="BK1197" t="str">
        <f>IFERROR(INDEX(added_new_stocks!$F$6:$H$1048576,MATCH($A1197,added_new_stocks!$F$6:$F$1048576,0),3),"")</f>
        <v/>
      </c>
    </row>
    <row r="1198" spans="63:63" x14ac:dyDescent="0.35">
      <c r="BK1198" t="str">
        <f>IFERROR(INDEX(added_new_stocks!$F$6:$H$1048576,MATCH($A1198,added_new_stocks!$F$6:$F$1048576,0),3),"")</f>
        <v/>
      </c>
    </row>
    <row r="1199" spans="63:63" x14ac:dyDescent="0.35">
      <c r="BK1199" t="str">
        <f>IFERROR(INDEX(added_new_stocks!$F$6:$H$1048576,MATCH($A1199,added_new_stocks!$F$6:$F$1048576,0),3),"")</f>
        <v/>
      </c>
    </row>
    <row r="1200" spans="63:63" x14ac:dyDescent="0.35">
      <c r="BK1200" t="str">
        <f>IFERROR(INDEX(added_new_stocks!$F$6:$H$1048576,MATCH($A1200,added_new_stocks!$F$6:$F$1048576,0),3),"")</f>
        <v/>
      </c>
    </row>
    <row r="1201" spans="63:63" x14ac:dyDescent="0.35">
      <c r="BK1201" t="str">
        <f>IFERROR(INDEX(added_new_stocks!$F$6:$H$1048576,MATCH($A1201,added_new_stocks!$F$6:$F$1048576,0),3),"")</f>
        <v/>
      </c>
    </row>
    <row r="1202" spans="63:63" x14ac:dyDescent="0.35">
      <c r="BK1202" t="str">
        <f>IFERROR(INDEX(added_new_stocks!$F$6:$H$1048576,MATCH($A1202,added_new_stocks!$F$6:$F$1048576,0),3),"")</f>
        <v/>
      </c>
    </row>
    <row r="1203" spans="63:63" x14ac:dyDescent="0.35">
      <c r="BK1203" t="str">
        <f>IFERROR(INDEX(added_new_stocks!$F$6:$H$1048576,MATCH($A1203,added_new_stocks!$F$6:$F$1048576,0),3),"")</f>
        <v/>
      </c>
    </row>
    <row r="1204" spans="63:63" x14ac:dyDescent="0.35">
      <c r="BK1204" t="str">
        <f>IFERROR(INDEX(added_new_stocks!$F$6:$H$1048576,MATCH($A1204,added_new_stocks!$F$6:$F$1048576,0),3),"")</f>
        <v/>
      </c>
    </row>
    <row r="1205" spans="63:63" x14ac:dyDescent="0.35">
      <c r="BK1205" t="str">
        <f>IFERROR(INDEX(added_new_stocks!$F$6:$H$1048576,MATCH($A1205,added_new_stocks!$F$6:$F$1048576,0),3),"")</f>
        <v/>
      </c>
    </row>
    <row r="1206" spans="63:63" x14ac:dyDescent="0.35">
      <c r="BK1206" t="str">
        <f>IFERROR(INDEX(added_new_stocks!$F$6:$H$1048576,MATCH($A1206,added_new_stocks!$F$6:$F$1048576,0),3),"")</f>
        <v/>
      </c>
    </row>
    <row r="1207" spans="63:63" x14ac:dyDescent="0.35">
      <c r="BK1207" t="str">
        <f>IFERROR(INDEX(added_new_stocks!$F$6:$H$1048576,MATCH($A1207,added_new_stocks!$F$6:$F$1048576,0),3),"")</f>
        <v/>
      </c>
    </row>
    <row r="1208" spans="63:63" x14ac:dyDescent="0.35">
      <c r="BK1208" t="str">
        <f>IFERROR(INDEX(added_new_stocks!$F$6:$H$1048576,MATCH($A1208,added_new_stocks!$F$6:$F$1048576,0),3),"")</f>
        <v/>
      </c>
    </row>
    <row r="1209" spans="63:63" x14ac:dyDescent="0.35">
      <c r="BK1209" t="str">
        <f>IFERROR(INDEX(added_new_stocks!$F$6:$H$1048576,MATCH($A1209,added_new_stocks!$F$6:$F$1048576,0),3),"")</f>
        <v/>
      </c>
    </row>
    <row r="1210" spans="63:63" x14ac:dyDescent="0.35">
      <c r="BK1210" t="str">
        <f>IFERROR(INDEX(added_new_stocks!$F$6:$H$1048576,MATCH($A1210,added_new_stocks!$F$6:$F$1048576,0),3),"")</f>
        <v/>
      </c>
    </row>
    <row r="1211" spans="63:63" x14ac:dyDescent="0.35">
      <c r="BK1211" t="str">
        <f>IFERROR(INDEX(added_new_stocks!$F$6:$H$1048576,MATCH($A1211,added_new_stocks!$F$6:$F$1048576,0),3),"")</f>
        <v/>
      </c>
    </row>
    <row r="1212" spans="63:63" x14ac:dyDescent="0.35">
      <c r="BK1212" t="str">
        <f>IFERROR(INDEX(added_new_stocks!$F$6:$H$1048576,MATCH($A1212,added_new_stocks!$F$6:$F$1048576,0),3),"")</f>
        <v/>
      </c>
    </row>
    <row r="1213" spans="63:63" x14ac:dyDescent="0.35">
      <c r="BK1213" t="str">
        <f>IFERROR(INDEX(added_new_stocks!$F$6:$H$1048576,MATCH($A1213,added_new_stocks!$F$6:$F$1048576,0),3),"")</f>
        <v/>
      </c>
    </row>
    <row r="1214" spans="63:63" x14ac:dyDescent="0.35">
      <c r="BK1214" t="str">
        <f>IFERROR(INDEX(added_new_stocks!$F$6:$H$1048576,MATCH($A1214,added_new_stocks!$F$6:$F$1048576,0),3),"")</f>
        <v/>
      </c>
    </row>
    <row r="1215" spans="63:63" x14ac:dyDescent="0.35">
      <c r="BK1215" t="str">
        <f>IFERROR(INDEX(added_new_stocks!$F$6:$H$1048576,MATCH($A1215,added_new_stocks!$F$6:$F$1048576,0),3),"")</f>
        <v/>
      </c>
    </row>
    <row r="1216" spans="63:63" x14ac:dyDescent="0.35">
      <c r="BK1216" t="str">
        <f>IFERROR(INDEX(added_new_stocks!$F$6:$H$1048576,MATCH($A1216,added_new_stocks!$F$6:$F$1048576,0),3),"")</f>
        <v/>
      </c>
    </row>
    <row r="1217" spans="63:63" x14ac:dyDescent="0.35">
      <c r="BK1217" t="str">
        <f>IFERROR(INDEX(added_new_stocks!$F$6:$H$1048576,MATCH($A1217,added_new_stocks!$F$6:$F$1048576,0),3),"")</f>
        <v/>
      </c>
    </row>
    <row r="1218" spans="63:63" x14ac:dyDescent="0.35">
      <c r="BK1218" t="str">
        <f>IFERROR(INDEX(added_new_stocks!$F$6:$H$1048576,MATCH($A1218,added_new_stocks!$F$6:$F$1048576,0),3),"")</f>
        <v/>
      </c>
    </row>
    <row r="1219" spans="63:63" x14ac:dyDescent="0.35">
      <c r="BK1219" t="str">
        <f>IFERROR(INDEX(added_new_stocks!$F$6:$H$1048576,MATCH($A1219,added_new_stocks!$F$6:$F$1048576,0),3),"")</f>
        <v/>
      </c>
    </row>
    <row r="1220" spans="63:63" x14ac:dyDescent="0.35">
      <c r="BK1220" t="str">
        <f>IFERROR(INDEX(added_new_stocks!$F$6:$H$1048576,MATCH($A1220,added_new_stocks!$F$6:$F$1048576,0),3),"")</f>
        <v/>
      </c>
    </row>
    <row r="1221" spans="63:63" x14ac:dyDescent="0.35">
      <c r="BK1221" t="str">
        <f>IFERROR(INDEX(added_new_stocks!$F$6:$H$1048576,MATCH($A1221,added_new_stocks!$F$6:$F$1048576,0),3),"")</f>
        <v/>
      </c>
    </row>
    <row r="1222" spans="63:63" x14ac:dyDescent="0.35">
      <c r="BK1222" t="str">
        <f>IFERROR(INDEX(added_new_stocks!$F$6:$H$1048576,MATCH($A1222,added_new_stocks!$F$6:$F$1048576,0),3),"")</f>
        <v/>
      </c>
    </row>
    <row r="1223" spans="63:63" x14ac:dyDescent="0.35">
      <c r="BK1223" t="str">
        <f>IFERROR(INDEX(added_new_stocks!$F$6:$H$1048576,MATCH($A1223,added_new_stocks!$F$6:$F$1048576,0),3),"")</f>
        <v/>
      </c>
    </row>
    <row r="1224" spans="63:63" x14ac:dyDescent="0.35">
      <c r="BK1224" t="str">
        <f>IFERROR(INDEX(added_new_stocks!$F$6:$H$1048576,MATCH($A1224,added_new_stocks!$F$6:$F$1048576,0),3),"")</f>
        <v/>
      </c>
    </row>
    <row r="1225" spans="63:63" x14ac:dyDescent="0.35">
      <c r="BK1225" t="str">
        <f>IFERROR(INDEX(added_new_stocks!$F$6:$H$1048576,MATCH($A1225,added_new_stocks!$F$6:$F$1048576,0),3),"")</f>
        <v/>
      </c>
    </row>
    <row r="1226" spans="63:63" x14ac:dyDescent="0.35">
      <c r="BK1226" t="str">
        <f>IFERROR(INDEX(added_new_stocks!$F$6:$H$1048576,MATCH($A1226,added_new_stocks!$F$6:$F$1048576,0),3),"")</f>
        <v/>
      </c>
    </row>
    <row r="1227" spans="63:63" x14ac:dyDescent="0.35">
      <c r="BK1227" t="str">
        <f>IFERROR(INDEX(added_new_stocks!$F$6:$H$1048576,MATCH($A1227,added_new_stocks!$F$6:$F$1048576,0),3),"")</f>
        <v/>
      </c>
    </row>
    <row r="1228" spans="63:63" x14ac:dyDescent="0.35">
      <c r="BK1228" t="str">
        <f>IFERROR(INDEX(added_new_stocks!$F$6:$H$1048576,MATCH($A1228,added_new_stocks!$F$6:$F$1048576,0),3),"")</f>
        <v/>
      </c>
    </row>
    <row r="1229" spans="63:63" x14ac:dyDescent="0.35">
      <c r="BK1229" t="str">
        <f>IFERROR(INDEX(added_new_stocks!$F$6:$H$1048576,MATCH($A1229,added_new_stocks!$F$6:$F$1048576,0),3),"")</f>
        <v/>
      </c>
    </row>
    <row r="1230" spans="63:63" x14ac:dyDescent="0.35">
      <c r="BK1230" t="str">
        <f>IFERROR(INDEX(added_new_stocks!$F$6:$H$1048576,MATCH($A1230,added_new_stocks!$F$6:$F$1048576,0),3),"")</f>
        <v/>
      </c>
    </row>
    <row r="1231" spans="63:63" x14ac:dyDescent="0.35">
      <c r="BK1231" t="str">
        <f>IFERROR(INDEX(added_new_stocks!$F$6:$H$1048576,MATCH($A1231,added_new_stocks!$F$6:$F$1048576,0),3),"")</f>
        <v/>
      </c>
    </row>
    <row r="1232" spans="63:63" x14ac:dyDescent="0.35">
      <c r="BK1232" t="str">
        <f>IFERROR(INDEX(added_new_stocks!$F$6:$H$1048576,MATCH($A1232,added_new_stocks!$F$6:$F$1048576,0),3),"")</f>
        <v/>
      </c>
    </row>
    <row r="1233" spans="63:63" x14ac:dyDescent="0.35">
      <c r="BK1233" t="str">
        <f>IFERROR(INDEX(added_new_stocks!$F$6:$H$1048576,MATCH($A1233,added_new_stocks!$F$6:$F$1048576,0),3),"")</f>
        <v/>
      </c>
    </row>
    <row r="1234" spans="63:63" x14ac:dyDescent="0.35">
      <c r="BK1234" t="str">
        <f>IFERROR(INDEX(added_new_stocks!$F$6:$H$1048576,MATCH($A1234,added_new_stocks!$F$6:$F$1048576,0),3),"")</f>
        <v/>
      </c>
    </row>
    <row r="1235" spans="63:63" x14ac:dyDescent="0.35">
      <c r="BK1235" t="str">
        <f>IFERROR(INDEX(added_new_stocks!$F$6:$H$1048576,MATCH($A1235,added_new_stocks!$F$6:$F$1048576,0),3),"")</f>
        <v/>
      </c>
    </row>
    <row r="1236" spans="63:63" x14ac:dyDescent="0.35">
      <c r="BK1236" t="str">
        <f>IFERROR(INDEX(added_new_stocks!$F$6:$H$1048576,MATCH($A1236,added_new_stocks!$F$6:$F$1048576,0),3),"")</f>
        <v/>
      </c>
    </row>
    <row r="1237" spans="63:63" x14ac:dyDescent="0.35">
      <c r="BK1237" t="str">
        <f>IFERROR(INDEX(added_new_stocks!$F$6:$H$1048576,MATCH($A1237,added_new_stocks!$F$6:$F$1048576,0),3),"")</f>
        <v/>
      </c>
    </row>
    <row r="1238" spans="63:63" x14ac:dyDescent="0.35">
      <c r="BK1238" t="str">
        <f>IFERROR(INDEX(added_new_stocks!$F$6:$H$1048576,MATCH($A1238,added_new_stocks!$F$6:$F$1048576,0),3),"")</f>
        <v/>
      </c>
    </row>
    <row r="1239" spans="63:63" x14ac:dyDescent="0.35">
      <c r="BK1239" t="str">
        <f>IFERROR(INDEX(added_new_stocks!$F$6:$H$1048576,MATCH($A1239,added_new_stocks!$F$6:$F$1048576,0),3),"")</f>
        <v/>
      </c>
    </row>
    <row r="1240" spans="63:63" x14ac:dyDescent="0.35">
      <c r="BK1240" t="str">
        <f>IFERROR(INDEX(added_new_stocks!$F$6:$H$1048576,MATCH($A1240,added_new_stocks!$F$6:$F$1048576,0),3),"")</f>
        <v/>
      </c>
    </row>
    <row r="1241" spans="63:63" x14ac:dyDescent="0.35">
      <c r="BK1241" t="str">
        <f>IFERROR(INDEX(added_new_stocks!$F$6:$H$1048576,MATCH($A1241,added_new_stocks!$F$6:$F$1048576,0),3),"")</f>
        <v/>
      </c>
    </row>
    <row r="1242" spans="63:63" x14ac:dyDescent="0.35">
      <c r="BK1242" t="str">
        <f>IFERROR(INDEX(added_new_stocks!$F$6:$H$1048576,MATCH($A1242,added_new_stocks!$F$6:$F$1048576,0),3),"")</f>
        <v/>
      </c>
    </row>
    <row r="1243" spans="63:63" x14ac:dyDescent="0.35">
      <c r="BK1243" t="str">
        <f>IFERROR(INDEX(added_new_stocks!$F$6:$H$1048576,MATCH($A1243,added_new_stocks!$F$6:$F$1048576,0),3),"")</f>
        <v/>
      </c>
    </row>
    <row r="1244" spans="63:63" x14ac:dyDescent="0.35">
      <c r="BK1244" t="str">
        <f>IFERROR(INDEX(added_new_stocks!$F$6:$H$1048576,MATCH($A1244,added_new_stocks!$F$6:$F$1048576,0),3),"")</f>
        <v/>
      </c>
    </row>
    <row r="1245" spans="63:63" x14ac:dyDescent="0.35">
      <c r="BK1245" t="str">
        <f>IFERROR(INDEX(added_new_stocks!$F$6:$H$1048576,MATCH($A1245,added_new_stocks!$F$6:$F$1048576,0),3),"")</f>
        <v/>
      </c>
    </row>
    <row r="1246" spans="63:63" x14ac:dyDescent="0.35">
      <c r="BK1246" t="str">
        <f>IFERROR(INDEX(added_new_stocks!$F$6:$H$1048576,MATCH($A1246,added_new_stocks!$F$6:$F$1048576,0),3),"")</f>
        <v/>
      </c>
    </row>
    <row r="1247" spans="63:63" x14ac:dyDescent="0.35">
      <c r="BK1247" t="str">
        <f>IFERROR(INDEX(added_new_stocks!$F$6:$H$1048576,MATCH($A1247,added_new_stocks!$F$6:$F$1048576,0),3),"")</f>
        <v/>
      </c>
    </row>
    <row r="1248" spans="63:63" x14ac:dyDescent="0.35">
      <c r="BK1248" t="str">
        <f>IFERROR(INDEX(added_new_stocks!$F$6:$H$1048576,MATCH($A1248,added_new_stocks!$F$6:$F$1048576,0),3),"")</f>
        <v/>
      </c>
    </row>
    <row r="1249" spans="63:63" x14ac:dyDescent="0.35">
      <c r="BK1249" t="str">
        <f>IFERROR(INDEX(added_new_stocks!$F$6:$H$1048576,MATCH($A1249,added_new_stocks!$F$6:$F$1048576,0),3),"")</f>
        <v/>
      </c>
    </row>
    <row r="1250" spans="63:63" x14ac:dyDescent="0.35">
      <c r="BK1250" t="str">
        <f>IFERROR(INDEX(added_new_stocks!$F$6:$H$1048576,MATCH($A1250,added_new_stocks!$F$6:$F$1048576,0),3),"")</f>
        <v/>
      </c>
    </row>
    <row r="1251" spans="63:63" x14ac:dyDescent="0.35">
      <c r="BK1251" t="str">
        <f>IFERROR(INDEX(added_new_stocks!$F$6:$H$1048576,MATCH($A1251,added_new_stocks!$F$6:$F$1048576,0),3),"")</f>
        <v/>
      </c>
    </row>
    <row r="1252" spans="63:63" x14ac:dyDescent="0.35">
      <c r="BK1252" t="str">
        <f>IFERROR(INDEX(added_new_stocks!$F$6:$H$1048576,MATCH($A1252,added_new_stocks!$F$6:$F$1048576,0),3),"")</f>
        <v/>
      </c>
    </row>
    <row r="1253" spans="63:63" x14ac:dyDescent="0.35">
      <c r="BK1253" t="str">
        <f>IFERROR(INDEX(added_new_stocks!$F$6:$H$1048576,MATCH($A1253,added_new_stocks!$F$6:$F$1048576,0),3),"")</f>
        <v/>
      </c>
    </row>
    <row r="1254" spans="63:63" x14ac:dyDescent="0.35">
      <c r="BK1254" t="str">
        <f>IFERROR(INDEX(added_new_stocks!$F$6:$H$1048576,MATCH($A1254,added_new_stocks!$F$6:$F$1048576,0),3),"")</f>
        <v/>
      </c>
    </row>
    <row r="1255" spans="63:63" x14ac:dyDescent="0.35">
      <c r="BK1255" t="str">
        <f>IFERROR(INDEX(added_new_stocks!$F$6:$H$1048576,MATCH($A1255,added_new_stocks!$F$6:$F$1048576,0),3),"")</f>
        <v/>
      </c>
    </row>
    <row r="1256" spans="63:63" x14ac:dyDescent="0.35">
      <c r="BK1256" t="str">
        <f>IFERROR(INDEX(added_new_stocks!$F$6:$H$1048576,MATCH($A1256,added_new_stocks!$F$6:$F$1048576,0),3),"")</f>
        <v/>
      </c>
    </row>
    <row r="1257" spans="63:63" x14ac:dyDescent="0.35">
      <c r="BK1257" t="str">
        <f>IFERROR(INDEX(added_new_stocks!$F$6:$H$1048576,MATCH($A1257,added_new_stocks!$F$6:$F$1048576,0),3),"")</f>
        <v/>
      </c>
    </row>
    <row r="1258" spans="63:63" x14ac:dyDescent="0.35">
      <c r="BK1258" t="str">
        <f>IFERROR(INDEX(added_new_stocks!$F$6:$H$1048576,MATCH($A1258,added_new_stocks!$F$6:$F$1048576,0),3),"")</f>
        <v/>
      </c>
    </row>
    <row r="1259" spans="63:63" x14ac:dyDescent="0.35">
      <c r="BK1259" t="str">
        <f>IFERROR(INDEX(added_new_stocks!$F$6:$H$1048576,MATCH($A1259,added_new_stocks!$F$6:$F$1048576,0),3),"")</f>
        <v/>
      </c>
    </row>
    <row r="1260" spans="63:63" x14ac:dyDescent="0.35">
      <c r="BK1260" t="str">
        <f>IFERROR(INDEX(added_new_stocks!$F$6:$H$1048576,MATCH($A1260,added_new_stocks!$F$6:$F$1048576,0),3),"")</f>
        <v/>
      </c>
    </row>
    <row r="1261" spans="63:63" x14ac:dyDescent="0.35">
      <c r="BK1261" t="str">
        <f>IFERROR(INDEX(added_new_stocks!$F$6:$H$1048576,MATCH($A1261,added_new_stocks!$F$6:$F$1048576,0),3),"")</f>
        <v/>
      </c>
    </row>
    <row r="1262" spans="63:63" x14ac:dyDescent="0.35">
      <c r="BK1262" t="str">
        <f>IFERROR(INDEX(added_new_stocks!$F$6:$H$1048576,MATCH($A1262,added_new_stocks!$F$6:$F$1048576,0),3),"")</f>
        <v/>
      </c>
    </row>
    <row r="1263" spans="63:63" x14ac:dyDescent="0.35">
      <c r="BK1263" t="str">
        <f>IFERROR(INDEX(added_new_stocks!$F$6:$H$1048576,MATCH($A1263,added_new_stocks!$F$6:$F$1048576,0),3),"")</f>
        <v/>
      </c>
    </row>
    <row r="1264" spans="63:63" x14ac:dyDescent="0.35">
      <c r="BK1264" t="str">
        <f>IFERROR(INDEX(added_new_stocks!$F$6:$H$1048576,MATCH($A1264,added_new_stocks!$F$6:$F$1048576,0),3),"")</f>
        <v/>
      </c>
    </row>
    <row r="1265" spans="63:63" x14ac:dyDescent="0.35">
      <c r="BK1265" t="str">
        <f>IFERROR(INDEX(added_new_stocks!$F$6:$H$1048576,MATCH($A1265,added_new_stocks!$F$6:$F$1048576,0),3),"")</f>
        <v/>
      </c>
    </row>
    <row r="1266" spans="63:63" x14ac:dyDescent="0.35">
      <c r="BK1266" t="str">
        <f>IFERROR(INDEX(added_new_stocks!$F$6:$H$1048576,MATCH($A1266,added_new_stocks!$F$6:$F$1048576,0),3),"")</f>
        <v/>
      </c>
    </row>
    <row r="1267" spans="63:63" x14ac:dyDescent="0.35">
      <c r="BK1267" t="str">
        <f>IFERROR(INDEX(added_new_stocks!$F$6:$H$1048576,MATCH($A1267,added_new_stocks!$F$6:$F$1048576,0),3),"")</f>
        <v/>
      </c>
    </row>
    <row r="1268" spans="63:63" x14ac:dyDescent="0.35">
      <c r="BK1268" t="str">
        <f>IFERROR(INDEX(added_new_stocks!$F$6:$H$1048576,MATCH($A1268,added_new_stocks!$F$6:$F$1048576,0),3),"")</f>
        <v/>
      </c>
    </row>
    <row r="1269" spans="63:63" x14ac:dyDescent="0.35">
      <c r="BK1269" t="str">
        <f>IFERROR(INDEX(added_new_stocks!$F$6:$H$1048576,MATCH($A1269,added_new_stocks!$F$6:$F$1048576,0),3),"")</f>
        <v/>
      </c>
    </row>
    <row r="1039564" ht="12.75" customHeight="1" x14ac:dyDescent="0.35"/>
    <row r="1039565" ht="12.75" customHeight="1" x14ac:dyDescent="0.35"/>
    <row r="1039566" ht="12.75" customHeight="1" x14ac:dyDescent="0.35"/>
    <row r="1039567" ht="12.75" customHeight="1" x14ac:dyDescent="0.35"/>
    <row r="1039568" ht="12.75" customHeight="1" x14ac:dyDescent="0.35"/>
    <row r="1039569" ht="12.75" customHeight="1" x14ac:dyDescent="0.35"/>
    <row r="1039570" ht="12.75" customHeight="1" x14ac:dyDescent="0.35"/>
    <row r="1039571" ht="12.75" customHeight="1" x14ac:dyDescent="0.35"/>
    <row r="1039572" ht="12.75" customHeight="1" x14ac:dyDescent="0.35"/>
    <row r="1039573" ht="12.75" customHeight="1" x14ac:dyDescent="0.35"/>
    <row r="1039574" ht="12.75" customHeight="1" x14ac:dyDescent="0.35"/>
    <row r="1039575" ht="12.75" customHeight="1" x14ac:dyDescent="0.35"/>
    <row r="1039576" ht="12.75" customHeight="1" x14ac:dyDescent="0.35"/>
    <row r="1039577" ht="12.75" customHeight="1" x14ac:dyDescent="0.35"/>
  </sheetData>
  <sheetProtection formatCells="0" formatColumns="0" formatRows="0" insertColumns="0" insertRows="0" insertHyperlinks="0" deleteColumns="0" deleteRows="0" sort="0" autoFilter="0" pivotTables="0"/>
  <autoFilter ref="A5:BK1269" xr:uid="{00000000-0001-0000-0000-000000000000}"/>
  <mergeCells count="10">
    <mergeCell ref="C2:AN2"/>
    <mergeCell ref="AO2:BJ2"/>
    <mergeCell ref="AO3:BJ3"/>
    <mergeCell ref="R4:AC4"/>
    <mergeCell ref="N4:Q4"/>
    <mergeCell ref="AD4:AN4"/>
    <mergeCell ref="C3:AN3"/>
    <mergeCell ref="D4:H4"/>
    <mergeCell ref="I4:J4"/>
    <mergeCell ref="K4:L4"/>
  </mergeCells>
  <hyperlinks>
    <hyperlink ref="BL122" r:id="rId1" display="https://www.marketsmojo.com/Stocks?StockId=1002987&amp;Exchange=0" xr:uid="{A945E9F7-EC39-48AD-B5F1-D0497E6FF573}"/>
    <hyperlink ref="BL115" r:id="rId2" display="https://www.marketsmojo.com/Stocks?StockId=659194&amp;Exchange=0" xr:uid="{166D9B8B-4F2F-4AF6-8EC9-B96F12AB1EEC}"/>
    <hyperlink ref="BL109" r:id="rId3" display="https://www.marketsmojo.com/Stocks?StockId=751972&amp;Exchange=0" xr:uid="{56DFEF34-25A0-407E-AEC7-8F786222E064}"/>
    <hyperlink ref="BL77" r:id="rId4" display="https://www.marketsmojo.com/Stocks?StockId=1003880&amp;Exchange=0" xr:uid="{9F00CDB9-B8A2-4C0D-A2BD-C92A271E2642}"/>
    <hyperlink ref="BL138" r:id="rId5" display="https://www.marketsmojo.com/Stocks?StockId=345424&amp;Exchange=0" xr:uid="{62E21526-991A-4FAF-8AA0-D491A02B68E9}"/>
  </hyperlinks>
  <pageMargins left="0.7" right="0.7" top="0.75" bottom="0.75" header="0.51180555555554996" footer="0.51180555555554996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D00B1-E092-4207-95CF-948C32A1DD17}">
  <sheetPr codeName="Sheet8"/>
  <dimension ref="A1:M16"/>
  <sheetViews>
    <sheetView showGridLines="0" workbookViewId="0">
      <selection activeCell="A5" sqref="A5"/>
    </sheetView>
  </sheetViews>
  <sheetFormatPr defaultRowHeight="14.5" x14ac:dyDescent="0.35"/>
  <cols>
    <col min="1" max="8" width="22.54296875" style="39" customWidth="1"/>
    <col min="9" max="10" width="8.7265625" style="39"/>
    <col min="11" max="11" width="22.54296875" style="39" customWidth="1"/>
    <col min="12" max="12" width="60.453125" style="39" customWidth="1"/>
    <col min="13" max="13" width="16.6328125" customWidth="1"/>
  </cols>
  <sheetData>
    <row r="1" spans="1:13" ht="48" customHeight="1" thickBot="1" x14ac:dyDescent="0.4">
      <c r="A1"/>
      <c r="B1"/>
      <c r="C1"/>
      <c r="D1"/>
      <c r="E1"/>
      <c r="F1"/>
      <c r="G1"/>
      <c r="H1"/>
      <c r="I1"/>
      <c r="J1"/>
      <c r="K1"/>
      <c r="L1"/>
    </row>
    <row r="2" spans="1:13" ht="15" thickBot="1" x14ac:dyDescent="0.4">
      <c r="A2" s="61" t="s">
        <v>4570</v>
      </c>
      <c r="B2" s="61" t="s">
        <v>4994</v>
      </c>
      <c r="C2" s="61" t="s">
        <v>4573</v>
      </c>
      <c r="D2" s="61" t="s">
        <v>4575</v>
      </c>
      <c r="E2" s="62" t="s">
        <v>4545</v>
      </c>
      <c r="F2" s="62" t="s">
        <v>4546</v>
      </c>
      <c r="G2" s="62" t="s">
        <v>4547</v>
      </c>
      <c r="H2" s="62" t="s">
        <v>5897</v>
      </c>
      <c r="I2" s="62" t="s">
        <v>5896</v>
      </c>
      <c r="J2" s="46" t="s">
        <v>4623</v>
      </c>
      <c r="K2" s="61" t="s">
        <v>4571</v>
      </c>
      <c r="L2"/>
    </row>
    <row r="3" spans="1:13" x14ac:dyDescent="0.35">
      <c r="A3" s="63" t="s">
        <v>4633</v>
      </c>
      <c r="B3" s="63" t="s">
        <v>4624</v>
      </c>
      <c r="C3" s="63" t="s">
        <v>133</v>
      </c>
      <c r="D3" s="63" t="s">
        <v>5047</v>
      </c>
      <c r="E3" s="63" t="s">
        <v>5891</v>
      </c>
      <c r="F3" s="63" t="s">
        <v>5892</v>
      </c>
      <c r="G3" s="63" t="s">
        <v>5891</v>
      </c>
      <c r="H3" s="63" t="s">
        <v>5060</v>
      </c>
      <c r="I3" s="63" t="s">
        <v>4633</v>
      </c>
      <c r="J3" s="63" t="s">
        <v>4361</v>
      </c>
      <c r="K3" s="63" t="str">
        <f>"NA"</f>
        <v>NA</v>
      </c>
      <c r="L3"/>
    </row>
    <row r="4" spans="1:13" x14ac:dyDescent="0.35">
      <c r="A4" s="4" t="s">
        <v>129</v>
      </c>
      <c r="B4" s="4" t="s">
        <v>4989</v>
      </c>
      <c r="C4" s="4" t="s">
        <v>4615</v>
      </c>
      <c r="D4" s="4" t="s">
        <v>4955</v>
      </c>
      <c r="E4" s="2"/>
      <c r="F4" s="2"/>
      <c r="G4" s="2"/>
      <c r="H4" s="4" t="s">
        <v>14</v>
      </c>
      <c r="I4" s="2" t="s">
        <v>129</v>
      </c>
      <c r="J4" s="2"/>
      <c r="K4" s="2"/>
      <c r="L4"/>
    </row>
    <row r="5" spans="1:13" x14ac:dyDescent="0.35">
      <c r="A5" s="4" t="s">
        <v>4562</v>
      </c>
      <c r="B5" s="2"/>
      <c r="C5" s="4" t="s">
        <v>4957</v>
      </c>
      <c r="D5" s="2"/>
      <c r="E5" s="2"/>
      <c r="F5" s="2"/>
      <c r="G5" s="2"/>
      <c r="H5" s="4" t="s">
        <v>5076</v>
      </c>
      <c r="I5" s="2"/>
      <c r="J5" s="2"/>
      <c r="K5" s="2"/>
      <c r="L5"/>
    </row>
    <row r="6" spans="1:13" x14ac:dyDescent="0.35">
      <c r="A6" s="21"/>
      <c r="B6"/>
      <c r="C6"/>
      <c r="D6"/>
      <c r="E6"/>
      <c r="F6"/>
      <c r="G6"/>
      <c r="H6"/>
      <c r="I6"/>
      <c r="J6"/>
      <c r="K6"/>
      <c r="L6"/>
    </row>
    <row r="7" spans="1:13" x14ac:dyDescent="0.35">
      <c r="A7" s="21"/>
      <c r="B7"/>
      <c r="C7"/>
      <c r="D7"/>
      <c r="E7"/>
      <c r="F7"/>
      <c r="G7"/>
      <c r="H7"/>
      <c r="I7"/>
      <c r="J7"/>
      <c r="K7"/>
      <c r="L7"/>
    </row>
    <row r="8" spans="1:13" x14ac:dyDescent="0.35">
      <c r="A8" s="21"/>
      <c r="B8"/>
      <c r="C8"/>
      <c r="D8"/>
      <c r="E8"/>
      <c r="F8"/>
      <c r="G8"/>
      <c r="H8"/>
      <c r="I8"/>
      <c r="J8"/>
      <c r="K8"/>
      <c r="L8"/>
    </row>
    <row r="9" spans="1:13" x14ac:dyDescent="0.35">
      <c r="A9" s="21"/>
      <c r="B9"/>
      <c r="C9"/>
      <c r="D9"/>
      <c r="E9"/>
      <c r="F9"/>
      <c r="G9"/>
      <c r="H9"/>
      <c r="I9"/>
      <c r="J9"/>
      <c r="K9"/>
      <c r="L9"/>
    </row>
    <row r="10" spans="1:13" x14ac:dyDescent="0.35">
      <c r="A10" s="21"/>
      <c r="B10"/>
      <c r="C10"/>
      <c r="D10"/>
      <c r="E10"/>
      <c r="F10"/>
      <c r="G10"/>
      <c r="H10"/>
      <c r="I10"/>
      <c r="J10"/>
      <c r="K10"/>
      <c r="L10"/>
    </row>
    <row r="11" spans="1:13" ht="15" thickBot="1" x14ac:dyDescent="0.4">
      <c r="A11"/>
      <c r="B11"/>
      <c r="C11"/>
      <c r="D11"/>
      <c r="E11"/>
      <c r="F11"/>
      <c r="G11"/>
      <c r="H11"/>
      <c r="I11"/>
      <c r="J11"/>
      <c r="K11"/>
      <c r="L11"/>
    </row>
    <row r="12" spans="1:13" ht="16" thickBot="1" x14ac:dyDescent="0.4">
      <c r="A12" s="51" t="s">
        <v>4359</v>
      </c>
      <c r="B12" s="51" t="s">
        <v>4570</v>
      </c>
      <c r="C12" s="51" t="s">
        <v>4994</v>
      </c>
      <c r="D12" s="51" t="s">
        <v>4573</v>
      </c>
      <c r="E12" s="51" t="s">
        <v>4575</v>
      </c>
      <c r="F12" s="51" t="s">
        <v>4545</v>
      </c>
      <c r="G12" s="51" t="s">
        <v>4546</v>
      </c>
      <c r="H12" s="51" t="s">
        <v>4547</v>
      </c>
      <c r="I12" s="51" t="s">
        <v>5897</v>
      </c>
      <c r="J12" s="51" t="s">
        <v>5896</v>
      </c>
      <c r="K12" s="51" t="s">
        <v>4623</v>
      </c>
      <c r="L12" s="51" t="s">
        <v>4571</v>
      </c>
      <c r="M12" s="51" t="s">
        <v>5899</v>
      </c>
    </row>
    <row r="13" spans="1:13" x14ac:dyDescent="0.35">
      <c r="A13" s="39" t="s">
        <v>209</v>
      </c>
      <c r="B13" s="39" t="s">
        <v>129</v>
      </c>
      <c r="C13" s="39" t="s">
        <v>4989</v>
      </c>
      <c r="D13" s="39" t="s">
        <v>133</v>
      </c>
      <c r="E13" s="39" t="s">
        <v>5047</v>
      </c>
      <c r="F13" s="39">
        <v>60</v>
      </c>
      <c r="G13" s="39">
        <v>41</v>
      </c>
      <c r="H13" s="39">
        <v>48</v>
      </c>
      <c r="I13" s="39" t="s">
        <v>14</v>
      </c>
      <c r="J13" s="39" t="s">
        <v>129</v>
      </c>
      <c r="K13" s="39" t="s">
        <v>4361</v>
      </c>
      <c r="L13" s="39" t="s">
        <v>5044</v>
      </c>
      <c r="M13" s="47"/>
    </row>
    <row r="14" spans="1:13" x14ac:dyDescent="0.35">
      <c r="A14" s="39" t="s">
        <v>464</v>
      </c>
      <c r="B14" s="39" t="s">
        <v>4633</v>
      </c>
      <c r="C14" s="39" t="s">
        <v>4989</v>
      </c>
      <c r="D14" s="39" t="s">
        <v>133</v>
      </c>
      <c r="E14" s="39" t="s">
        <v>4955</v>
      </c>
      <c r="F14" s="39">
        <v>45</v>
      </c>
      <c r="G14" s="39">
        <v>47</v>
      </c>
      <c r="H14" s="39">
        <v>49</v>
      </c>
      <c r="I14" s="39" t="s">
        <v>5060</v>
      </c>
      <c r="J14" s="39" t="s">
        <v>129</v>
      </c>
      <c r="K14" s="39" t="s">
        <v>4361</v>
      </c>
      <c r="L14" s="39" t="s">
        <v>5057</v>
      </c>
      <c r="M14" s="47"/>
    </row>
    <row r="15" spans="1:13" x14ac:dyDescent="0.35">
      <c r="A15" s="39" t="s">
        <v>290</v>
      </c>
      <c r="B15" s="39" t="s">
        <v>129</v>
      </c>
      <c r="C15" s="39" t="s">
        <v>4989</v>
      </c>
      <c r="D15" s="39" t="s">
        <v>133</v>
      </c>
      <c r="E15" s="39" t="s">
        <v>5047</v>
      </c>
      <c r="F15" s="39">
        <v>70</v>
      </c>
      <c r="G15" s="39">
        <v>87</v>
      </c>
      <c r="H15" s="39">
        <v>47</v>
      </c>
      <c r="I15" s="39" t="s">
        <v>5060</v>
      </c>
      <c r="J15" s="39" t="s">
        <v>129</v>
      </c>
      <c r="K15" s="39" t="s">
        <v>4361</v>
      </c>
      <c r="L15" s="39" t="s">
        <v>5111</v>
      </c>
      <c r="M15" s="65"/>
    </row>
    <row r="16" spans="1:13" x14ac:dyDescent="0.35">
      <c r="M16" s="6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0D8EE-299D-4F7C-8A54-A5956B4077D6}">
  <sheetPr codeName="Sheet9"/>
  <dimension ref="A1:M13"/>
  <sheetViews>
    <sheetView showGridLines="0" workbookViewId="0">
      <selection activeCell="C15" sqref="C15"/>
    </sheetView>
  </sheetViews>
  <sheetFormatPr defaultRowHeight="14.5" x14ac:dyDescent="0.35"/>
  <cols>
    <col min="1" max="8" width="22.54296875" style="39" customWidth="1"/>
    <col min="9" max="9" width="13" style="39" customWidth="1"/>
    <col min="10" max="10" width="8.7265625" style="39"/>
    <col min="11" max="11" width="22.54296875" style="39" customWidth="1"/>
    <col min="12" max="12" width="60.453125" style="39" customWidth="1"/>
    <col min="13" max="13" width="16.6328125" customWidth="1"/>
  </cols>
  <sheetData>
    <row r="1" spans="1:13" ht="48" customHeight="1" thickBot="1" x14ac:dyDescent="0.4">
      <c r="A1"/>
      <c r="B1"/>
      <c r="C1"/>
      <c r="D1"/>
      <c r="E1"/>
      <c r="F1"/>
      <c r="G1"/>
      <c r="H1"/>
      <c r="I1"/>
      <c r="J1"/>
      <c r="K1"/>
      <c r="L1"/>
    </row>
    <row r="2" spans="1:13" ht="15" thickBot="1" x14ac:dyDescent="0.4">
      <c r="A2" s="61" t="s">
        <v>4570</v>
      </c>
      <c r="B2" s="61" t="s">
        <v>4994</v>
      </c>
      <c r="C2" s="61" t="s">
        <v>4573</v>
      </c>
      <c r="D2" s="61" t="s">
        <v>4575</v>
      </c>
      <c r="E2" s="62" t="s">
        <v>4545</v>
      </c>
      <c r="F2" s="62" t="s">
        <v>4546</v>
      </c>
      <c r="G2" s="62" t="s">
        <v>4547</v>
      </c>
      <c r="H2" s="62" t="s">
        <v>5897</v>
      </c>
      <c r="I2" s="62" t="s">
        <v>5896</v>
      </c>
      <c r="J2" s="46" t="s">
        <v>4623</v>
      </c>
      <c r="K2" s="61" t="s">
        <v>4571</v>
      </c>
      <c r="L2"/>
    </row>
    <row r="3" spans="1:13" x14ac:dyDescent="0.35">
      <c r="A3" s="63" t="s">
        <v>4633</v>
      </c>
      <c r="B3" s="63" t="s">
        <v>4624</v>
      </c>
      <c r="C3" s="63" t="s">
        <v>133</v>
      </c>
      <c r="D3" s="63" t="s">
        <v>5047</v>
      </c>
      <c r="E3" s="63" t="s">
        <v>5893</v>
      </c>
      <c r="F3" s="63" t="s">
        <v>5894</v>
      </c>
      <c r="G3" s="63" t="s">
        <v>5895</v>
      </c>
      <c r="H3" s="63" t="s">
        <v>5060</v>
      </c>
      <c r="I3" s="63" t="s">
        <v>4633</v>
      </c>
      <c r="J3" s="63" t="s">
        <v>4362</v>
      </c>
      <c r="K3" s="63" t="str">
        <f>"NA"</f>
        <v>NA</v>
      </c>
      <c r="L3"/>
    </row>
    <row r="4" spans="1:13" x14ac:dyDescent="0.35">
      <c r="A4" s="4" t="s">
        <v>129</v>
      </c>
      <c r="B4" s="4"/>
      <c r="C4" s="4" t="s">
        <v>4957</v>
      </c>
      <c r="D4" s="4" t="s">
        <v>4955</v>
      </c>
      <c r="E4" s="2"/>
      <c r="F4" s="2"/>
      <c r="G4" s="2"/>
      <c r="H4" s="4" t="s">
        <v>14</v>
      </c>
      <c r="I4" s="2" t="s">
        <v>129</v>
      </c>
      <c r="J4" s="2"/>
      <c r="K4" s="2"/>
      <c r="L4"/>
    </row>
    <row r="5" spans="1:13" x14ac:dyDescent="0.35">
      <c r="A5" s="4"/>
      <c r="B5" s="2"/>
      <c r="D5" s="2"/>
      <c r="E5" s="2"/>
      <c r="F5" s="2"/>
      <c r="G5" s="2"/>
      <c r="H5" s="4" t="s">
        <v>5076</v>
      </c>
      <c r="I5" s="2"/>
      <c r="J5" s="2"/>
      <c r="K5" s="2"/>
      <c r="L5"/>
    </row>
    <row r="6" spans="1:13" x14ac:dyDescent="0.35">
      <c r="A6"/>
      <c r="B6"/>
      <c r="C6"/>
      <c r="D6"/>
      <c r="E6"/>
      <c r="F6"/>
      <c r="G6"/>
      <c r="H6"/>
      <c r="I6"/>
      <c r="J6"/>
      <c r="K6"/>
      <c r="L6"/>
    </row>
    <row r="7" spans="1:13" x14ac:dyDescent="0.35">
      <c r="A7"/>
      <c r="B7"/>
      <c r="C7"/>
      <c r="D7"/>
      <c r="E7"/>
      <c r="F7"/>
      <c r="G7"/>
      <c r="H7"/>
      <c r="I7"/>
      <c r="J7"/>
      <c r="K7"/>
      <c r="L7"/>
    </row>
    <row r="8" spans="1:13" x14ac:dyDescent="0.35">
      <c r="A8"/>
      <c r="B8"/>
      <c r="C8"/>
      <c r="D8"/>
      <c r="E8"/>
      <c r="F8"/>
      <c r="G8"/>
      <c r="H8"/>
      <c r="I8"/>
      <c r="J8"/>
      <c r="K8"/>
      <c r="L8"/>
    </row>
    <row r="9" spans="1:13" x14ac:dyDescent="0.35">
      <c r="A9"/>
      <c r="B9"/>
      <c r="C9"/>
      <c r="D9"/>
      <c r="E9"/>
      <c r="F9"/>
      <c r="G9"/>
      <c r="H9"/>
      <c r="I9"/>
      <c r="J9"/>
      <c r="K9"/>
      <c r="L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</row>
    <row r="11" spans="1:13" s="69" customFormat="1" ht="15" thickBot="1" x14ac:dyDescent="0.4"/>
    <row r="12" spans="1:13" ht="16" thickBot="1" x14ac:dyDescent="0.4">
      <c r="A12" s="68" t="s">
        <v>4359</v>
      </c>
      <c r="B12" s="68" t="s">
        <v>4570</v>
      </c>
      <c r="C12" s="68" t="s">
        <v>4994</v>
      </c>
      <c r="D12" s="68" t="s">
        <v>4573</v>
      </c>
      <c r="E12" s="68" t="s">
        <v>4575</v>
      </c>
      <c r="F12" s="68" t="s">
        <v>4545</v>
      </c>
      <c r="G12" s="68" t="s">
        <v>4546</v>
      </c>
      <c r="H12" s="68" t="s">
        <v>4547</v>
      </c>
      <c r="I12" s="68" t="s">
        <v>5897</v>
      </c>
      <c r="J12" s="68" t="s">
        <v>5896</v>
      </c>
      <c r="K12" s="68" t="s">
        <v>4623</v>
      </c>
      <c r="L12" s="68" t="s">
        <v>4571</v>
      </c>
      <c r="M12" s="72" t="s">
        <v>5899</v>
      </c>
    </row>
    <row r="13" spans="1:13" x14ac:dyDescent="0.35">
      <c r="M13" s="3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FCAA6-AFAB-4601-968D-E4E7DBD0D3EB}">
  <sheetPr codeName="Sheet10"/>
  <dimension ref="A1:M13"/>
  <sheetViews>
    <sheetView showGridLines="0" workbookViewId="0">
      <selection activeCell="B10" sqref="B10"/>
    </sheetView>
  </sheetViews>
  <sheetFormatPr defaultRowHeight="14.5" x14ac:dyDescent="0.35"/>
  <cols>
    <col min="1" max="8" width="22.54296875" style="39" customWidth="1"/>
    <col min="9" max="10" width="8.7265625" style="39"/>
    <col min="11" max="11" width="22.54296875" style="39" customWidth="1"/>
    <col min="12" max="12" width="60.453125" style="39" customWidth="1"/>
    <col min="13" max="13" width="16.6328125" customWidth="1"/>
  </cols>
  <sheetData>
    <row r="1" spans="1:13" ht="48" customHeight="1" thickBot="1" x14ac:dyDescent="0.4">
      <c r="A1"/>
      <c r="B1"/>
      <c r="C1"/>
      <c r="D1"/>
      <c r="E1"/>
      <c r="F1"/>
      <c r="G1"/>
      <c r="H1"/>
      <c r="I1"/>
      <c r="J1"/>
      <c r="K1"/>
      <c r="L1"/>
    </row>
    <row r="2" spans="1:13" ht="15" thickBot="1" x14ac:dyDescent="0.4">
      <c r="A2" s="61" t="s">
        <v>4570</v>
      </c>
      <c r="B2" s="61" t="s">
        <v>4994</v>
      </c>
      <c r="C2" s="61" t="s">
        <v>4573</v>
      </c>
      <c r="D2" s="61" t="s">
        <v>4575</v>
      </c>
      <c r="E2" s="62" t="s">
        <v>4545</v>
      </c>
      <c r="F2" s="62" t="s">
        <v>4546</v>
      </c>
      <c r="G2" s="62" t="s">
        <v>4547</v>
      </c>
      <c r="H2" s="62" t="s">
        <v>5897</v>
      </c>
      <c r="I2" s="62" t="s">
        <v>5896</v>
      </c>
      <c r="J2" s="46" t="s">
        <v>4623</v>
      </c>
      <c r="K2" s="61" t="s">
        <v>4571</v>
      </c>
      <c r="L2"/>
    </row>
    <row r="3" spans="1:13" x14ac:dyDescent="0.35">
      <c r="A3" s="63" t="s">
        <v>4633</v>
      </c>
      <c r="B3" s="63" t="s">
        <v>4624</v>
      </c>
      <c r="C3" s="4" t="s">
        <v>4957</v>
      </c>
      <c r="D3" s="4" t="s">
        <v>4955</v>
      </c>
      <c r="E3" s="63" t="s">
        <v>5893</v>
      </c>
      <c r="F3" s="63" t="s">
        <v>5894</v>
      </c>
      <c r="G3" s="63" t="s">
        <v>5895</v>
      </c>
      <c r="H3" s="63" t="s">
        <v>5060</v>
      </c>
      <c r="I3" s="63" t="s">
        <v>4633</v>
      </c>
      <c r="J3" s="63" t="s">
        <v>4363</v>
      </c>
      <c r="K3" s="63" t="str">
        <f>"NA"</f>
        <v>NA</v>
      </c>
      <c r="L3"/>
    </row>
    <row r="4" spans="1:13" x14ac:dyDescent="0.35">
      <c r="A4" s="4"/>
      <c r="B4" s="4"/>
      <c r="C4" s="4"/>
      <c r="E4" s="2"/>
      <c r="F4" s="2"/>
      <c r="G4" s="2"/>
      <c r="H4" s="4" t="s">
        <v>5076</v>
      </c>
      <c r="I4" s="2"/>
      <c r="J4" s="2"/>
      <c r="K4" s="2"/>
      <c r="L4"/>
    </row>
    <row r="5" spans="1:13" x14ac:dyDescent="0.35">
      <c r="A5" s="4"/>
      <c r="B5" s="2"/>
      <c r="D5" s="2"/>
      <c r="E5" s="2"/>
      <c r="F5" s="2"/>
      <c r="G5" s="2"/>
      <c r="H5" s="2"/>
      <c r="I5" s="2"/>
      <c r="J5" s="2"/>
      <c r="K5" s="2"/>
      <c r="L5"/>
    </row>
    <row r="6" spans="1:13" x14ac:dyDescent="0.35">
      <c r="A6"/>
      <c r="B6"/>
      <c r="C6"/>
      <c r="D6"/>
      <c r="E6"/>
      <c r="F6"/>
      <c r="G6"/>
      <c r="H6"/>
      <c r="I6"/>
      <c r="J6"/>
      <c r="K6"/>
      <c r="L6"/>
    </row>
    <row r="7" spans="1:13" x14ac:dyDescent="0.35">
      <c r="A7"/>
      <c r="B7"/>
      <c r="C7"/>
      <c r="D7"/>
      <c r="E7"/>
      <c r="F7"/>
      <c r="G7"/>
      <c r="H7"/>
      <c r="I7"/>
      <c r="J7"/>
      <c r="K7"/>
      <c r="L7"/>
    </row>
    <row r="8" spans="1:13" x14ac:dyDescent="0.35">
      <c r="A8"/>
      <c r="B8"/>
      <c r="C8"/>
      <c r="D8"/>
      <c r="E8"/>
      <c r="F8"/>
      <c r="G8"/>
      <c r="H8"/>
      <c r="I8"/>
      <c r="J8"/>
      <c r="K8"/>
      <c r="L8"/>
    </row>
    <row r="9" spans="1:13" x14ac:dyDescent="0.35">
      <c r="A9"/>
      <c r="B9"/>
      <c r="C9"/>
      <c r="D9"/>
      <c r="E9"/>
      <c r="F9"/>
      <c r="G9"/>
      <c r="H9"/>
      <c r="I9"/>
      <c r="J9"/>
      <c r="K9"/>
      <c r="L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</row>
    <row r="11" spans="1:13" s="69" customFormat="1" ht="15" thickBot="1" x14ac:dyDescent="0.4"/>
    <row r="12" spans="1:13" ht="16" thickBot="1" x14ac:dyDescent="0.4">
      <c r="A12" s="68" t="s">
        <v>4359</v>
      </c>
      <c r="B12" s="68" t="s">
        <v>4570</v>
      </c>
      <c r="C12" s="68" t="s">
        <v>4994</v>
      </c>
      <c r="D12" s="68" t="s">
        <v>4573</v>
      </c>
      <c r="E12" s="68" t="s">
        <v>4575</v>
      </c>
      <c r="F12" s="68" t="s">
        <v>4545</v>
      </c>
      <c r="G12" s="68" t="s">
        <v>4546</v>
      </c>
      <c r="H12" s="68" t="s">
        <v>4547</v>
      </c>
      <c r="I12" s="68" t="s">
        <v>5897</v>
      </c>
      <c r="J12" s="68" t="s">
        <v>5896</v>
      </c>
      <c r="K12" s="68" t="s">
        <v>4623</v>
      </c>
      <c r="L12" s="68" t="s">
        <v>4571</v>
      </c>
      <c r="M12" s="72" t="s">
        <v>5899</v>
      </c>
    </row>
    <row r="13" spans="1:13" x14ac:dyDescent="0.35">
      <c r="M13" s="3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B6E9F-14B8-4E9D-9775-E1C60D1E002B}">
  <sheetPr codeName="Sheet14"/>
  <dimension ref="A1:I15"/>
  <sheetViews>
    <sheetView workbookViewId="0">
      <selection activeCell="D16" sqref="D16"/>
    </sheetView>
  </sheetViews>
  <sheetFormatPr defaultRowHeight="14.5" x14ac:dyDescent="0.35"/>
  <cols>
    <col min="1" max="1" width="17.54296875" customWidth="1"/>
    <col min="2" max="2" width="13.54296875" customWidth="1"/>
    <col min="3" max="3" width="22.81640625" customWidth="1"/>
    <col min="4" max="4" width="13.6328125" customWidth="1"/>
    <col min="6" max="6" width="21.81640625" customWidth="1"/>
    <col min="8" max="8" width="16.90625" customWidth="1"/>
    <col min="9" max="9" width="14.36328125" customWidth="1"/>
  </cols>
  <sheetData>
    <row r="1" spans="1:9" x14ac:dyDescent="0.35">
      <c r="F1" s="21" t="s">
        <v>6170</v>
      </c>
      <c r="G1" s="21" t="s">
        <v>6171</v>
      </c>
      <c r="H1" s="21" t="s">
        <v>6172</v>
      </c>
      <c r="I1" s="21" t="s">
        <v>6173</v>
      </c>
    </row>
    <row r="2" spans="1:9" x14ac:dyDescent="0.35">
      <c r="F2">
        <v>100000</v>
      </c>
      <c r="G2">
        <v>50000</v>
      </c>
      <c r="H2">
        <v>30000</v>
      </c>
      <c r="I2">
        <v>20000</v>
      </c>
    </row>
    <row r="3" spans="1:9" x14ac:dyDescent="0.35">
      <c r="G3" s="21"/>
    </row>
    <row r="4" spans="1:9" x14ac:dyDescent="0.35">
      <c r="A4" s="73" t="s">
        <v>4359</v>
      </c>
      <c r="B4" s="73" t="s">
        <v>4623</v>
      </c>
      <c r="C4" s="73" t="s">
        <v>6169</v>
      </c>
      <c r="D4" s="73" t="s">
        <v>6174</v>
      </c>
    </row>
    <row r="5" spans="1:9" x14ac:dyDescent="0.35">
      <c r="A5" s="21" t="s">
        <v>209</v>
      </c>
      <c r="B5" s="21" t="s">
        <v>4361</v>
      </c>
      <c r="C5" s="21" t="s">
        <v>6467</v>
      </c>
    </row>
    <row r="6" spans="1:9" x14ac:dyDescent="0.35">
      <c r="A6" s="21" t="s">
        <v>464</v>
      </c>
      <c r="B6" t="s">
        <v>4361</v>
      </c>
      <c r="C6" s="21" t="s">
        <v>209</v>
      </c>
    </row>
    <row r="7" spans="1:9" x14ac:dyDescent="0.35">
      <c r="A7" s="21" t="s">
        <v>1499</v>
      </c>
      <c r="B7" s="21" t="s">
        <v>4363</v>
      </c>
      <c r="C7" s="21"/>
    </row>
    <row r="8" spans="1:9" x14ac:dyDescent="0.35">
      <c r="A8" t="s">
        <v>283</v>
      </c>
      <c r="B8" t="s">
        <v>4361</v>
      </c>
    </row>
    <row r="9" spans="1:9" x14ac:dyDescent="0.35">
      <c r="A9" t="s">
        <v>2295</v>
      </c>
      <c r="B9" t="s">
        <v>4363</v>
      </c>
    </row>
    <row r="15" spans="1:9" x14ac:dyDescent="0.35">
      <c r="I15" s="21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CF665-1CD7-412E-9F2F-39A4D5624879}">
  <sheetPr codeName="Sheet4"/>
  <dimension ref="A1:J975"/>
  <sheetViews>
    <sheetView showGridLines="0" workbookViewId="0">
      <selection activeCell="J9" sqref="J9"/>
    </sheetView>
  </sheetViews>
  <sheetFormatPr defaultRowHeight="14.5" x14ac:dyDescent="0.35"/>
  <cols>
    <col min="1" max="1" width="39.08984375" bestFit="1" customWidth="1"/>
    <col min="2" max="2" width="9.26953125" bestFit="1" customWidth="1"/>
    <col min="3" max="3" width="4.90625" bestFit="1" customWidth="1"/>
    <col min="4" max="4" width="10.54296875" bestFit="1" customWidth="1"/>
    <col min="5" max="5" width="11.26953125" bestFit="1" customWidth="1"/>
    <col min="6" max="6" width="9.36328125" bestFit="1" customWidth="1"/>
    <col min="7" max="8" width="13.26953125" bestFit="1" customWidth="1"/>
    <col min="9" max="9" width="38.26953125" bestFit="1" customWidth="1"/>
    <col min="10" max="10" width="11.6328125" bestFit="1" customWidth="1"/>
    <col min="11" max="11" width="31.453125" bestFit="1" customWidth="1"/>
    <col min="12" max="12" width="24.08984375" bestFit="1" customWidth="1"/>
    <col min="13" max="13" width="23.36328125" bestFit="1" customWidth="1"/>
    <col min="14" max="14" width="23.453125" bestFit="1" customWidth="1"/>
    <col min="15" max="15" width="20.36328125" bestFit="1" customWidth="1"/>
    <col min="16" max="16" width="11.7265625" bestFit="1" customWidth="1"/>
    <col min="17" max="18" width="12.26953125" bestFit="1" customWidth="1"/>
    <col min="19" max="19" width="14.7265625" bestFit="1" customWidth="1"/>
    <col min="20" max="20" width="15.26953125" bestFit="1" customWidth="1"/>
    <col min="21" max="21" width="22" bestFit="1" customWidth="1"/>
    <col min="22" max="22" width="16.453125" bestFit="1" customWidth="1"/>
    <col min="23" max="23" width="13.6328125" bestFit="1" customWidth="1"/>
    <col min="24" max="24" width="12.7265625" bestFit="1" customWidth="1"/>
    <col min="25" max="25" width="18.90625" bestFit="1" customWidth="1"/>
    <col min="26" max="26" width="19.453125" bestFit="1" customWidth="1"/>
    <col min="27" max="27" width="23.81640625" bestFit="1" customWidth="1"/>
    <col min="28" max="29" width="17.453125" bestFit="1" customWidth="1"/>
    <col min="30" max="30" width="13.81640625" bestFit="1" customWidth="1"/>
    <col min="31" max="31" width="28.81640625" bestFit="1" customWidth="1"/>
    <col min="32" max="32" width="11.7265625" bestFit="1" customWidth="1"/>
    <col min="33" max="33" width="12.26953125" bestFit="1" customWidth="1"/>
    <col min="34" max="34" width="20.81640625" bestFit="1" customWidth="1"/>
    <col min="35" max="35" width="11.26953125" bestFit="1" customWidth="1"/>
    <col min="36" max="36" width="24" bestFit="1" customWidth="1"/>
    <col min="37" max="37" width="29.7265625" bestFit="1" customWidth="1"/>
    <col min="38" max="38" width="18.54296875" bestFit="1" customWidth="1"/>
    <col min="39" max="39" width="45.6328125" bestFit="1" customWidth="1"/>
    <col min="40" max="40" width="41" bestFit="1" customWidth="1"/>
    <col min="41" max="41" width="29.54296875" bestFit="1" customWidth="1"/>
    <col min="42" max="42" width="12.08984375" bestFit="1" customWidth="1"/>
    <col min="43" max="43" width="10.90625" bestFit="1" customWidth="1"/>
    <col min="44" max="44" width="30.6328125" bestFit="1" customWidth="1"/>
    <col min="45" max="45" width="26.26953125" bestFit="1" customWidth="1"/>
    <col min="46" max="46" width="23.08984375" bestFit="1" customWidth="1"/>
    <col min="47" max="47" width="12.36328125" bestFit="1" customWidth="1"/>
    <col min="48" max="48" width="9.36328125" bestFit="1" customWidth="1"/>
    <col min="49" max="49" width="32.81640625" bestFit="1" customWidth="1"/>
    <col min="50" max="50" width="17" bestFit="1" customWidth="1"/>
    <col min="51" max="51" width="19.36328125" bestFit="1" customWidth="1"/>
    <col min="52" max="52" width="12.6328125" bestFit="1" customWidth="1"/>
    <col min="53" max="53" width="22.54296875" bestFit="1" customWidth="1"/>
    <col min="54" max="54" width="19.81640625" bestFit="1" customWidth="1"/>
    <col min="55" max="55" width="26.7265625" bestFit="1" customWidth="1"/>
    <col min="56" max="56" width="10.36328125" bestFit="1" customWidth="1"/>
    <col min="57" max="57" width="18.1796875" bestFit="1" customWidth="1"/>
    <col min="58" max="58" width="28.08984375" bestFit="1" customWidth="1"/>
    <col min="59" max="59" width="24.453125" bestFit="1" customWidth="1"/>
    <col min="60" max="60" width="25" bestFit="1" customWidth="1"/>
    <col min="61" max="61" width="22.7265625" bestFit="1" customWidth="1"/>
    <col min="62" max="62" width="17" bestFit="1" customWidth="1"/>
    <col min="63" max="63" width="24.90625" bestFit="1" customWidth="1"/>
    <col min="64" max="64" width="23.453125" bestFit="1" customWidth="1"/>
    <col min="65" max="65" width="27.1796875" bestFit="1" customWidth="1"/>
    <col min="66" max="66" width="15.08984375" bestFit="1" customWidth="1"/>
    <col min="67" max="67" width="29.81640625" bestFit="1" customWidth="1"/>
    <col min="68" max="68" width="27.6328125" bestFit="1" customWidth="1"/>
    <col min="69" max="69" width="21.54296875" bestFit="1" customWidth="1"/>
    <col min="70" max="70" width="34.81640625" bestFit="1" customWidth="1"/>
    <col min="71" max="71" width="27.36328125" bestFit="1" customWidth="1"/>
    <col min="72" max="72" width="21.36328125" bestFit="1" customWidth="1"/>
    <col min="73" max="73" width="16.453125" bestFit="1" customWidth="1"/>
    <col min="74" max="74" width="37.81640625" bestFit="1" customWidth="1"/>
    <col min="75" max="75" width="20.1796875" bestFit="1" customWidth="1"/>
    <col min="76" max="76" width="26.6328125" bestFit="1" customWidth="1"/>
    <col min="77" max="77" width="23.6328125" bestFit="1" customWidth="1"/>
    <col min="78" max="78" width="22.453125" bestFit="1" customWidth="1"/>
    <col min="79" max="79" width="32.54296875" bestFit="1" customWidth="1"/>
    <col min="80" max="80" width="23.6328125" bestFit="1" customWidth="1"/>
    <col min="81" max="81" width="36.54296875" bestFit="1" customWidth="1"/>
    <col min="82" max="82" width="22.81640625" bestFit="1" customWidth="1"/>
    <col min="83" max="83" width="26.90625" bestFit="1" customWidth="1"/>
    <col min="84" max="84" width="21.453125" bestFit="1" customWidth="1"/>
    <col min="85" max="85" width="21.90625" bestFit="1" customWidth="1"/>
    <col min="86" max="86" width="13.453125" bestFit="1" customWidth="1"/>
    <col min="87" max="87" width="17.26953125" bestFit="1" customWidth="1"/>
    <col min="88" max="88" width="28.7265625" bestFit="1" customWidth="1"/>
    <col min="89" max="89" width="24.90625" bestFit="1" customWidth="1"/>
    <col min="90" max="90" width="15.81640625" bestFit="1" customWidth="1"/>
    <col min="91" max="91" width="26.08984375" bestFit="1" customWidth="1"/>
    <col min="92" max="92" width="28.54296875" bestFit="1" customWidth="1"/>
    <col min="93" max="93" width="29.81640625" bestFit="1" customWidth="1"/>
    <col min="94" max="94" width="33.453125" bestFit="1" customWidth="1"/>
    <col min="95" max="95" width="21.6328125" bestFit="1" customWidth="1"/>
    <col min="96" max="96" width="15.36328125" bestFit="1" customWidth="1"/>
    <col min="97" max="97" width="27.6328125" bestFit="1" customWidth="1"/>
    <col min="98" max="98" width="30.90625" bestFit="1" customWidth="1"/>
    <col min="99" max="99" width="29.7265625" bestFit="1" customWidth="1"/>
    <col min="100" max="100" width="35.7265625" bestFit="1" customWidth="1"/>
    <col min="101" max="101" width="21.26953125" bestFit="1" customWidth="1"/>
    <col min="102" max="102" width="24.81640625" bestFit="1" customWidth="1"/>
    <col min="103" max="103" width="20.26953125" bestFit="1" customWidth="1"/>
    <col min="104" max="104" width="22.36328125" bestFit="1" customWidth="1"/>
    <col min="105" max="105" width="20.7265625" bestFit="1" customWidth="1"/>
    <col min="106" max="106" width="19.6328125" bestFit="1" customWidth="1"/>
    <col min="107" max="107" width="26.81640625" bestFit="1" customWidth="1"/>
    <col min="108" max="108" width="26.1796875" bestFit="1" customWidth="1"/>
    <col min="109" max="109" width="22.1796875" bestFit="1" customWidth="1"/>
    <col min="110" max="110" width="26.1796875" bestFit="1" customWidth="1"/>
    <col min="111" max="111" width="23.453125" bestFit="1" customWidth="1"/>
    <col min="112" max="112" width="37.81640625" bestFit="1" customWidth="1"/>
    <col min="113" max="113" width="24" bestFit="1" customWidth="1"/>
    <col min="114" max="114" width="20.81640625" bestFit="1" customWidth="1"/>
    <col min="115" max="115" width="21.90625" bestFit="1" customWidth="1"/>
    <col min="116" max="116" width="30.81640625" bestFit="1" customWidth="1"/>
    <col min="117" max="117" width="31.08984375" bestFit="1" customWidth="1"/>
    <col min="118" max="118" width="31" bestFit="1" customWidth="1"/>
    <col min="119" max="119" width="23.1796875" bestFit="1" customWidth="1"/>
    <col min="120" max="120" width="34" bestFit="1" customWidth="1"/>
    <col min="121" max="121" width="17.6328125" bestFit="1" customWidth="1"/>
    <col min="122" max="122" width="15.90625" bestFit="1" customWidth="1"/>
    <col min="123" max="123" width="19.81640625" bestFit="1" customWidth="1"/>
    <col min="124" max="124" width="16.7265625" bestFit="1" customWidth="1"/>
    <col min="125" max="125" width="19.1796875" bestFit="1" customWidth="1"/>
    <col min="126" max="126" width="18.08984375" bestFit="1" customWidth="1"/>
    <col min="127" max="127" width="15.7265625" bestFit="1" customWidth="1"/>
    <col min="128" max="128" width="16.26953125" bestFit="1" customWidth="1"/>
    <col min="129" max="129" width="15.7265625" bestFit="1" customWidth="1"/>
    <col min="130" max="130" width="18.36328125" bestFit="1" customWidth="1"/>
    <col min="131" max="131" width="19.453125" bestFit="1" customWidth="1"/>
    <col min="132" max="132" width="19.1796875" bestFit="1" customWidth="1"/>
    <col min="133" max="133" width="18.90625" bestFit="1" customWidth="1"/>
    <col min="134" max="134" width="13.6328125" bestFit="1" customWidth="1"/>
    <col min="135" max="135" width="14.1796875" bestFit="1" customWidth="1"/>
    <col min="136" max="136" width="18.453125" bestFit="1" customWidth="1"/>
    <col min="137" max="137" width="34.26953125" bestFit="1" customWidth="1"/>
    <col min="138" max="138" width="16.54296875" bestFit="1" customWidth="1"/>
    <col min="139" max="139" width="13" bestFit="1" customWidth="1"/>
    <col min="140" max="140" width="13.54296875" bestFit="1" customWidth="1"/>
    <col min="141" max="141" width="11.453125" bestFit="1" customWidth="1"/>
    <col min="142" max="142" width="23.6328125" bestFit="1" customWidth="1"/>
    <col min="143" max="143" width="20" bestFit="1" customWidth="1"/>
    <col min="144" max="144" width="20.54296875" bestFit="1" customWidth="1"/>
    <col min="145" max="145" width="22.7265625" bestFit="1" customWidth="1"/>
    <col min="146" max="146" width="32.453125" bestFit="1" customWidth="1"/>
    <col min="147" max="147" width="19.90625" bestFit="1" customWidth="1"/>
    <col min="148" max="148" width="20.453125" bestFit="1" customWidth="1"/>
    <col min="149" max="149" width="31.453125" bestFit="1" customWidth="1"/>
    <col min="150" max="150" width="40.1796875" bestFit="1" customWidth="1"/>
    <col min="151" max="151" width="40.7265625" bestFit="1" customWidth="1"/>
    <col min="152" max="152" width="12.1796875" bestFit="1" customWidth="1"/>
    <col min="153" max="153" width="12.7265625" bestFit="1" customWidth="1"/>
    <col min="154" max="154" width="35.453125" bestFit="1" customWidth="1"/>
    <col min="155" max="155" width="20.26953125" bestFit="1" customWidth="1"/>
    <col min="156" max="156" width="14.90625" bestFit="1" customWidth="1"/>
    <col min="157" max="157" width="20.26953125" bestFit="1" customWidth="1"/>
    <col min="158" max="158" width="24.26953125" bestFit="1" customWidth="1"/>
    <col min="159" max="159" width="17.6328125" bestFit="1" customWidth="1"/>
    <col min="160" max="160" width="18.90625" bestFit="1" customWidth="1"/>
    <col min="161" max="161" width="15.81640625" bestFit="1" customWidth="1"/>
    <col min="162" max="162" width="13.36328125" bestFit="1" customWidth="1"/>
    <col min="163" max="163" width="9.7265625" bestFit="1" customWidth="1"/>
    <col min="164" max="164" width="10.26953125" bestFit="1" customWidth="1"/>
    <col min="165" max="165" width="19.81640625" bestFit="1" customWidth="1"/>
    <col min="166" max="166" width="18.7265625" bestFit="1" customWidth="1"/>
    <col min="167" max="167" width="32.36328125" bestFit="1" customWidth="1"/>
    <col min="168" max="168" width="10" bestFit="1" customWidth="1"/>
    <col min="169" max="169" width="6.453125" bestFit="1" customWidth="1"/>
    <col min="170" max="170" width="20.7265625" bestFit="1" customWidth="1"/>
    <col min="171" max="171" width="24.6328125" bestFit="1" customWidth="1"/>
    <col min="172" max="172" width="21.08984375" bestFit="1" customWidth="1"/>
    <col min="173" max="173" width="23.08984375" bestFit="1" customWidth="1"/>
    <col min="174" max="174" width="13" bestFit="1" customWidth="1"/>
    <col min="175" max="175" width="20.6328125" bestFit="1" customWidth="1"/>
    <col min="176" max="176" width="18.1796875" bestFit="1" customWidth="1"/>
    <col min="177" max="177" width="18.90625" bestFit="1" customWidth="1"/>
    <col min="178" max="178" width="23.7265625" bestFit="1" customWidth="1"/>
    <col min="179" max="179" width="21.90625" bestFit="1" customWidth="1"/>
    <col min="180" max="180" width="22.453125" bestFit="1" customWidth="1"/>
    <col min="181" max="181" width="24.81640625" bestFit="1" customWidth="1"/>
    <col min="182" max="182" width="21.453125" bestFit="1" customWidth="1"/>
    <col min="183" max="183" width="17.81640625" bestFit="1" customWidth="1"/>
    <col min="184" max="184" width="14.1796875" bestFit="1" customWidth="1"/>
    <col min="185" max="185" width="13.54296875" bestFit="1" customWidth="1"/>
    <col min="186" max="186" width="17.6328125" bestFit="1" customWidth="1"/>
    <col min="187" max="187" width="15.26953125" bestFit="1" customWidth="1"/>
    <col min="188" max="188" width="26.453125" bestFit="1" customWidth="1"/>
    <col min="189" max="189" width="37.90625" bestFit="1" customWidth="1"/>
    <col min="190" max="190" width="22.7265625" bestFit="1" customWidth="1"/>
    <col min="191" max="191" width="23.26953125" bestFit="1" customWidth="1"/>
    <col min="192" max="192" width="29.26953125" bestFit="1" customWidth="1"/>
    <col min="193" max="193" width="41.7265625" bestFit="1" customWidth="1"/>
    <col min="194" max="194" width="20" bestFit="1" customWidth="1"/>
    <col min="195" max="195" width="20.54296875" bestFit="1" customWidth="1"/>
    <col min="196" max="196" width="23.26953125" bestFit="1" customWidth="1"/>
    <col min="197" max="197" width="23.08984375" bestFit="1" customWidth="1"/>
    <col min="198" max="198" width="24.54296875" bestFit="1" customWidth="1"/>
    <col min="199" max="199" width="25.1796875" bestFit="1" customWidth="1"/>
    <col min="200" max="200" width="15.90625" bestFit="1" customWidth="1"/>
    <col min="201" max="201" width="29.08984375" bestFit="1" customWidth="1"/>
    <col min="202" max="202" width="11.36328125" bestFit="1" customWidth="1"/>
    <col min="203" max="203" width="18.7265625" bestFit="1" customWidth="1"/>
    <col min="204" max="204" width="28" bestFit="1" customWidth="1"/>
    <col min="205" max="205" width="17.36328125" bestFit="1" customWidth="1"/>
    <col min="206" max="206" width="35.1796875" bestFit="1" customWidth="1"/>
    <col min="207" max="207" width="19.08984375" bestFit="1" customWidth="1"/>
    <col min="208" max="208" width="11.7265625" bestFit="1" customWidth="1"/>
    <col min="209" max="209" width="8.1796875" bestFit="1" customWidth="1"/>
    <col min="210" max="210" width="8.7265625" bestFit="1" customWidth="1"/>
    <col min="211" max="211" width="15.7265625" bestFit="1" customWidth="1"/>
    <col min="212" max="212" width="20" bestFit="1" customWidth="1"/>
    <col min="213" max="213" width="20.6328125" bestFit="1" customWidth="1"/>
    <col min="214" max="214" width="16.54296875" bestFit="1" customWidth="1"/>
    <col min="215" max="215" width="19.90625" bestFit="1" customWidth="1"/>
    <col min="216" max="216" width="14.1796875" bestFit="1" customWidth="1"/>
    <col min="217" max="217" width="23.7265625" bestFit="1" customWidth="1"/>
    <col min="218" max="218" width="20.7265625" bestFit="1" customWidth="1"/>
    <col min="219" max="219" width="20.81640625" bestFit="1" customWidth="1"/>
    <col min="220" max="220" width="27.36328125" bestFit="1" customWidth="1"/>
    <col min="221" max="221" width="34.54296875" bestFit="1" customWidth="1"/>
    <col min="222" max="222" width="24.54296875" bestFit="1" customWidth="1"/>
    <col min="223" max="223" width="18.7265625" bestFit="1" customWidth="1"/>
    <col min="224" max="224" width="16.7265625" bestFit="1" customWidth="1"/>
    <col min="225" max="225" width="15" bestFit="1" customWidth="1"/>
    <col min="226" max="226" width="23.26953125" bestFit="1" customWidth="1"/>
    <col min="227" max="227" width="19.6328125" bestFit="1" customWidth="1"/>
    <col min="228" max="228" width="20.1796875" bestFit="1" customWidth="1"/>
    <col min="229" max="229" width="17.90625" bestFit="1" customWidth="1"/>
    <col min="230" max="230" width="30.90625" bestFit="1" customWidth="1"/>
    <col min="231" max="231" width="24.81640625" bestFit="1" customWidth="1"/>
    <col min="232" max="232" width="29.08984375" bestFit="1" customWidth="1"/>
    <col min="233" max="233" width="21.26953125" bestFit="1" customWidth="1"/>
    <col min="234" max="234" width="17.453125" bestFit="1" customWidth="1"/>
    <col min="235" max="235" width="16.36328125" bestFit="1" customWidth="1"/>
    <col min="236" max="236" width="10.7265625" bestFit="1" customWidth="1"/>
    <col min="237" max="237" width="11.26953125" bestFit="1" customWidth="1"/>
    <col min="238" max="238" width="18.54296875" bestFit="1" customWidth="1"/>
    <col min="239" max="239" width="11.81640625" bestFit="1" customWidth="1"/>
    <col min="240" max="240" width="22.1796875" bestFit="1" customWidth="1"/>
    <col min="241" max="241" width="27" bestFit="1" customWidth="1"/>
    <col min="242" max="242" width="28.26953125" bestFit="1" customWidth="1"/>
    <col min="243" max="243" width="7.26953125" bestFit="1" customWidth="1"/>
    <col min="244" max="244" width="32.1796875" bestFit="1" customWidth="1"/>
    <col min="245" max="245" width="16.453125" bestFit="1" customWidth="1"/>
    <col min="246" max="246" width="23.1796875" bestFit="1" customWidth="1"/>
    <col min="247" max="247" width="21.90625" bestFit="1" customWidth="1"/>
    <col min="248" max="248" width="19.6328125" bestFit="1" customWidth="1"/>
    <col min="249" max="249" width="25.90625" bestFit="1" customWidth="1"/>
    <col min="250" max="250" width="32.81640625" bestFit="1" customWidth="1"/>
    <col min="251" max="251" width="29.26953125" bestFit="1" customWidth="1"/>
    <col min="252" max="252" width="21.1796875" bestFit="1" customWidth="1"/>
    <col min="253" max="253" width="19.36328125" bestFit="1" customWidth="1"/>
    <col min="254" max="254" width="20" bestFit="1" customWidth="1"/>
    <col min="255" max="255" width="20.7265625" bestFit="1" customWidth="1"/>
    <col min="256" max="256" width="22.81640625" bestFit="1" customWidth="1"/>
    <col min="257" max="257" width="17" bestFit="1" customWidth="1"/>
    <col min="258" max="258" width="14" bestFit="1" customWidth="1"/>
    <col min="259" max="259" width="25.81640625" bestFit="1" customWidth="1"/>
    <col min="260" max="260" width="25.453125" bestFit="1" customWidth="1"/>
    <col min="261" max="261" width="24.453125" bestFit="1" customWidth="1"/>
    <col min="262" max="262" width="14.08984375" bestFit="1" customWidth="1"/>
    <col min="263" max="263" width="11.90625" bestFit="1" customWidth="1"/>
    <col min="264" max="264" width="19.1796875" bestFit="1" customWidth="1"/>
    <col min="265" max="265" width="18.81640625" bestFit="1" customWidth="1"/>
    <col min="266" max="266" width="27.6328125" bestFit="1" customWidth="1"/>
    <col min="267" max="267" width="19.08984375" bestFit="1" customWidth="1"/>
    <col min="268" max="268" width="15.1796875" bestFit="1" customWidth="1"/>
    <col min="269" max="269" width="10.6328125" bestFit="1" customWidth="1"/>
    <col min="270" max="270" width="24.90625" bestFit="1" customWidth="1"/>
    <col min="271" max="271" width="19.54296875" bestFit="1" customWidth="1"/>
    <col min="272" max="272" width="26.6328125" bestFit="1" customWidth="1"/>
    <col min="273" max="273" width="16.7265625" bestFit="1" customWidth="1"/>
    <col min="274" max="274" width="21.7265625" bestFit="1" customWidth="1"/>
    <col min="275" max="275" width="22.54296875" bestFit="1" customWidth="1"/>
    <col min="276" max="276" width="18.54296875" bestFit="1" customWidth="1"/>
    <col min="277" max="277" width="17.36328125" bestFit="1" customWidth="1"/>
    <col min="278" max="278" width="15" bestFit="1" customWidth="1"/>
    <col min="279" max="279" width="15.54296875" bestFit="1" customWidth="1"/>
    <col min="280" max="280" width="14.1796875" bestFit="1" customWidth="1"/>
    <col min="281" max="281" width="10.453125" bestFit="1" customWidth="1"/>
    <col min="282" max="282" width="24.453125" bestFit="1" customWidth="1"/>
    <col min="283" max="283" width="18.1796875" bestFit="1" customWidth="1"/>
    <col min="284" max="284" width="16.81640625" bestFit="1" customWidth="1"/>
    <col min="285" max="285" width="12.453125" bestFit="1" customWidth="1"/>
    <col min="286" max="286" width="9.453125" bestFit="1" customWidth="1"/>
    <col min="287" max="287" width="9" bestFit="1" customWidth="1"/>
    <col min="288" max="288" width="22.6328125" bestFit="1" customWidth="1"/>
    <col min="289" max="289" width="33" bestFit="1" customWidth="1"/>
    <col min="290" max="290" width="6.6328125" bestFit="1" customWidth="1"/>
    <col min="291" max="291" width="10.6328125" bestFit="1" customWidth="1"/>
    <col min="292" max="292" width="24.6328125" bestFit="1" customWidth="1"/>
    <col min="293" max="293" width="21.453125" bestFit="1" customWidth="1"/>
    <col min="294" max="294" width="13.54296875" bestFit="1" customWidth="1"/>
    <col min="295" max="295" width="17.6328125" bestFit="1" customWidth="1"/>
    <col min="296" max="296" width="26.453125" bestFit="1" customWidth="1"/>
    <col min="297" max="297" width="23.7265625" bestFit="1" customWidth="1"/>
    <col min="298" max="298" width="20.7265625" bestFit="1" customWidth="1"/>
    <col min="299" max="299" width="27.36328125" bestFit="1" customWidth="1"/>
    <col min="300" max="300" width="18.7265625" bestFit="1" customWidth="1"/>
    <col min="301" max="301" width="23.26953125" bestFit="1" customWidth="1"/>
    <col min="302" max="302" width="30.90625" bestFit="1" customWidth="1"/>
    <col min="303" max="303" width="21.1796875" bestFit="1" customWidth="1"/>
    <col min="304" max="304" width="19.36328125" bestFit="1" customWidth="1"/>
    <col min="305" max="305" width="20" bestFit="1" customWidth="1"/>
    <col min="306" max="306" width="25.81640625" bestFit="1" customWidth="1"/>
    <col min="307" max="307" width="19.54296875" bestFit="1" customWidth="1"/>
    <col min="308" max="308" width="17.36328125" bestFit="1" customWidth="1"/>
    <col min="309" max="309" width="12.453125" bestFit="1" customWidth="1"/>
    <col min="310" max="310" width="22.6328125" bestFit="1" customWidth="1"/>
    <col min="311" max="311" width="27.1796875" bestFit="1" customWidth="1"/>
    <col min="312" max="312" width="26" bestFit="1" customWidth="1"/>
    <col min="313" max="313" width="24.90625" bestFit="1" customWidth="1"/>
    <col min="314" max="314" width="23.453125" bestFit="1" customWidth="1"/>
    <col min="315" max="315" width="27.1796875" bestFit="1" customWidth="1"/>
    <col min="316" max="316" width="15.08984375" bestFit="1" customWidth="1"/>
    <col min="317" max="317" width="29.81640625" bestFit="1" customWidth="1"/>
    <col min="318" max="318" width="27.6328125" bestFit="1" customWidth="1"/>
    <col min="319" max="319" width="21.54296875" bestFit="1" customWidth="1"/>
    <col min="320" max="320" width="34.81640625" bestFit="1" customWidth="1"/>
    <col min="321" max="321" width="27.36328125" bestFit="1" customWidth="1"/>
    <col min="322" max="322" width="21.36328125" bestFit="1" customWidth="1"/>
    <col min="323" max="323" width="16.453125" bestFit="1" customWidth="1"/>
    <col min="324" max="324" width="37.81640625" bestFit="1" customWidth="1"/>
    <col min="325" max="325" width="20.1796875" bestFit="1" customWidth="1"/>
    <col min="326" max="326" width="26.6328125" bestFit="1" customWidth="1"/>
    <col min="327" max="327" width="23.6328125" bestFit="1" customWidth="1"/>
    <col min="328" max="328" width="22.453125" bestFit="1" customWidth="1"/>
    <col min="329" max="329" width="32.54296875" bestFit="1" customWidth="1"/>
    <col min="330" max="330" width="23.6328125" bestFit="1" customWidth="1"/>
    <col min="331" max="331" width="36.54296875" bestFit="1" customWidth="1"/>
    <col min="332" max="332" width="22.81640625" bestFit="1" customWidth="1"/>
    <col min="333" max="333" width="26.90625" bestFit="1" customWidth="1"/>
    <col min="334" max="334" width="21.453125" bestFit="1" customWidth="1"/>
    <col min="335" max="335" width="21.90625" bestFit="1" customWidth="1"/>
    <col min="336" max="336" width="13.453125" bestFit="1" customWidth="1"/>
    <col min="337" max="337" width="17.26953125" bestFit="1" customWidth="1"/>
    <col min="338" max="338" width="28.7265625" bestFit="1" customWidth="1"/>
    <col min="339" max="339" width="24.90625" bestFit="1" customWidth="1"/>
    <col min="340" max="340" width="15.81640625" bestFit="1" customWidth="1"/>
    <col min="341" max="341" width="26.08984375" bestFit="1" customWidth="1"/>
    <col min="342" max="342" width="28.54296875" bestFit="1" customWidth="1"/>
    <col min="343" max="343" width="29.81640625" bestFit="1" customWidth="1"/>
    <col min="344" max="344" width="33.453125" bestFit="1" customWidth="1"/>
    <col min="345" max="345" width="21.6328125" bestFit="1" customWidth="1"/>
    <col min="346" max="346" width="15.36328125" bestFit="1" customWidth="1"/>
    <col min="347" max="347" width="27.6328125" bestFit="1" customWidth="1"/>
    <col min="348" max="348" width="30.90625" bestFit="1" customWidth="1"/>
    <col min="349" max="349" width="29.7265625" bestFit="1" customWidth="1"/>
    <col min="350" max="350" width="35.7265625" bestFit="1" customWidth="1"/>
    <col min="351" max="351" width="21.26953125" bestFit="1" customWidth="1"/>
    <col min="352" max="352" width="24.81640625" bestFit="1" customWidth="1"/>
    <col min="353" max="353" width="20.26953125" bestFit="1" customWidth="1"/>
    <col min="354" max="354" width="22.36328125" bestFit="1" customWidth="1"/>
    <col min="355" max="355" width="20.7265625" bestFit="1" customWidth="1"/>
    <col min="356" max="356" width="19.6328125" bestFit="1" customWidth="1"/>
    <col min="357" max="357" width="26.81640625" bestFit="1" customWidth="1"/>
    <col min="358" max="358" width="26.1796875" bestFit="1" customWidth="1"/>
    <col min="359" max="359" width="22.1796875" bestFit="1" customWidth="1"/>
    <col min="360" max="360" width="26.1796875" bestFit="1" customWidth="1"/>
    <col min="361" max="361" width="23.453125" bestFit="1" customWidth="1"/>
    <col min="362" max="362" width="37.81640625" bestFit="1" customWidth="1"/>
    <col min="363" max="363" width="24" bestFit="1" customWidth="1"/>
    <col min="364" max="364" width="20.81640625" bestFit="1" customWidth="1"/>
    <col min="365" max="365" width="21.90625" bestFit="1" customWidth="1"/>
    <col min="366" max="366" width="30.81640625" bestFit="1" customWidth="1"/>
    <col min="367" max="367" width="31.08984375" bestFit="1" customWidth="1"/>
    <col min="368" max="368" width="31" bestFit="1" customWidth="1"/>
    <col min="369" max="369" width="23.1796875" bestFit="1" customWidth="1"/>
    <col min="370" max="370" width="34" bestFit="1" customWidth="1"/>
    <col min="371" max="371" width="17.6328125" bestFit="1" customWidth="1"/>
    <col min="372" max="372" width="15.90625" bestFit="1" customWidth="1"/>
    <col min="373" max="373" width="28.90625" bestFit="1" customWidth="1"/>
    <col min="374" max="374" width="8.453125" bestFit="1" customWidth="1"/>
    <col min="375" max="375" width="11.26953125" bestFit="1" customWidth="1"/>
    <col min="376" max="376" width="10.6328125" bestFit="1" customWidth="1"/>
  </cols>
  <sheetData>
    <row r="1" spans="1:10" ht="15" thickBot="1" x14ac:dyDescent="0.4"/>
    <row r="2" spans="1:10" ht="15" thickBot="1" x14ac:dyDescent="0.4"/>
    <row r="3" spans="1:10" ht="15" thickBot="1" x14ac:dyDescent="0.4"/>
    <row r="4" spans="1:10" ht="15" thickBot="1" x14ac:dyDescent="0.4">
      <c r="A4" s="14" t="s">
        <v>6168</v>
      </c>
      <c r="B4" s="15" t="s">
        <v>127</v>
      </c>
      <c r="C4" s="16"/>
      <c r="D4" s="16"/>
      <c r="E4" s="16"/>
      <c r="F4" s="16"/>
      <c r="G4" s="17"/>
      <c r="I4" s="79" t="s">
        <v>5906</v>
      </c>
      <c r="J4" s="22" t="s">
        <v>36</v>
      </c>
    </row>
    <row r="5" spans="1:10" ht="19" thickBot="1" x14ac:dyDescent="0.5">
      <c r="A5" s="31" t="s">
        <v>126</v>
      </c>
      <c r="B5" s="81" t="s">
        <v>22</v>
      </c>
      <c r="C5" s="82" t="s">
        <v>32</v>
      </c>
      <c r="D5" s="82" t="s">
        <v>23</v>
      </c>
      <c r="E5" s="82" t="s">
        <v>25</v>
      </c>
      <c r="F5" s="82" t="s">
        <v>36</v>
      </c>
      <c r="G5" s="32" t="s">
        <v>125</v>
      </c>
    </row>
    <row r="6" spans="1:10" ht="15.5" x14ac:dyDescent="0.35">
      <c r="A6" s="18" t="s">
        <v>21</v>
      </c>
      <c r="B6" s="77">
        <v>6</v>
      </c>
      <c r="C6" s="77">
        <v>2</v>
      </c>
      <c r="D6" s="77">
        <v>27</v>
      </c>
      <c r="E6" s="77">
        <v>9</v>
      </c>
      <c r="F6" s="77">
        <v>1</v>
      </c>
      <c r="G6" s="77">
        <v>45</v>
      </c>
      <c r="I6" s="30" t="s">
        <v>180</v>
      </c>
    </row>
    <row r="7" spans="1:10" x14ac:dyDescent="0.35">
      <c r="A7" s="18" t="s">
        <v>48</v>
      </c>
      <c r="B7" s="77">
        <v>4</v>
      </c>
      <c r="C7" s="77">
        <v>1</v>
      </c>
      <c r="D7" s="77">
        <v>55</v>
      </c>
      <c r="E7" s="77">
        <v>6</v>
      </c>
      <c r="F7" s="77">
        <v>9</v>
      </c>
      <c r="G7" s="77">
        <v>75</v>
      </c>
      <c r="I7" s="11" t="s">
        <v>94</v>
      </c>
    </row>
    <row r="8" spans="1:10" x14ac:dyDescent="0.35">
      <c r="A8" s="18" t="s">
        <v>110</v>
      </c>
      <c r="B8" s="77">
        <v>4</v>
      </c>
      <c r="C8" s="77">
        <v>2</v>
      </c>
      <c r="D8" s="77">
        <v>7</v>
      </c>
      <c r="E8" s="77">
        <v>6</v>
      </c>
      <c r="F8" s="77">
        <v>6</v>
      </c>
      <c r="G8" s="77">
        <v>25</v>
      </c>
      <c r="I8" s="12" t="s">
        <v>62</v>
      </c>
    </row>
    <row r="9" spans="1:10" x14ac:dyDescent="0.35">
      <c r="A9" s="18" t="s">
        <v>119</v>
      </c>
      <c r="B9" s="77">
        <v>7</v>
      </c>
      <c r="C9" s="77">
        <v>6</v>
      </c>
      <c r="D9" s="77">
        <v>6</v>
      </c>
      <c r="E9" s="77">
        <v>8</v>
      </c>
      <c r="F9" s="77">
        <v>7</v>
      </c>
      <c r="G9" s="77">
        <v>34</v>
      </c>
      <c r="I9" s="12" t="s">
        <v>103</v>
      </c>
    </row>
    <row r="10" spans="1:10" x14ac:dyDescent="0.35">
      <c r="A10" s="18" t="s">
        <v>4381</v>
      </c>
      <c r="B10" s="77">
        <v>9</v>
      </c>
      <c r="C10" s="77">
        <v>2</v>
      </c>
      <c r="D10" s="77">
        <v>81</v>
      </c>
      <c r="E10" s="77"/>
      <c r="F10" s="77">
        <v>1</v>
      </c>
      <c r="G10" s="77">
        <v>93</v>
      </c>
      <c r="I10" s="12" t="s">
        <v>87</v>
      </c>
    </row>
    <row r="11" spans="1:10" x14ac:dyDescent="0.35">
      <c r="A11" s="18" t="s">
        <v>4388</v>
      </c>
      <c r="B11" s="77">
        <v>13</v>
      </c>
      <c r="C11" s="77">
        <v>5</v>
      </c>
      <c r="D11" s="77">
        <v>41</v>
      </c>
      <c r="E11" s="77">
        <v>14</v>
      </c>
      <c r="F11" s="77">
        <v>2</v>
      </c>
      <c r="G11" s="77">
        <v>75</v>
      </c>
      <c r="I11" s="12" t="s">
        <v>55</v>
      </c>
    </row>
    <row r="12" spans="1:10" x14ac:dyDescent="0.35">
      <c r="A12" s="18" t="s">
        <v>4428</v>
      </c>
      <c r="B12" s="77">
        <v>14</v>
      </c>
      <c r="C12" s="77">
        <v>4</v>
      </c>
      <c r="D12" s="77">
        <v>2</v>
      </c>
      <c r="E12" s="77">
        <v>14</v>
      </c>
      <c r="F12" s="77">
        <v>4</v>
      </c>
      <c r="G12" s="77">
        <v>38</v>
      </c>
      <c r="I12" s="12" t="s">
        <v>71</v>
      </c>
    </row>
    <row r="13" spans="1:10" x14ac:dyDescent="0.35">
      <c r="A13" s="18" t="s">
        <v>4439</v>
      </c>
      <c r="B13" s="77">
        <v>6</v>
      </c>
      <c r="C13" s="77">
        <v>1</v>
      </c>
      <c r="D13" s="77">
        <v>42</v>
      </c>
      <c r="E13" s="77">
        <v>12</v>
      </c>
      <c r="F13" s="77">
        <v>3</v>
      </c>
      <c r="G13" s="77">
        <v>64</v>
      </c>
      <c r="I13" s="12" t="s">
        <v>59</v>
      </c>
    </row>
    <row r="14" spans="1:10" x14ac:dyDescent="0.35">
      <c r="A14" s="18" t="s">
        <v>4461</v>
      </c>
      <c r="B14" s="77">
        <v>28</v>
      </c>
      <c r="C14" s="77">
        <v>1</v>
      </c>
      <c r="D14" s="77">
        <v>46</v>
      </c>
      <c r="E14" s="77">
        <v>4</v>
      </c>
      <c r="F14" s="77"/>
      <c r="G14" s="77">
        <v>79</v>
      </c>
      <c r="I14" s="12" t="s">
        <v>72</v>
      </c>
    </row>
    <row r="15" spans="1:10" x14ac:dyDescent="0.35">
      <c r="A15" s="18" t="s">
        <v>4486</v>
      </c>
      <c r="B15" s="77">
        <v>23</v>
      </c>
      <c r="C15" s="77"/>
      <c r="D15" s="77">
        <v>50</v>
      </c>
      <c r="E15" s="77">
        <v>4</v>
      </c>
      <c r="F15" s="77"/>
      <c r="G15" s="77">
        <v>77</v>
      </c>
      <c r="I15" s="12" t="s">
        <v>81</v>
      </c>
    </row>
    <row r="16" spans="1:10" x14ac:dyDescent="0.35">
      <c r="A16" s="18" t="s">
        <v>4500</v>
      </c>
      <c r="B16" s="77">
        <v>13</v>
      </c>
      <c r="C16" s="77">
        <v>2</v>
      </c>
      <c r="D16" s="77">
        <v>66</v>
      </c>
      <c r="E16" s="77">
        <v>9</v>
      </c>
      <c r="F16" s="77">
        <v>4</v>
      </c>
      <c r="G16" s="77">
        <v>94</v>
      </c>
      <c r="I16" s="12" t="s">
        <v>35</v>
      </c>
    </row>
    <row r="17" spans="1:9" x14ac:dyDescent="0.35">
      <c r="A17" s="18" t="s">
        <v>4503</v>
      </c>
      <c r="B17" s="77">
        <v>8</v>
      </c>
      <c r="C17" s="77">
        <v>5</v>
      </c>
      <c r="D17" s="77">
        <v>38</v>
      </c>
      <c r="E17" s="77">
        <v>13</v>
      </c>
      <c r="F17" s="77">
        <v>6</v>
      </c>
      <c r="G17" s="77">
        <v>70</v>
      </c>
      <c r="I17" s="12" t="s">
        <v>58</v>
      </c>
    </row>
    <row r="18" spans="1:9" x14ac:dyDescent="0.35">
      <c r="A18" s="18" t="s">
        <v>4505</v>
      </c>
      <c r="B18" s="77">
        <v>14</v>
      </c>
      <c r="C18" s="77">
        <v>14</v>
      </c>
      <c r="D18" s="77">
        <v>147</v>
      </c>
      <c r="E18" s="77">
        <v>19</v>
      </c>
      <c r="F18" s="77">
        <v>8</v>
      </c>
      <c r="G18" s="77">
        <v>202</v>
      </c>
      <c r="I18" s="12" t="s">
        <v>52</v>
      </c>
    </row>
    <row r="19" spans="1:9" x14ac:dyDescent="0.35">
      <c r="A19" s="18" t="s">
        <v>4509</v>
      </c>
      <c r="B19" s="77">
        <v>25</v>
      </c>
      <c r="C19" s="77">
        <v>16</v>
      </c>
      <c r="D19" s="77">
        <v>39</v>
      </c>
      <c r="E19" s="77">
        <v>7</v>
      </c>
      <c r="F19" s="77">
        <v>12</v>
      </c>
      <c r="G19" s="77">
        <v>99</v>
      </c>
      <c r="I19" s="12" t="s">
        <v>47</v>
      </c>
    </row>
    <row r="20" spans="1:9" ht="15" thickBot="1" x14ac:dyDescent="0.4">
      <c r="A20" s="18" t="s">
        <v>4525</v>
      </c>
      <c r="B20" s="77">
        <v>5</v>
      </c>
      <c r="C20" s="77">
        <v>1</v>
      </c>
      <c r="D20" s="77">
        <v>50</v>
      </c>
      <c r="E20" s="77">
        <v>6</v>
      </c>
      <c r="F20" s="77">
        <v>1</v>
      </c>
      <c r="G20" s="77">
        <v>63</v>
      </c>
      <c r="I20" s="12" t="s">
        <v>33</v>
      </c>
    </row>
    <row r="21" spans="1:9" ht="15" thickBot="1" x14ac:dyDescent="0.4">
      <c r="A21" s="19" t="s">
        <v>125</v>
      </c>
      <c r="B21" s="78">
        <v>179</v>
      </c>
      <c r="C21" s="78">
        <v>62</v>
      </c>
      <c r="D21" s="78">
        <v>697</v>
      </c>
      <c r="E21" s="78">
        <v>131</v>
      </c>
      <c r="F21" s="78">
        <v>64</v>
      </c>
      <c r="G21" s="78">
        <v>1133</v>
      </c>
      <c r="I21" s="12" t="s">
        <v>115</v>
      </c>
    </row>
    <row r="22" spans="1:9" x14ac:dyDescent="0.35">
      <c r="I22" s="12" t="s">
        <v>57</v>
      </c>
    </row>
    <row r="23" spans="1:9" x14ac:dyDescent="0.35">
      <c r="I23" s="12" t="s">
        <v>98</v>
      </c>
    </row>
    <row r="24" spans="1:9" x14ac:dyDescent="0.35">
      <c r="I24" s="12" t="s">
        <v>56</v>
      </c>
    </row>
    <row r="25" spans="1:9" x14ac:dyDescent="0.35">
      <c r="I25" s="12" t="s">
        <v>105</v>
      </c>
    </row>
    <row r="26" spans="1:9" x14ac:dyDescent="0.35">
      <c r="I26" s="12" t="s">
        <v>107</v>
      </c>
    </row>
    <row r="27" spans="1:9" x14ac:dyDescent="0.35">
      <c r="I27" s="12" t="s">
        <v>106</v>
      </c>
    </row>
    <row r="28" spans="1:9" x14ac:dyDescent="0.35">
      <c r="I28" s="12" t="s">
        <v>116</v>
      </c>
    </row>
    <row r="29" spans="1:9" x14ac:dyDescent="0.35">
      <c r="I29" s="12" t="s">
        <v>27</v>
      </c>
    </row>
    <row r="30" spans="1:9" x14ac:dyDescent="0.35">
      <c r="I30" s="12" t="s">
        <v>123</v>
      </c>
    </row>
    <row r="31" spans="1:9" x14ac:dyDescent="0.35">
      <c r="I31" s="12" t="s">
        <v>53</v>
      </c>
    </row>
    <row r="32" spans="1:9" x14ac:dyDescent="0.35">
      <c r="I32" s="12" t="s">
        <v>73</v>
      </c>
    </row>
    <row r="33" spans="9:9" x14ac:dyDescent="0.35">
      <c r="I33" s="12" t="s">
        <v>75</v>
      </c>
    </row>
    <row r="34" spans="9:9" x14ac:dyDescent="0.35">
      <c r="I34" s="12" t="s">
        <v>54</v>
      </c>
    </row>
    <row r="35" spans="9:9" x14ac:dyDescent="0.35">
      <c r="I35" s="12" t="s">
        <v>117</v>
      </c>
    </row>
    <row r="36" spans="9:9" x14ac:dyDescent="0.35">
      <c r="I36" s="12" t="s">
        <v>138</v>
      </c>
    </row>
    <row r="37" spans="9:9" x14ac:dyDescent="0.35">
      <c r="I37" s="12" t="s">
        <v>174</v>
      </c>
    </row>
    <row r="38" spans="9:9" x14ac:dyDescent="0.35">
      <c r="I38" s="12" t="s">
        <v>175</v>
      </c>
    </row>
    <row r="39" spans="9:9" x14ac:dyDescent="0.35">
      <c r="I39" s="12" t="s">
        <v>4522</v>
      </c>
    </row>
    <row r="40" spans="9:9" x14ac:dyDescent="0.35">
      <c r="I40" s="12" t="s">
        <v>4523</v>
      </c>
    </row>
    <row r="41" spans="9:9" x14ac:dyDescent="0.35">
      <c r="I41" s="12" t="s">
        <v>177</v>
      </c>
    </row>
    <row r="42" spans="9:9" x14ac:dyDescent="0.35">
      <c r="I42" s="12" t="s">
        <v>178</v>
      </c>
    </row>
    <row r="43" spans="9:9" x14ac:dyDescent="0.35">
      <c r="I43" s="12" t="s">
        <v>4524</v>
      </c>
    </row>
    <row r="44" spans="9:9" x14ac:dyDescent="0.35">
      <c r="I44" s="12" t="s">
        <v>1533</v>
      </c>
    </row>
    <row r="45" spans="9:9" x14ac:dyDescent="0.35">
      <c r="I45" s="12" t="s">
        <v>678</v>
      </c>
    </row>
    <row r="46" spans="9:9" x14ac:dyDescent="0.35">
      <c r="I46" s="12" t="s">
        <v>303</v>
      </c>
    </row>
    <row r="47" spans="9:9" x14ac:dyDescent="0.35">
      <c r="I47" s="12" t="s">
        <v>592</v>
      </c>
    </row>
    <row r="48" spans="9:9" x14ac:dyDescent="0.35">
      <c r="I48" s="12" t="s">
        <v>4426</v>
      </c>
    </row>
    <row r="49" spans="9:9" x14ac:dyDescent="0.35">
      <c r="I49" s="12" t="s">
        <v>4427</v>
      </c>
    </row>
    <row r="50" spans="9:9" x14ac:dyDescent="0.35">
      <c r="I50" s="12" t="s">
        <v>4434</v>
      </c>
    </row>
    <row r="51" spans="9:9" x14ac:dyDescent="0.35">
      <c r="I51" s="12" t="s">
        <v>4435</v>
      </c>
    </row>
    <row r="52" spans="9:9" x14ac:dyDescent="0.35">
      <c r="I52" s="12" t="s">
        <v>4437</v>
      </c>
    </row>
    <row r="53" spans="9:9" x14ac:dyDescent="0.35">
      <c r="I53" s="12" t="s">
        <v>4458</v>
      </c>
    </row>
    <row r="54" spans="9:9" x14ac:dyDescent="0.35">
      <c r="I54" s="12" t="s">
        <v>4459</v>
      </c>
    </row>
    <row r="55" spans="9:9" x14ac:dyDescent="0.35">
      <c r="I55" s="12" t="s">
        <v>4460</v>
      </c>
    </row>
    <row r="56" spans="9:9" x14ac:dyDescent="0.35">
      <c r="I56" s="12" t="s">
        <v>511</v>
      </c>
    </row>
    <row r="57" spans="9:9" x14ac:dyDescent="0.35">
      <c r="I57" s="12" t="s">
        <v>447</v>
      </c>
    </row>
    <row r="58" spans="9:9" x14ac:dyDescent="0.35">
      <c r="I58" s="12" t="s">
        <v>620</v>
      </c>
    </row>
    <row r="59" spans="9:9" x14ac:dyDescent="0.35">
      <c r="I59" s="12" t="s">
        <v>584</v>
      </c>
    </row>
    <row r="60" spans="9:9" x14ac:dyDescent="0.35">
      <c r="I60" s="12" t="s">
        <v>771</v>
      </c>
    </row>
    <row r="61" spans="9:9" x14ac:dyDescent="0.35">
      <c r="I61" s="12" t="s">
        <v>1480</v>
      </c>
    </row>
    <row r="62" spans="9:9" x14ac:dyDescent="0.35">
      <c r="I62" s="12" t="s">
        <v>284</v>
      </c>
    </row>
    <row r="63" spans="9:9" x14ac:dyDescent="0.35">
      <c r="I63" s="12" t="s">
        <v>637</v>
      </c>
    </row>
    <row r="64" spans="9:9" x14ac:dyDescent="0.35">
      <c r="I64" s="12" t="s">
        <v>265</v>
      </c>
    </row>
    <row r="65" spans="9:9" x14ac:dyDescent="0.35">
      <c r="I65" s="12" t="s">
        <v>833</v>
      </c>
    </row>
    <row r="66" spans="9:9" ht="15" thickBot="1" x14ac:dyDescent="0.4">
      <c r="I66" s="12" t="s">
        <v>939</v>
      </c>
    </row>
    <row r="67" spans="9:9" ht="15" thickBot="1" x14ac:dyDescent="0.4">
      <c r="I67" s="12" t="s">
        <v>829</v>
      </c>
    </row>
    <row r="68" spans="9:9" x14ac:dyDescent="0.35">
      <c r="I68" s="12" t="s">
        <v>4532</v>
      </c>
    </row>
    <row r="69" spans="9:9" x14ac:dyDescent="0.35">
      <c r="I69" s="13" t="s">
        <v>125</v>
      </c>
    </row>
    <row r="82" ht="15" thickBot="1" x14ac:dyDescent="0.4"/>
    <row r="83" ht="15" thickBot="1" x14ac:dyDescent="0.4"/>
    <row r="182" ht="15" thickBot="1" x14ac:dyDescent="0.4"/>
    <row r="183" ht="15" thickBot="1" x14ac:dyDescent="0.4"/>
    <row r="384" ht="15" thickBot="1" x14ac:dyDescent="0.4"/>
    <row r="385" ht="15" thickBot="1" x14ac:dyDescent="0.4"/>
    <row r="454" ht="15" thickBot="1" x14ac:dyDescent="0.4"/>
    <row r="455" ht="15" thickBot="1" x14ac:dyDescent="0.4"/>
    <row r="548" ht="15" thickBot="1" x14ac:dyDescent="0.4"/>
    <row r="549" ht="15" thickBot="1" x14ac:dyDescent="0.4"/>
    <row r="625" ht="15" thickBot="1" x14ac:dyDescent="0.4"/>
    <row r="626" ht="15" thickBot="1" x14ac:dyDescent="0.4"/>
    <row r="704" ht="15" thickBot="1" x14ac:dyDescent="0.4"/>
    <row r="705" ht="15" thickBot="1" x14ac:dyDescent="0.4"/>
    <row r="768" ht="15" thickBot="1" x14ac:dyDescent="0.4"/>
    <row r="769" ht="15" thickBot="1" x14ac:dyDescent="0.4"/>
    <row r="806" ht="15" thickBot="1" x14ac:dyDescent="0.4"/>
    <row r="807" ht="15" thickBot="1" x14ac:dyDescent="0.4"/>
    <row r="881" ht="15" thickBot="1" x14ac:dyDescent="0.4"/>
    <row r="882" ht="15" thickBot="1" x14ac:dyDescent="0.4"/>
    <row r="974" ht="15" thickBot="1" x14ac:dyDescent="0.4"/>
    <row r="975" ht="15" thickBot="1" x14ac:dyDescent="0.4"/>
  </sheetData>
  <pageMargins left="0.7" right="0.7" top="0.75" bottom="0.75" header="0.3" footer="0.3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978F9-8433-4074-9FD5-C8FEC41D556F}">
  <sheetPr codeName="Sheet5"/>
  <dimension ref="A1:BJ2138"/>
  <sheetViews>
    <sheetView showGridLines="0" topLeftCell="AF1" workbookViewId="0">
      <selection activeCell="AP15" sqref="AP15"/>
    </sheetView>
  </sheetViews>
  <sheetFormatPr defaultRowHeight="14.5" x14ac:dyDescent="0.35"/>
  <cols>
    <col min="1" max="1" width="21.81640625" customWidth="1"/>
    <col min="8" max="8" width="31.36328125" customWidth="1"/>
    <col min="9" max="9" width="26.36328125" customWidth="1"/>
  </cols>
  <sheetData>
    <row r="1" spans="1:59" ht="18.5" x14ac:dyDescent="0.45">
      <c r="A1" s="20" t="s">
        <v>128</v>
      </c>
    </row>
    <row r="2" spans="1:59" x14ac:dyDescent="0.35">
      <c r="A2" s="95" t="s">
        <v>508</v>
      </c>
    </row>
    <row r="3" spans="1:59" x14ac:dyDescent="0.35">
      <c r="A3" s="95" t="s">
        <v>1407</v>
      </c>
    </row>
    <row r="4" spans="1:59" x14ac:dyDescent="0.35">
      <c r="A4" s="95" t="s">
        <v>713</v>
      </c>
    </row>
    <row r="5" spans="1:59" x14ac:dyDescent="0.35">
      <c r="A5" s="95" t="s">
        <v>713</v>
      </c>
    </row>
    <row r="6" spans="1:59" x14ac:dyDescent="0.35">
      <c r="A6" s="95" t="s">
        <v>713</v>
      </c>
      <c r="AR6" s="96"/>
      <c r="BG6" s="97"/>
    </row>
    <row r="7" spans="1:59" x14ac:dyDescent="0.35">
      <c r="A7" s="95" t="s">
        <v>304</v>
      </c>
    </row>
    <row r="8" spans="1:59" x14ac:dyDescent="0.35">
      <c r="A8" s="95" t="s">
        <v>6228</v>
      </c>
      <c r="AR8" s="96"/>
    </row>
    <row r="9" spans="1:59" x14ac:dyDescent="0.35">
      <c r="A9" s="95" t="s">
        <v>6228</v>
      </c>
      <c r="AR9" s="96"/>
    </row>
    <row r="10" spans="1:59" x14ac:dyDescent="0.35">
      <c r="A10" s="95" t="s">
        <v>732</v>
      </c>
      <c r="AR10" s="96"/>
      <c r="BG10" s="97"/>
    </row>
    <row r="11" spans="1:59" x14ac:dyDescent="0.35">
      <c r="A11" s="95" t="s">
        <v>732</v>
      </c>
    </row>
    <row r="12" spans="1:59" x14ac:dyDescent="0.35">
      <c r="A12" s="95" t="s">
        <v>703</v>
      </c>
      <c r="AR12" s="96"/>
    </row>
    <row r="13" spans="1:59" x14ac:dyDescent="0.35">
      <c r="A13" s="95" t="s">
        <v>2316</v>
      </c>
      <c r="AR13" s="96"/>
    </row>
    <row r="14" spans="1:59" x14ac:dyDescent="0.35">
      <c r="A14" s="95" t="s">
        <v>1190</v>
      </c>
    </row>
    <row r="15" spans="1:59" x14ac:dyDescent="0.35">
      <c r="A15" s="95" t="s">
        <v>646</v>
      </c>
    </row>
    <row r="16" spans="1:59" x14ac:dyDescent="0.35">
      <c r="A16" s="95" t="s">
        <v>793</v>
      </c>
      <c r="AR16" s="96"/>
    </row>
    <row r="17" spans="1:59" x14ac:dyDescent="0.35">
      <c r="A17" s="95" t="s">
        <v>1935</v>
      </c>
    </row>
    <row r="18" spans="1:59" x14ac:dyDescent="0.35">
      <c r="A18" s="95" t="s">
        <v>970</v>
      </c>
      <c r="AR18" s="96"/>
    </row>
    <row r="19" spans="1:59" x14ac:dyDescent="0.35">
      <c r="A19" s="95" t="s">
        <v>300</v>
      </c>
    </row>
    <row r="20" spans="1:59" x14ac:dyDescent="0.35">
      <c r="A20" s="95" t="s">
        <v>300</v>
      </c>
      <c r="AR20" s="96"/>
    </row>
    <row r="21" spans="1:59" x14ac:dyDescent="0.35">
      <c r="A21" s="95" t="s">
        <v>1274</v>
      </c>
      <c r="AR21" s="96"/>
    </row>
    <row r="22" spans="1:59" x14ac:dyDescent="0.35">
      <c r="A22" s="95" t="s">
        <v>799</v>
      </c>
      <c r="AR22" s="96"/>
      <c r="BG22" s="97"/>
    </row>
    <row r="23" spans="1:59" x14ac:dyDescent="0.35">
      <c r="A23" s="95" t="s">
        <v>805</v>
      </c>
      <c r="AR23" s="96"/>
    </row>
    <row r="24" spans="1:59" x14ac:dyDescent="0.35">
      <c r="A24" s="95" t="s">
        <v>452</v>
      </c>
    </row>
    <row r="25" spans="1:59" x14ac:dyDescent="0.35">
      <c r="A25" s="95" t="s">
        <v>322</v>
      </c>
      <c r="AR25" s="96"/>
    </row>
    <row r="26" spans="1:59" x14ac:dyDescent="0.35">
      <c r="A26" s="95" t="s">
        <v>2307</v>
      </c>
      <c r="AR26" s="96"/>
    </row>
    <row r="27" spans="1:59" x14ac:dyDescent="0.35">
      <c r="A27" s="95" t="s">
        <v>1489</v>
      </c>
    </row>
    <row r="28" spans="1:59" x14ac:dyDescent="0.35">
      <c r="A28" s="95" t="s">
        <v>874</v>
      </c>
    </row>
    <row r="29" spans="1:59" x14ac:dyDescent="0.35">
      <c r="A29" s="95" t="s">
        <v>874</v>
      </c>
    </row>
    <row r="30" spans="1:59" x14ac:dyDescent="0.35">
      <c r="A30" s="95" t="s">
        <v>1228</v>
      </c>
    </row>
    <row r="31" spans="1:59" x14ac:dyDescent="0.35">
      <c r="A31" s="95" t="s">
        <v>748</v>
      </c>
      <c r="AR31" s="96"/>
    </row>
    <row r="32" spans="1:59" x14ac:dyDescent="0.35">
      <c r="A32" s="95" t="s">
        <v>1503</v>
      </c>
    </row>
    <row r="33" spans="1:59" x14ac:dyDescent="0.35">
      <c r="A33" s="95" t="s">
        <v>1361</v>
      </c>
    </row>
    <row r="34" spans="1:59" x14ac:dyDescent="0.35">
      <c r="A34" s="95" t="s">
        <v>724</v>
      </c>
    </row>
    <row r="35" spans="1:59" x14ac:dyDescent="0.35">
      <c r="A35" s="95" t="s">
        <v>1558</v>
      </c>
      <c r="AR35" s="96"/>
      <c r="BG35" s="97"/>
    </row>
    <row r="36" spans="1:59" x14ac:dyDescent="0.35">
      <c r="A36" s="95" t="s">
        <v>403</v>
      </c>
    </row>
    <row r="37" spans="1:59" x14ac:dyDescent="0.35">
      <c r="A37" s="95" t="s">
        <v>403</v>
      </c>
      <c r="AR37" s="96"/>
    </row>
    <row r="38" spans="1:59" x14ac:dyDescent="0.35">
      <c r="A38" s="95" t="s">
        <v>1246</v>
      </c>
      <c r="AR38" s="96"/>
      <c r="BG38" s="97"/>
    </row>
    <row r="39" spans="1:59" x14ac:dyDescent="0.35">
      <c r="A39" s="95" t="s">
        <v>6229</v>
      </c>
    </row>
    <row r="40" spans="1:59" x14ac:dyDescent="0.35">
      <c r="A40" s="95" t="s">
        <v>216</v>
      </c>
      <c r="AR40" s="96"/>
    </row>
    <row r="41" spans="1:59" x14ac:dyDescent="0.35">
      <c r="A41" s="95" t="s">
        <v>216</v>
      </c>
      <c r="AR41" s="96"/>
    </row>
    <row r="42" spans="1:59" x14ac:dyDescent="0.35">
      <c r="A42" s="95" t="s">
        <v>209</v>
      </c>
    </row>
    <row r="43" spans="1:59" x14ac:dyDescent="0.35">
      <c r="A43" s="95" t="s">
        <v>209</v>
      </c>
    </row>
    <row r="44" spans="1:59" x14ac:dyDescent="0.35">
      <c r="A44" s="95" t="s">
        <v>256</v>
      </c>
    </row>
    <row r="45" spans="1:59" x14ac:dyDescent="0.35">
      <c r="A45" s="95" t="s">
        <v>256</v>
      </c>
      <c r="AR45" s="96"/>
    </row>
    <row r="46" spans="1:59" x14ac:dyDescent="0.35">
      <c r="A46" s="95" t="s">
        <v>1479</v>
      </c>
      <c r="AR46" s="96"/>
      <c r="BG46" s="97"/>
    </row>
    <row r="47" spans="1:59" x14ac:dyDescent="0.35">
      <c r="A47" s="95" t="s">
        <v>719</v>
      </c>
    </row>
    <row r="48" spans="1:59" x14ac:dyDescent="0.35">
      <c r="A48" s="95" t="s">
        <v>406</v>
      </c>
      <c r="AR48" s="96"/>
    </row>
    <row r="49" spans="1:60" x14ac:dyDescent="0.35">
      <c r="A49" s="95" t="s">
        <v>406</v>
      </c>
    </row>
    <row r="50" spans="1:60" x14ac:dyDescent="0.35">
      <c r="A50" s="95" t="s">
        <v>875</v>
      </c>
    </row>
    <row r="51" spans="1:60" x14ac:dyDescent="0.35">
      <c r="A51" s="95" t="s">
        <v>282</v>
      </c>
      <c r="BH51" s="97"/>
    </row>
    <row r="52" spans="1:60" x14ac:dyDescent="0.35">
      <c r="A52" s="95" t="s">
        <v>1419</v>
      </c>
    </row>
    <row r="53" spans="1:60" x14ac:dyDescent="0.35">
      <c r="A53" s="95" t="s">
        <v>603</v>
      </c>
    </row>
    <row r="54" spans="1:60" x14ac:dyDescent="0.35">
      <c r="A54" s="95" t="s">
        <v>4535</v>
      </c>
      <c r="AR54" s="96"/>
    </row>
    <row r="55" spans="1:60" x14ac:dyDescent="0.35">
      <c r="A55" s="95" t="s">
        <v>6230</v>
      </c>
    </row>
    <row r="56" spans="1:60" x14ac:dyDescent="0.35">
      <c r="A56" s="95" t="s">
        <v>1049</v>
      </c>
      <c r="AR56" s="96"/>
      <c r="BG56" s="97"/>
    </row>
    <row r="57" spans="1:60" x14ac:dyDescent="0.35">
      <c r="A57" s="95" t="s">
        <v>6231</v>
      </c>
    </row>
    <row r="58" spans="1:60" x14ac:dyDescent="0.35">
      <c r="A58" s="95" t="s">
        <v>306</v>
      </c>
      <c r="AR58" s="96"/>
      <c r="BG58" s="97"/>
    </row>
    <row r="59" spans="1:60" x14ac:dyDescent="0.35">
      <c r="A59" s="95" t="s">
        <v>421</v>
      </c>
    </row>
    <row r="60" spans="1:60" x14ac:dyDescent="0.35">
      <c r="A60" s="95" t="s">
        <v>526</v>
      </c>
    </row>
    <row r="61" spans="1:60" x14ac:dyDescent="0.35">
      <c r="A61" s="95" t="s">
        <v>290</v>
      </c>
    </row>
    <row r="62" spans="1:60" x14ac:dyDescent="0.35">
      <c r="A62" s="95" t="s">
        <v>1211</v>
      </c>
    </row>
    <row r="63" spans="1:60" x14ac:dyDescent="0.35">
      <c r="A63" s="95" t="s">
        <v>1211</v>
      </c>
    </row>
    <row r="64" spans="1:60" x14ac:dyDescent="0.35">
      <c r="A64" s="95" t="s">
        <v>827</v>
      </c>
      <c r="AR64" s="96"/>
    </row>
    <row r="65" spans="1:60" x14ac:dyDescent="0.35">
      <c r="A65" s="95" t="s">
        <v>932</v>
      </c>
    </row>
    <row r="66" spans="1:60" x14ac:dyDescent="0.35">
      <c r="A66" s="95" t="s">
        <v>932</v>
      </c>
    </row>
    <row r="67" spans="1:60" x14ac:dyDescent="0.35">
      <c r="A67" s="95" t="s">
        <v>910</v>
      </c>
      <c r="AR67" s="96"/>
    </row>
    <row r="68" spans="1:60" x14ac:dyDescent="0.35">
      <c r="A68" s="95" t="s">
        <v>665</v>
      </c>
    </row>
    <row r="69" spans="1:60" x14ac:dyDescent="0.35">
      <c r="A69" s="95" t="s">
        <v>698</v>
      </c>
    </row>
    <row r="70" spans="1:60" x14ac:dyDescent="0.35">
      <c r="A70" s="95" t="s">
        <v>698</v>
      </c>
    </row>
    <row r="71" spans="1:60" x14ac:dyDescent="0.35">
      <c r="A71" s="95" t="s">
        <v>326</v>
      </c>
      <c r="AR71" s="96"/>
    </row>
    <row r="72" spans="1:60" x14ac:dyDescent="0.35">
      <c r="A72" s="95" t="s">
        <v>752</v>
      </c>
    </row>
    <row r="73" spans="1:60" x14ac:dyDescent="0.35">
      <c r="A73" s="95" t="s">
        <v>752</v>
      </c>
      <c r="AR73" s="96"/>
    </row>
    <row r="74" spans="1:60" x14ac:dyDescent="0.35">
      <c r="A74" s="95" t="s">
        <v>1534</v>
      </c>
    </row>
    <row r="75" spans="1:60" x14ac:dyDescent="0.35">
      <c r="A75" s="95" t="s">
        <v>782</v>
      </c>
    </row>
    <row r="76" spans="1:60" x14ac:dyDescent="0.35">
      <c r="A76" s="95" t="s">
        <v>919</v>
      </c>
      <c r="AR76" s="96"/>
    </row>
    <row r="77" spans="1:60" x14ac:dyDescent="0.35">
      <c r="A77" s="95" t="s">
        <v>2105</v>
      </c>
      <c r="AR77" s="96"/>
      <c r="BH77" s="97"/>
    </row>
    <row r="78" spans="1:60" x14ac:dyDescent="0.35">
      <c r="A78" s="95" t="s">
        <v>595</v>
      </c>
      <c r="AR78" s="96"/>
    </row>
    <row r="79" spans="1:60" x14ac:dyDescent="0.35">
      <c r="A79" s="95" t="s">
        <v>595</v>
      </c>
      <c r="AR79" s="96"/>
    </row>
    <row r="80" spans="1:60" x14ac:dyDescent="0.35">
      <c r="A80" s="95" t="s">
        <v>1566</v>
      </c>
    </row>
    <row r="81" spans="1:62" x14ac:dyDescent="0.35">
      <c r="A81" s="95" t="s">
        <v>750</v>
      </c>
      <c r="AR81" s="96"/>
      <c r="BG81" s="96"/>
    </row>
    <row r="82" spans="1:62" x14ac:dyDescent="0.35">
      <c r="A82" s="95" t="s">
        <v>897</v>
      </c>
    </row>
    <row r="83" spans="1:62" x14ac:dyDescent="0.35">
      <c r="A83" s="95" t="s">
        <v>808</v>
      </c>
    </row>
    <row r="84" spans="1:62" x14ac:dyDescent="0.35">
      <c r="A84" s="95" t="s">
        <v>808</v>
      </c>
    </row>
    <row r="85" spans="1:62" x14ac:dyDescent="0.35">
      <c r="A85" s="95" t="s">
        <v>774</v>
      </c>
      <c r="AR85" s="96"/>
    </row>
    <row r="86" spans="1:62" x14ac:dyDescent="0.35">
      <c r="A86" s="95" t="s">
        <v>918</v>
      </c>
      <c r="AR86" s="96"/>
    </row>
    <row r="87" spans="1:62" x14ac:dyDescent="0.35">
      <c r="A87" s="95" t="s">
        <v>746</v>
      </c>
    </row>
    <row r="88" spans="1:62" x14ac:dyDescent="0.35">
      <c r="A88" s="95" t="s">
        <v>1017</v>
      </c>
    </row>
    <row r="89" spans="1:62" x14ac:dyDescent="0.35">
      <c r="A89" s="95" t="s">
        <v>780</v>
      </c>
      <c r="AO89">
        <v>45</v>
      </c>
      <c r="AP89">
        <v>55</v>
      </c>
      <c r="AQ89">
        <v>32</v>
      </c>
      <c r="AR89">
        <v>157</v>
      </c>
      <c r="AS89">
        <v>27</v>
      </c>
      <c r="AT89" t="s">
        <v>4562</v>
      </c>
      <c r="AU89">
        <v>19</v>
      </c>
      <c r="AV89" t="s">
        <v>6316</v>
      </c>
      <c r="AW89">
        <v>124.95</v>
      </c>
      <c r="AX89">
        <v>126.1</v>
      </c>
      <c r="AY89">
        <v>127.2</v>
      </c>
      <c r="AZ89">
        <v>122.7</v>
      </c>
      <c r="BA89">
        <v>121.6</v>
      </c>
      <c r="BB89">
        <v>120.45</v>
      </c>
      <c r="BC89">
        <v>9</v>
      </c>
      <c r="BD89">
        <v>5</v>
      </c>
      <c r="BE89">
        <v>4</v>
      </c>
      <c r="BF89" t="s">
        <v>130</v>
      </c>
      <c r="BG89">
        <v>169.6</v>
      </c>
      <c r="BH89">
        <v>1.4</v>
      </c>
      <c r="BI89" t="s">
        <v>4563</v>
      </c>
      <c r="BJ89" t="s">
        <v>4563</v>
      </c>
    </row>
    <row r="90" spans="1:62" x14ac:dyDescent="0.35">
      <c r="A90" s="95" t="s">
        <v>780</v>
      </c>
      <c r="AO90">
        <v>85</v>
      </c>
      <c r="AP90">
        <v>24</v>
      </c>
      <c r="AQ90">
        <v>48</v>
      </c>
      <c r="AR90" s="96">
        <v>1693</v>
      </c>
      <c r="AS90">
        <v>-1</v>
      </c>
      <c r="AT90" t="s">
        <v>4562</v>
      </c>
      <c r="AU90">
        <v>24</v>
      </c>
      <c r="AV90" t="s">
        <v>6317</v>
      </c>
      <c r="AW90">
        <v>1737.5</v>
      </c>
      <c r="AX90">
        <v>1760.25</v>
      </c>
      <c r="AY90">
        <v>1775.5</v>
      </c>
      <c r="AZ90">
        <v>1699.5</v>
      </c>
      <c r="BA90">
        <v>1684.25</v>
      </c>
      <c r="BB90">
        <v>1661.5</v>
      </c>
      <c r="BC90">
        <v>14</v>
      </c>
      <c r="BD90">
        <v>1</v>
      </c>
      <c r="BE90">
        <v>3</v>
      </c>
      <c r="BF90">
        <v>1</v>
      </c>
      <c r="BG90">
        <v>483</v>
      </c>
      <c r="BH90">
        <v>0.3</v>
      </c>
      <c r="BI90" t="s">
        <v>4563</v>
      </c>
      <c r="BJ90" t="s">
        <v>132</v>
      </c>
    </row>
    <row r="91" spans="1:62" x14ac:dyDescent="0.35">
      <c r="A91" s="95" t="s">
        <v>318</v>
      </c>
      <c r="AO91">
        <v>45</v>
      </c>
      <c r="AP91">
        <v>29</v>
      </c>
      <c r="AQ91">
        <v>73</v>
      </c>
      <c r="AR91" s="96">
        <v>1484</v>
      </c>
      <c r="AS91">
        <v>-7</v>
      </c>
      <c r="AT91" t="s">
        <v>129</v>
      </c>
      <c r="AU91">
        <v>16</v>
      </c>
      <c r="AV91" t="s">
        <v>6318</v>
      </c>
      <c r="AW91">
        <v>1607.77</v>
      </c>
      <c r="AX91">
        <v>1626.23</v>
      </c>
      <c r="AY91">
        <v>1658.62</v>
      </c>
      <c r="AZ91">
        <v>1556.92</v>
      </c>
      <c r="BA91">
        <v>1524.53</v>
      </c>
      <c r="BB91">
        <v>1506.07</v>
      </c>
      <c r="BC91">
        <v>13</v>
      </c>
      <c r="BD91">
        <v>5</v>
      </c>
      <c r="BE91">
        <v>7</v>
      </c>
      <c r="BF91" t="s">
        <v>130</v>
      </c>
      <c r="BG91">
        <v>600.70000000000005</v>
      </c>
      <c r="BH91">
        <v>0.4</v>
      </c>
      <c r="BI91" t="s">
        <v>131</v>
      </c>
      <c r="BJ91" t="s">
        <v>4563</v>
      </c>
    </row>
    <row r="92" spans="1:62" x14ac:dyDescent="0.35">
      <c r="A92" s="95" t="s">
        <v>318</v>
      </c>
      <c r="AO92">
        <v>35</v>
      </c>
      <c r="AP92">
        <v>12</v>
      </c>
      <c r="AQ92">
        <v>47</v>
      </c>
      <c r="AR92">
        <v>614</v>
      </c>
      <c r="AS92">
        <v>10</v>
      </c>
      <c r="AT92" t="s">
        <v>129</v>
      </c>
      <c r="AU92">
        <v>38</v>
      </c>
      <c r="AV92" t="s">
        <v>6319</v>
      </c>
      <c r="AW92">
        <v>565.45000000000005</v>
      </c>
      <c r="AX92">
        <v>572.85</v>
      </c>
      <c r="AY92">
        <v>577.04999999999995</v>
      </c>
      <c r="AZ92">
        <v>553.85</v>
      </c>
      <c r="BA92">
        <v>549.65</v>
      </c>
      <c r="BB92">
        <v>542.25</v>
      </c>
      <c r="BC92">
        <v>5</v>
      </c>
      <c r="BD92">
        <v>9</v>
      </c>
      <c r="BE92">
        <v>4</v>
      </c>
      <c r="BF92">
        <v>1</v>
      </c>
      <c r="BG92">
        <v>108.2</v>
      </c>
      <c r="BH92">
        <v>0.2</v>
      </c>
      <c r="BI92" t="s">
        <v>4563</v>
      </c>
      <c r="BJ92" t="s">
        <v>4563</v>
      </c>
    </row>
    <row r="93" spans="1:62" x14ac:dyDescent="0.35">
      <c r="A93" s="95" t="s">
        <v>318</v>
      </c>
      <c r="AO93">
        <v>60</v>
      </c>
      <c r="AP93">
        <v>35</v>
      </c>
      <c r="AQ93">
        <v>53</v>
      </c>
      <c r="AR93" s="96">
        <v>2201</v>
      </c>
      <c r="AS93">
        <v>10</v>
      </c>
      <c r="AT93" t="s">
        <v>129</v>
      </c>
      <c r="AU93">
        <v>31</v>
      </c>
      <c r="AV93" t="s">
        <v>6320</v>
      </c>
      <c r="AW93">
        <v>2020.8</v>
      </c>
      <c r="AX93">
        <v>2037.85</v>
      </c>
      <c r="AY93">
        <v>2060.75</v>
      </c>
      <c r="AZ93">
        <v>1980.85</v>
      </c>
      <c r="BA93">
        <v>1957.95</v>
      </c>
      <c r="BB93">
        <v>1940.9</v>
      </c>
      <c r="BC93">
        <v>4</v>
      </c>
      <c r="BD93">
        <v>6</v>
      </c>
      <c r="BE93">
        <v>4</v>
      </c>
      <c r="BF93" t="s">
        <v>130</v>
      </c>
      <c r="BG93" s="97">
        <v>1001.2</v>
      </c>
      <c r="BH93">
        <v>0.5</v>
      </c>
      <c r="BI93" t="s">
        <v>131</v>
      </c>
      <c r="BJ93" t="s">
        <v>4563</v>
      </c>
    </row>
    <row r="94" spans="1:62" x14ac:dyDescent="0.35">
      <c r="A94" s="95" t="s">
        <v>318</v>
      </c>
      <c r="AO94">
        <v>50</v>
      </c>
      <c r="AP94">
        <v>7</v>
      </c>
      <c r="AQ94">
        <v>73</v>
      </c>
      <c r="AR94" s="96">
        <v>2190</v>
      </c>
      <c r="AS94">
        <v>-6</v>
      </c>
      <c r="AT94" t="s">
        <v>129</v>
      </c>
      <c r="AU94">
        <v>5</v>
      </c>
      <c r="AV94" t="s">
        <v>6321</v>
      </c>
      <c r="AW94">
        <v>2374.83</v>
      </c>
      <c r="AX94">
        <v>2423.62</v>
      </c>
      <c r="AY94">
        <v>2453.5300000000002</v>
      </c>
      <c r="AZ94">
        <v>2296.13</v>
      </c>
      <c r="BA94">
        <v>2266.2199999999998</v>
      </c>
      <c r="BB94">
        <v>2217.4299999999998</v>
      </c>
      <c r="BC94">
        <v>10</v>
      </c>
      <c r="BD94">
        <v>8</v>
      </c>
      <c r="BE94">
        <v>4</v>
      </c>
      <c r="BF94" t="s">
        <v>130</v>
      </c>
      <c r="BG94">
        <v>337</v>
      </c>
      <c r="BH94">
        <v>0.1</v>
      </c>
      <c r="BI94" t="s">
        <v>4563</v>
      </c>
      <c r="BJ94" t="s">
        <v>132</v>
      </c>
    </row>
    <row r="95" spans="1:62" x14ac:dyDescent="0.35">
      <c r="A95" s="95" t="s">
        <v>298</v>
      </c>
      <c r="AO95">
        <v>50</v>
      </c>
      <c r="AP95">
        <v>65</v>
      </c>
      <c r="AQ95">
        <v>43</v>
      </c>
      <c r="AR95">
        <v>145</v>
      </c>
      <c r="AS95">
        <v>26</v>
      </c>
      <c r="AT95" t="s">
        <v>129</v>
      </c>
      <c r="AU95">
        <v>15</v>
      </c>
      <c r="AV95" t="s">
        <v>6322</v>
      </c>
      <c r="AW95">
        <v>116.65</v>
      </c>
      <c r="AX95">
        <v>118.2</v>
      </c>
      <c r="AY95">
        <v>119.1</v>
      </c>
      <c r="AZ95">
        <v>114.2</v>
      </c>
      <c r="BA95">
        <v>113.3</v>
      </c>
      <c r="BB95">
        <v>111.75</v>
      </c>
      <c r="BC95">
        <v>9</v>
      </c>
      <c r="BD95">
        <v>6</v>
      </c>
      <c r="BE95">
        <v>6</v>
      </c>
      <c r="BF95" t="s">
        <v>130</v>
      </c>
      <c r="BG95">
        <v>221.2</v>
      </c>
      <c r="BH95">
        <v>1.9</v>
      </c>
      <c r="BI95" t="s">
        <v>4563</v>
      </c>
      <c r="BJ95" t="s">
        <v>4563</v>
      </c>
    </row>
    <row r="96" spans="1:62" x14ac:dyDescent="0.35">
      <c r="A96" s="95" t="s">
        <v>814</v>
      </c>
      <c r="AO96">
        <v>50</v>
      </c>
      <c r="AP96">
        <v>66</v>
      </c>
      <c r="AQ96">
        <v>38</v>
      </c>
      <c r="AR96">
        <v>703</v>
      </c>
      <c r="AS96">
        <v>26</v>
      </c>
      <c r="AT96" t="s">
        <v>4633</v>
      </c>
      <c r="AU96">
        <v>2</v>
      </c>
      <c r="AV96" t="s">
        <v>6323</v>
      </c>
      <c r="AW96">
        <v>564.13</v>
      </c>
      <c r="AX96">
        <v>571.02</v>
      </c>
      <c r="AY96">
        <v>575.48</v>
      </c>
      <c r="AZ96">
        <v>552.78</v>
      </c>
      <c r="BA96">
        <v>548.32000000000005</v>
      </c>
      <c r="BB96">
        <v>541.42999999999995</v>
      </c>
      <c r="BC96">
        <v>8</v>
      </c>
      <c r="BD96">
        <v>2</v>
      </c>
      <c r="BE96" t="s">
        <v>130</v>
      </c>
      <c r="BF96">
        <v>-0.21</v>
      </c>
      <c r="BG96">
        <v>7</v>
      </c>
      <c r="BH96">
        <v>806.1</v>
      </c>
      <c r="BI96" t="s">
        <v>4563</v>
      </c>
      <c r="BJ96" t="s">
        <v>4563</v>
      </c>
    </row>
    <row r="97" spans="1:62" x14ac:dyDescent="0.35">
      <c r="A97" s="95" t="s">
        <v>814</v>
      </c>
      <c r="AO97">
        <v>70</v>
      </c>
      <c r="AP97">
        <v>22</v>
      </c>
      <c r="AQ97">
        <v>47</v>
      </c>
      <c r="AR97" s="96">
        <v>2088</v>
      </c>
      <c r="AS97">
        <v>3</v>
      </c>
      <c r="AT97" t="s">
        <v>4562</v>
      </c>
      <c r="AU97">
        <v>14</v>
      </c>
      <c r="AV97" t="s">
        <v>6324</v>
      </c>
      <c r="AW97">
        <v>2031.43</v>
      </c>
      <c r="AX97">
        <v>2044.37</v>
      </c>
      <c r="AY97">
        <v>2063.7800000000002</v>
      </c>
      <c r="AZ97">
        <v>1999.08</v>
      </c>
      <c r="BA97">
        <v>1979.67</v>
      </c>
      <c r="BB97">
        <v>1966.73</v>
      </c>
      <c r="BC97">
        <v>5</v>
      </c>
      <c r="BD97">
        <v>6</v>
      </c>
      <c r="BE97">
        <v>2</v>
      </c>
      <c r="BF97" t="s">
        <v>130</v>
      </c>
      <c r="BG97">
        <v>616</v>
      </c>
      <c r="BH97">
        <v>0.3</v>
      </c>
      <c r="BI97" t="s">
        <v>4563</v>
      </c>
      <c r="BJ97" t="s">
        <v>132</v>
      </c>
    </row>
    <row r="98" spans="1:62" x14ac:dyDescent="0.35">
      <c r="A98" s="95" t="s">
        <v>690</v>
      </c>
      <c r="AO98">
        <v>60</v>
      </c>
      <c r="AP98">
        <v>11</v>
      </c>
      <c r="AQ98">
        <v>58</v>
      </c>
      <c r="AR98">
        <v>203</v>
      </c>
      <c r="AS98">
        <v>6</v>
      </c>
      <c r="AT98" t="s">
        <v>4562</v>
      </c>
      <c r="AU98">
        <v>19</v>
      </c>
      <c r="AV98" t="s">
        <v>6325</v>
      </c>
      <c r="AW98">
        <v>193.67</v>
      </c>
      <c r="AX98">
        <v>195.98</v>
      </c>
      <c r="AY98">
        <v>197.57</v>
      </c>
      <c r="AZ98">
        <v>189.77</v>
      </c>
      <c r="BA98">
        <v>188.18</v>
      </c>
      <c r="BB98">
        <v>185.87</v>
      </c>
      <c r="BC98">
        <v>10</v>
      </c>
      <c r="BD98">
        <v>4</v>
      </c>
      <c r="BE98">
        <v>4</v>
      </c>
      <c r="BF98" t="s">
        <v>130</v>
      </c>
      <c r="BG98">
        <v>17.399999999999999</v>
      </c>
      <c r="BH98">
        <v>0.1</v>
      </c>
      <c r="BJ98" t="s">
        <v>132</v>
      </c>
    </row>
    <row r="99" spans="1:62" x14ac:dyDescent="0.35">
      <c r="A99" s="95" t="s">
        <v>690</v>
      </c>
      <c r="AO99">
        <v>70</v>
      </c>
      <c r="AP99">
        <v>46</v>
      </c>
      <c r="AQ99">
        <v>57</v>
      </c>
      <c r="AR99" s="96">
        <v>1143</v>
      </c>
      <c r="AS99">
        <v>26</v>
      </c>
      <c r="AT99" t="s">
        <v>4633</v>
      </c>
      <c r="AU99">
        <v>2</v>
      </c>
      <c r="AV99" t="s">
        <v>6326</v>
      </c>
      <c r="AW99">
        <v>916.62</v>
      </c>
      <c r="AX99">
        <v>927.83</v>
      </c>
      <c r="AY99">
        <v>939.62</v>
      </c>
      <c r="AZ99">
        <v>893.62</v>
      </c>
      <c r="BA99">
        <v>881.83</v>
      </c>
      <c r="BB99">
        <v>870.62</v>
      </c>
      <c r="BC99">
        <v>4</v>
      </c>
      <c r="BD99">
        <v>3</v>
      </c>
      <c r="BE99" t="s">
        <v>130</v>
      </c>
      <c r="BF99">
        <v>-0.63</v>
      </c>
      <c r="BG99">
        <v>9</v>
      </c>
      <c r="BH99">
        <v>325.3</v>
      </c>
      <c r="BI99" t="s">
        <v>131</v>
      </c>
      <c r="BJ99" t="s">
        <v>4563</v>
      </c>
    </row>
    <row r="100" spans="1:62" x14ac:dyDescent="0.35">
      <c r="A100" s="95" t="s">
        <v>240</v>
      </c>
      <c r="AO100" t="s">
        <v>130</v>
      </c>
      <c r="AP100">
        <v>7</v>
      </c>
      <c r="AQ100">
        <v>37</v>
      </c>
      <c r="AS100" t="s">
        <v>4564</v>
      </c>
      <c r="AW100">
        <v>921.33</v>
      </c>
      <c r="AX100">
        <v>946.72</v>
      </c>
      <c r="AY100">
        <v>963.63</v>
      </c>
      <c r="AZ100">
        <v>879.03</v>
      </c>
      <c r="BA100">
        <v>862.12</v>
      </c>
      <c r="BB100">
        <v>836.73</v>
      </c>
      <c r="BC100">
        <v>0.11</v>
      </c>
      <c r="BD100">
        <v>560</v>
      </c>
      <c r="BE100" s="96">
        <v>1002</v>
      </c>
      <c r="BG100">
        <v>-1.55</v>
      </c>
      <c r="BI100" t="s">
        <v>4695</v>
      </c>
    </row>
    <row r="101" spans="1:62" x14ac:dyDescent="0.35">
      <c r="A101" s="95" t="s">
        <v>240</v>
      </c>
      <c r="AO101">
        <v>50</v>
      </c>
      <c r="AP101">
        <v>13</v>
      </c>
      <c r="AQ101">
        <v>51</v>
      </c>
      <c r="AR101" s="96">
        <v>3325</v>
      </c>
      <c r="AS101">
        <v>-9</v>
      </c>
      <c r="AT101" t="s">
        <v>4625</v>
      </c>
      <c r="AU101">
        <v>23</v>
      </c>
      <c r="AV101" t="s">
        <v>6327</v>
      </c>
      <c r="AW101">
        <v>3654.95</v>
      </c>
      <c r="AX101">
        <v>3673.4</v>
      </c>
      <c r="AY101">
        <v>3692.85</v>
      </c>
      <c r="AZ101">
        <v>3617.05</v>
      </c>
      <c r="BA101">
        <v>3597.6</v>
      </c>
      <c r="BB101">
        <v>3579.15</v>
      </c>
      <c r="BC101">
        <v>6</v>
      </c>
      <c r="BD101">
        <v>5</v>
      </c>
      <c r="BE101">
        <v>3</v>
      </c>
      <c r="BF101" t="s">
        <v>130</v>
      </c>
      <c r="BG101">
        <v>776</v>
      </c>
      <c r="BH101">
        <v>0.2</v>
      </c>
      <c r="BI101" t="s">
        <v>131</v>
      </c>
      <c r="BJ101" t="s">
        <v>132</v>
      </c>
    </row>
    <row r="102" spans="1:62" x14ac:dyDescent="0.35">
      <c r="A102" s="95" t="s">
        <v>537</v>
      </c>
      <c r="AO102">
        <v>60</v>
      </c>
      <c r="AP102">
        <v>13</v>
      </c>
      <c r="AQ102">
        <v>73</v>
      </c>
      <c r="AR102" s="96">
        <v>4192</v>
      </c>
      <c r="AS102">
        <v>-14</v>
      </c>
      <c r="AT102" t="s">
        <v>4562</v>
      </c>
      <c r="AU102">
        <v>21</v>
      </c>
      <c r="AV102" t="s">
        <v>6328</v>
      </c>
      <c r="AW102">
        <v>4964.8</v>
      </c>
      <c r="AX102">
        <v>5069.8500000000004</v>
      </c>
      <c r="AY102">
        <v>5132.2</v>
      </c>
      <c r="AZ102">
        <v>4797.3999999999996</v>
      </c>
      <c r="BA102">
        <v>4735.05</v>
      </c>
      <c r="BB102">
        <v>4630</v>
      </c>
      <c r="BC102">
        <v>9</v>
      </c>
      <c r="BD102">
        <v>2</v>
      </c>
      <c r="BE102">
        <v>5</v>
      </c>
      <c r="BF102" t="s">
        <v>130</v>
      </c>
      <c r="BG102">
        <v>476.5</v>
      </c>
      <c r="BH102">
        <v>0.1</v>
      </c>
      <c r="BI102" t="s">
        <v>4639</v>
      </c>
    </row>
    <row r="103" spans="1:62" x14ac:dyDescent="0.35">
      <c r="A103" s="95" t="s">
        <v>537</v>
      </c>
      <c r="AO103">
        <v>50</v>
      </c>
      <c r="AP103">
        <v>10</v>
      </c>
      <c r="AQ103">
        <v>42</v>
      </c>
      <c r="AR103" s="96">
        <v>3834</v>
      </c>
      <c r="AS103">
        <v>8</v>
      </c>
      <c r="AT103" t="s">
        <v>4562</v>
      </c>
      <c r="AU103">
        <v>25</v>
      </c>
      <c r="AV103" t="s">
        <v>6329</v>
      </c>
      <c r="AW103">
        <v>3562.15</v>
      </c>
      <c r="AX103">
        <v>3589.7</v>
      </c>
      <c r="AY103">
        <v>3605.75</v>
      </c>
      <c r="AZ103">
        <v>3518.55</v>
      </c>
      <c r="BA103">
        <v>3502.5</v>
      </c>
      <c r="BB103">
        <v>3474.95</v>
      </c>
      <c r="BC103">
        <v>10</v>
      </c>
      <c r="BD103">
        <v>2</v>
      </c>
      <c r="BE103">
        <v>2</v>
      </c>
      <c r="BF103" t="s">
        <v>130</v>
      </c>
      <c r="BG103">
        <v>452.3</v>
      </c>
      <c r="BH103">
        <v>0.1</v>
      </c>
      <c r="BI103" t="s">
        <v>4651</v>
      </c>
      <c r="BJ103" t="s">
        <v>4639</v>
      </c>
    </row>
    <row r="104" spans="1:62" x14ac:dyDescent="0.35">
      <c r="A104" s="95" t="s">
        <v>6232</v>
      </c>
      <c r="AO104">
        <v>60</v>
      </c>
      <c r="AP104">
        <v>33</v>
      </c>
      <c r="AQ104">
        <v>63</v>
      </c>
      <c r="AR104">
        <v>757</v>
      </c>
      <c r="AS104">
        <v>3</v>
      </c>
      <c r="AT104" t="s">
        <v>129</v>
      </c>
      <c r="AU104">
        <v>2</v>
      </c>
      <c r="AV104" t="s">
        <v>6330</v>
      </c>
      <c r="AW104">
        <v>754.7</v>
      </c>
      <c r="AX104">
        <v>773.7</v>
      </c>
      <c r="AY104">
        <v>795.1</v>
      </c>
      <c r="AZ104">
        <v>714.3</v>
      </c>
      <c r="BA104">
        <v>692.9</v>
      </c>
      <c r="BB104">
        <v>673.9</v>
      </c>
      <c r="BC104">
        <v>5</v>
      </c>
      <c r="BD104">
        <v>6</v>
      </c>
      <c r="BE104">
        <v>5</v>
      </c>
      <c r="BF104" t="s">
        <v>130</v>
      </c>
      <c r="BG104">
        <v>286</v>
      </c>
      <c r="BH104">
        <v>0.4</v>
      </c>
      <c r="BI104" t="s">
        <v>4563</v>
      </c>
      <c r="BJ104" t="s">
        <v>4563</v>
      </c>
    </row>
    <row r="105" spans="1:62" x14ac:dyDescent="0.35">
      <c r="A105" s="95" t="s">
        <v>784</v>
      </c>
      <c r="AO105">
        <v>75</v>
      </c>
      <c r="AP105">
        <v>43</v>
      </c>
      <c r="AQ105">
        <v>61</v>
      </c>
      <c r="AR105" s="96">
        <v>5494</v>
      </c>
      <c r="AS105">
        <v>-5</v>
      </c>
      <c r="AT105" t="s">
        <v>4562</v>
      </c>
      <c r="AU105">
        <v>38</v>
      </c>
      <c r="AV105" t="s">
        <v>6331</v>
      </c>
      <c r="AW105">
        <v>5855.98</v>
      </c>
      <c r="AX105">
        <v>5932.72</v>
      </c>
      <c r="AY105">
        <v>5975.43</v>
      </c>
      <c r="AZ105">
        <v>5736.53</v>
      </c>
      <c r="BA105">
        <v>5693.82</v>
      </c>
      <c r="BB105">
        <v>5617.08</v>
      </c>
      <c r="BC105">
        <v>9</v>
      </c>
      <c r="BD105">
        <v>3</v>
      </c>
      <c r="BE105">
        <v>10</v>
      </c>
      <c r="BF105">
        <v>1</v>
      </c>
      <c r="BG105" s="97">
        <v>2985.7</v>
      </c>
      <c r="BH105">
        <v>0.5</v>
      </c>
      <c r="BI105" t="s">
        <v>4639</v>
      </c>
      <c r="BJ105" t="s">
        <v>4563</v>
      </c>
    </row>
    <row r="106" spans="1:62" x14ac:dyDescent="0.35">
      <c r="A106" s="95" t="s">
        <v>1630</v>
      </c>
      <c r="AO106">
        <v>50</v>
      </c>
      <c r="AP106">
        <v>42</v>
      </c>
      <c r="AQ106">
        <v>51</v>
      </c>
      <c r="AR106" s="96">
        <v>1818</v>
      </c>
      <c r="AS106">
        <v>14</v>
      </c>
      <c r="AT106" t="s">
        <v>129</v>
      </c>
      <c r="AU106">
        <v>6</v>
      </c>
      <c r="AV106" t="s">
        <v>6332</v>
      </c>
      <c r="AW106">
        <v>1633</v>
      </c>
      <c r="AX106">
        <v>1664.5</v>
      </c>
      <c r="AY106">
        <v>1690</v>
      </c>
      <c r="AZ106">
        <v>1576</v>
      </c>
      <c r="BA106">
        <v>1550.5</v>
      </c>
      <c r="BB106">
        <v>1519</v>
      </c>
      <c r="BC106">
        <v>8</v>
      </c>
      <c r="BD106">
        <v>2</v>
      </c>
      <c r="BE106">
        <v>5</v>
      </c>
      <c r="BF106" t="s">
        <v>130</v>
      </c>
      <c r="BG106">
        <v>909.4</v>
      </c>
      <c r="BH106">
        <v>0.6</v>
      </c>
      <c r="BI106" t="s">
        <v>4639</v>
      </c>
      <c r="BJ106" t="s">
        <v>4565</v>
      </c>
    </row>
    <row r="107" spans="1:62" x14ac:dyDescent="0.35">
      <c r="A107" s="95" t="s">
        <v>430</v>
      </c>
      <c r="AO107">
        <v>35</v>
      </c>
      <c r="AP107">
        <v>64</v>
      </c>
      <c r="AQ107">
        <v>43</v>
      </c>
      <c r="AR107">
        <v>621</v>
      </c>
      <c r="AS107">
        <v>31</v>
      </c>
      <c r="AT107" t="s">
        <v>4633</v>
      </c>
      <c r="AU107">
        <v>1</v>
      </c>
      <c r="AV107" t="s">
        <v>6333</v>
      </c>
      <c r="AW107">
        <v>483.08</v>
      </c>
      <c r="AX107">
        <v>491.32</v>
      </c>
      <c r="AY107">
        <v>497.73</v>
      </c>
      <c r="AZ107">
        <v>468.43</v>
      </c>
      <c r="BA107">
        <v>462.02</v>
      </c>
      <c r="BB107">
        <v>453.78</v>
      </c>
      <c r="BC107">
        <v>10</v>
      </c>
      <c r="BD107">
        <v>1</v>
      </c>
      <c r="BE107" t="s">
        <v>130</v>
      </c>
      <c r="BF107">
        <v>0.39</v>
      </c>
      <c r="BG107">
        <v>5</v>
      </c>
      <c r="BH107">
        <v>729</v>
      </c>
      <c r="BI107" t="s">
        <v>4563</v>
      </c>
      <c r="BJ107" t="s">
        <v>131</v>
      </c>
    </row>
    <row r="108" spans="1:62" x14ac:dyDescent="0.35">
      <c r="A108" s="95" t="s">
        <v>430</v>
      </c>
      <c r="AO108">
        <v>90</v>
      </c>
      <c r="AP108">
        <v>35</v>
      </c>
      <c r="AQ108">
        <v>68</v>
      </c>
      <c r="AR108">
        <v>250</v>
      </c>
      <c r="AS108">
        <v>6</v>
      </c>
      <c r="AT108" t="s">
        <v>4633</v>
      </c>
      <c r="AU108">
        <v>2</v>
      </c>
      <c r="AV108" t="s">
        <v>6334</v>
      </c>
      <c r="AW108">
        <v>241.17</v>
      </c>
      <c r="AX108">
        <v>247.13</v>
      </c>
      <c r="AY108">
        <v>250.97</v>
      </c>
      <c r="AZ108">
        <v>231.37</v>
      </c>
      <c r="BA108">
        <v>227.53</v>
      </c>
      <c r="BB108">
        <v>221.57</v>
      </c>
      <c r="BC108">
        <v>19</v>
      </c>
      <c r="BD108">
        <v>1</v>
      </c>
      <c r="BE108">
        <v>4</v>
      </c>
      <c r="BF108">
        <v>1</v>
      </c>
      <c r="BG108">
        <v>84.3</v>
      </c>
      <c r="BH108">
        <v>0.4</v>
      </c>
      <c r="BI108" t="s">
        <v>4563</v>
      </c>
      <c r="BJ108" t="s">
        <v>4563</v>
      </c>
    </row>
    <row r="109" spans="1:62" x14ac:dyDescent="0.35">
      <c r="A109" s="95" t="s">
        <v>510</v>
      </c>
      <c r="AO109">
        <v>80</v>
      </c>
      <c r="AP109">
        <v>17</v>
      </c>
      <c r="AQ109">
        <v>65</v>
      </c>
      <c r="AS109" t="s">
        <v>4564</v>
      </c>
      <c r="AW109">
        <v>7526.32</v>
      </c>
      <c r="AX109">
        <v>7763.98</v>
      </c>
      <c r="AY109">
        <v>8026.37</v>
      </c>
      <c r="AZ109">
        <v>7026.27</v>
      </c>
      <c r="BA109">
        <v>6763.88</v>
      </c>
      <c r="BB109">
        <v>6526.22</v>
      </c>
      <c r="BC109">
        <v>1</v>
      </c>
      <c r="BD109">
        <v>1</v>
      </c>
      <c r="BE109" t="s">
        <v>130</v>
      </c>
      <c r="BF109">
        <v>-0.4</v>
      </c>
      <c r="BG109">
        <v>12</v>
      </c>
      <c r="BH109" s="97">
        <v>1596.7</v>
      </c>
      <c r="BI109" t="s">
        <v>131</v>
      </c>
      <c r="BJ109" t="s">
        <v>131</v>
      </c>
    </row>
    <row r="110" spans="1:62" x14ac:dyDescent="0.35">
      <c r="A110" s="95" t="s">
        <v>671</v>
      </c>
      <c r="AO110">
        <v>60</v>
      </c>
      <c r="AP110">
        <v>21</v>
      </c>
      <c r="AQ110">
        <v>57</v>
      </c>
      <c r="AR110">
        <v>522</v>
      </c>
      <c r="AS110">
        <v>2</v>
      </c>
      <c r="AT110" t="s">
        <v>129</v>
      </c>
      <c r="AU110">
        <v>23</v>
      </c>
      <c r="AV110" t="s">
        <v>6335</v>
      </c>
      <c r="AW110">
        <v>521.67999999999995</v>
      </c>
      <c r="AX110">
        <v>531.07000000000005</v>
      </c>
      <c r="AY110">
        <v>537.13</v>
      </c>
      <c r="AZ110">
        <v>506.23</v>
      </c>
      <c r="BA110">
        <v>500.17</v>
      </c>
      <c r="BB110">
        <v>490.78</v>
      </c>
      <c r="BC110">
        <v>11</v>
      </c>
      <c r="BD110">
        <v>5</v>
      </c>
      <c r="BE110">
        <v>6</v>
      </c>
      <c r="BF110">
        <v>1</v>
      </c>
      <c r="BG110">
        <v>137.80000000000001</v>
      </c>
      <c r="BH110">
        <v>0.3</v>
      </c>
      <c r="BI110" t="s">
        <v>4563</v>
      </c>
      <c r="BJ110" t="s">
        <v>4563</v>
      </c>
    </row>
    <row r="111" spans="1:62" x14ac:dyDescent="0.35">
      <c r="A111" s="95" t="s">
        <v>534</v>
      </c>
      <c r="AO111">
        <v>60</v>
      </c>
      <c r="AP111">
        <v>12</v>
      </c>
      <c r="AQ111">
        <v>74</v>
      </c>
      <c r="AS111" t="s">
        <v>4564</v>
      </c>
      <c r="AW111">
        <v>523.17999999999995</v>
      </c>
      <c r="AX111">
        <v>533.07000000000005</v>
      </c>
      <c r="AY111">
        <v>544.63</v>
      </c>
      <c r="AZ111">
        <v>501.73</v>
      </c>
      <c r="BA111">
        <v>490.17</v>
      </c>
      <c r="BB111">
        <v>480.28</v>
      </c>
      <c r="BC111">
        <v>3</v>
      </c>
      <c r="BD111">
        <v>5</v>
      </c>
      <c r="BE111" t="s">
        <v>130</v>
      </c>
      <c r="BF111">
        <v>-2.1</v>
      </c>
      <c r="BG111">
        <v>10</v>
      </c>
      <c r="BH111">
        <v>97.6</v>
      </c>
      <c r="BI111" t="s">
        <v>131</v>
      </c>
      <c r="BJ111" t="s">
        <v>4563</v>
      </c>
    </row>
    <row r="112" spans="1:62" x14ac:dyDescent="0.35">
      <c r="A112" s="95" t="s">
        <v>597</v>
      </c>
      <c r="AO112">
        <v>70</v>
      </c>
      <c r="AP112">
        <v>28</v>
      </c>
      <c r="AQ112">
        <v>52</v>
      </c>
      <c r="AR112" s="96">
        <v>1773</v>
      </c>
      <c r="AS112">
        <v>10</v>
      </c>
      <c r="AT112" t="s">
        <v>129</v>
      </c>
      <c r="AU112">
        <v>12</v>
      </c>
      <c r="AV112" t="s">
        <v>6336</v>
      </c>
      <c r="AW112">
        <v>1654.4</v>
      </c>
      <c r="AX112">
        <v>1697</v>
      </c>
      <c r="AY112">
        <v>1721.7</v>
      </c>
      <c r="AZ112">
        <v>1587.1</v>
      </c>
      <c r="BA112">
        <v>1562.4</v>
      </c>
      <c r="BB112">
        <v>1519.8</v>
      </c>
      <c r="BC112">
        <v>11</v>
      </c>
      <c r="BD112">
        <v>7</v>
      </c>
      <c r="BE112">
        <v>4</v>
      </c>
      <c r="BF112" t="s">
        <v>130</v>
      </c>
      <c r="BG112">
        <v>520.4</v>
      </c>
      <c r="BH112">
        <v>0.3</v>
      </c>
      <c r="BI112" t="s">
        <v>4563</v>
      </c>
      <c r="BJ112" t="s">
        <v>132</v>
      </c>
    </row>
    <row r="113" spans="1:62" x14ac:dyDescent="0.35">
      <c r="A113" s="95" t="s">
        <v>369</v>
      </c>
      <c r="AO113">
        <v>70</v>
      </c>
      <c r="AP113">
        <v>45</v>
      </c>
      <c r="AQ113">
        <v>52</v>
      </c>
      <c r="AR113">
        <v>234</v>
      </c>
      <c r="AS113">
        <v>18</v>
      </c>
      <c r="AT113" t="s">
        <v>129</v>
      </c>
      <c r="AU113">
        <v>9</v>
      </c>
      <c r="AV113" t="s">
        <v>6337</v>
      </c>
      <c r="AW113">
        <v>202.17</v>
      </c>
      <c r="AX113">
        <v>205.08</v>
      </c>
      <c r="AY113">
        <v>208.07</v>
      </c>
      <c r="AZ113">
        <v>196.27</v>
      </c>
      <c r="BA113">
        <v>193.28</v>
      </c>
      <c r="BB113">
        <v>190.37</v>
      </c>
      <c r="BC113">
        <v>7</v>
      </c>
      <c r="BD113">
        <v>5</v>
      </c>
      <c r="BE113">
        <v>3</v>
      </c>
      <c r="BF113" t="s">
        <v>130</v>
      </c>
      <c r="BG113">
        <v>104.8</v>
      </c>
      <c r="BH113">
        <v>0.5</v>
      </c>
      <c r="BI113" t="s">
        <v>4563</v>
      </c>
      <c r="BJ113" t="s">
        <v>4563</v>
      </c>
    </row>
    <row r="114" spans="1:62" x14ac:dyDescent="0.35">
      <c r="A114" s="95" t="s">
        <v>369</v>
      </c>
      <c r="AO114">
        <v>65</v>
      </c>
      <c r="AP114">
        <v>50</v>
      </c>
      <c r="AQ114">
        <v>52</v>
      </c>
      <c r="AR114">
        <v>106</v>
      </c>
      <c r="AS114">
        <v>26</v>
      </c>
      <c r="AT114" t="s">
        <v>129</v>
      </c>
      <c r="AU114">
        <v>14</v>
      </c>
      <c r="AV114" t="s">
        <v>6338</v>
      </c>
      <c r="AW114">
        <v>85.43</v>
      </c>
      <c r="AX114">
        <v>86.67</v>
      </c>
      <c r="AY114">
        <v>87.48</v>
      </c>
      <c r="AZ114">
        <v>83.38</v>
      </c>
      <c r="BA114">
        <v>82.57</v>
      </c>
      <c r="BB114">
        <v>81.33</v>
      </c>
      <c r="BC114">
        <v>8</v>
      </c>
      <c r="BD114">
        <v>3</v>
      </c>
      <c r="BE114">
        <v>6</v>
      </c>
      <c r="BF114" t="s">
        <v>130</v>
      </c>
      <c r="BG114">
        <v>78.900000000000006</v>
      </c>
      <c r="BH114">
        <v>0.9</v>
      </c>
      <c r="BI114" t="s">
        <v>4563</v>
      </c>
      <c r="BJ114" t="s">
        <v>4563</v>
      </c>
    </row>
    <row r="115" spans="1:62" x14ac:dyDescent="0.35">
      <c r="A115" s="95" t="s">
        <v>744</v>
      </c>
      <c r="AO115">
        <v>80</v>
      </c>
      <c r="AP115">
        <v>15</v>
      </c>
      <c r="AQ115">
        <v>69</v>
      </c>
      <c r="AS115" t="s">
        <v>4564</v>
      </c>
      <c r="AV115" t="s">
        <v>6339</v>
      </c>
      <c r="AW115">
        <v>5699.18</v>
      </c>
      <c r="AX115">
        <v>5761.82</v>
      </c>
      <c r="AY115">
        <v>5836.63</v>
      </c>
      <c r="AZ115">
        <v>5561.73</v>
      </c>
      <c r="BA115">
        <v>5486.92</v>
      </c>
      <c r="BB115">
        <v>5424.28</v>
      </c>
      <c r="BC115">
        <v>2</v>
      </c>
      <c r="BD115">
        <v>2</v>
      </c>
      <c r="BE115" t="s">
        <v>130</v>
      </c>
      <c r="BF115">
        <v>0.34</v>
      </c>
      <c r="BG115">
        <v>23</v>
      </c>
      <c r="BH115">
        <v>614</v>
      </c>
      <c r="BI115" t="s">
        <v>4651</v>
      </c>
      <c r="BJ115" t="s">
        <v>4563</v>
      </c>
    </row>
    <row r="116" spans="1:62" x14ac:dyDescent="0.35">
      <c r="A116" s="95" t="s">
        <v>270</v>
      </c>
      <c r="AO116">
        <v>50</v>
      </c>
      <c r="AP116">
        <v>22</v>
      </c>
      <c r="AQ116">
        <v>68</v>
      </c>
      <c r="AR116" s="96">
        <v>2316</v>
      </c>
      <c r="AS116">
        <v>-24</v>
      </c>
      <c r="AT116" t="s">
        <v>4625</v>
      </c>
      <c r="AU116">
        <v>21</v>
      </c>
      <c r="AV116" t="s">
        <v>6340</v>
      </c>
      <c r="AW116">
        <v>3129.32</v>
      </c>
      <c r="AX116">
        <v>3207.13</v>
      </c>
      <c r="AY116">
        <v>3289.27</v>
      </c>
      <c r="AZ116">
        <v>2969.37</v>
      </c>
      <c r="BA116">
        <v>2887.23</v>
      </c>
      <c r="BB116">
        <v>2809.42</v>
      </c>
      <c r="BC116">
        <v>13</v>
      </c>
      <c r="BD116">
        <v>4</v>
      </c>
      <c r="BE116">
        <v>7</v>
      </c>
      <c r="BF116">
        <v>1</v>
      </c>
      <c r="BG116" s="97">
        <v>1088.7</v>
      </c>
      <c r="BH116">
        <v>0.4</v>
      </c>
      <c r="BI116" t="s">
        <v>4639</v>
      </c>
      <c r="BJ116" t="s">
        <v>4563</v>
      </c>
    </row>
    <row r="117" spans="1:62" x14ac:dyDescent="0.35">
      <c r="A117" s="95" t="s">
        <v>414</v>
      </c>
      <c r="AO117">
        <v>60</v>
      </c>
      <c r="AP117">
        <v>41</v>
      </c>
      <c r="AQ117">
        <v>62</v>
      </c>
      <c r="AR117">
        <v>249</v>
      </c>
      <c r="AS117">
        <v>-4</v>
      </c>
      <c r="AT117" t="s">
        <v>4562</v>
      </c>
      <c r="AU117">
        <v>18</v>
      </c>
      <c r="AV117" t="s">
        <v>6341</v>
      </c>
      <c r="AW117">
        <v>264.08</v>
      </c>
      <c r="AX117">
        <v>269.17</v>
      </c>
      <c r="AY117">
        <v>272.77999999999997</v>
      </c>
      <c r="AZ117">
        <v>255.38</v>
      </c>
      <c r="BA117">
        <v>251.77</v>
      </c>
      <c r="BB117">
        <v>246.68</v>
      </c>
      <c r="BC117">
        <v>8</v>
      </c>
      <c r="BD117">
        <v>3</v>
      </c>
      <c r="BE117">
        <v>4</v>
      </c>
      <c r="BF117" t="s">
        <v>130</v>
      </c>
      <c r="BG117">
        <v>171.2</v>
      </c>
      <c r="BH117">
        <v>0.7</v>
      </c>
      <c r="BI117" t="s">
        <v>4563</v>
      </c>
      <c r="BJ117" t="s">
        <v>4563</v>
      </c>
    </row>
    <row r="118" spans="1:62" x14ac:dyDescent="0.35">
      <c r="A118" s="95" t="s">
        <v>890</v>
      </c>
      <c r="AO118">
        <v>70</v>
      </c>
      <c r="AP118">
        <v>34</v>
      </c>
      <c r="AQ118">
        <v>62</v>
      </c>
      <c r="AS118" t="s">
        <v>4564</v>
      </c>
      <c r="AT118" t="s">
        <v>4633</v>
      </c>
      <c r="AU118">
        <v>1</v>
      </c>
      <c r="AV118" t="s">
        <v>6342</v>
      </c>
      <c r="AW118">
        <v>388.78</v>
      </c>
      <c r="AX118">
        <v>395.27</v>
      </c>
      <c r="AY118">
        <v>402.83</v>
      </c>
      <c r="AZ118">
        <v>374.73</v>
      </c>
      <c r="BA118">
        <v>367.17</v>
      </c>
      <c r="BB118">
        <v>360.68</v>
      </c>
      <c r="BC118">
        <v>4</v>
      </c>
      <c r="BD118">
        <v>3</v>
      </c>
      <c r="BE118" t="s">
        <v>130</v>
      </c>
      <c r="BF118">
        <v>-0.63</v>
      </c>
      <c r="BG118">
        <v>9</v>
      </c>
      <c r="BH118">
        <v>194.3</v>
      </c>
      <c r="BI118" t="s">
        <v>131</v>
      </c>
      <c r="BJ118" t="s">
        <v>4565</v>
      </c>
    </row>
    <row r="119" spans="1:62" x14ac:dyDescent="0.35">
      <c r="A119" s="95" t="s">
        <v>1283</v>
      </c>
      <c r="AO119">
        <v>55</v>
      </c>
      <c r="AP119">
        <v>29</v>
      </c>
      <c r="AQ119">
        <v>64</v>
      </c>
      <c r="AR119" s="96">
        <v>1147</v>
      </c>
      <c r="AS119">
        <v>6</v>
      </c>
      <c r="AT119" t="s">
        <v>129</v>
      </c>
      <c r="AU119">
        <v>8</v>
      </c>
      <c r="AV119" t="s">
        <v>6343</v>
      </c>
      <c r="AW119">
        <v>1092.57</v>
      </c>
      <c r="AX119">
        <v>1107.28</v>
      </c>
      <c r="AY119">
        <v>1128.57</v>
      </c>
      <c r="AZ119">
        <v>1056.57</v>
      </c>
      <c r="BA119">
        <v>1035.28</v>
      </c>
      <c r="BB119">
        <v>1020.57</v>
      </c>
      <c r="BC119">
        <v>7</v>
      </c>
      <c r="BD119">
        <v>3</v>
      </c>
      <c r="BE119">
        <v>6</v>
      </c>
      <c r="BF119" t="s">
        <v>130</v>
      </c>
      <c r="BG119">
        <v>478.7</v>
      </c>
      <c r="BH119">
        <v>0.4</v>
      </c>
      <c r="BI119" t="s">
        <v>4563</v>
      </c>
      <c r="BJ119" t="s">
        <v>4563</v>
      </c>
    </row>
    <row r="120" spans="1:62" x14ac:dyDescent="0.35">
      <c r="A120" s="95" t="s">
        <v>928</v>
      </c>
      <c r="AO120">
        <v>85</v>
      </c>
      <c r="AP120">
        <v>30</v>
      </c>
      <c r="AQ120">
        <v>43</v>
      </c>
      <c r="AR120" s="96">
        <v>4253</v>
      </c>
      <c r="AS120">
        <v>-6</v>
      </c>
      <c r="AT120" t="s">
        <v>4625</v>
      </c>
      <c r="AU120">
        <v>8</v>
      </c>
      <c r="AV120" t="s">
        <v>6344</v>
      </c>
      <c r="AW120">
        <v>4570.8500000000004</v>
      </c>
      <c r="AX120">
        <v>4614.5</v>
      </c>
      <c r="AY120">
        <v>4639</v>
      </c>
      <c r="AZ120">
        <v>4502.7</v>
      </c>
      <c r="BA120">
        <v>4478.2</v>
      </c>
      <c r="BB120">
        <v>4434.55</v>
      </c>
      <c r="BC120">
        <v>9</v>
      </c>
      <c r="BD120">
        <v>5</v>
      </c>
      <c r="BE120">
        <v>2</v>
      </c>
      <c r="BF120" t="s">
        <v>130</v>
      </c>
      <c r="BG120" s="97">
        <v>1434.8</v>
      </c>
      <c r="BH120">
        <v>0.3</v>
      </c>
      <c r="BI120" t="s">
        <v>131</v>
      </c>
      <c r="BJ120" t="s">
        <v>4563</v>
      </c>
    </row>
    <row r="121" spans="1:62" x14ac:dyDescent="0.35">
      <c r="A121" s="95" t="s">
        <v>516</v>
      </c>
      <c r="AO121" t="s">
        <v>130</v>
      </c>
      <c r="AP121">
        <v>31</v>
      </c>
      <c r="AQ121">
        <v>69</v>
      </c>
      <c r="AR121">
        <v>376</v>
      </c>
      <c r="AS121">
        <v>13</v>
      </c>
      <c r="AT121" t="s">
        <v>129</v>
      </c>
      <c r="AU121">
        <v>11</v>
      </c>
      <c r="AV121" t="s">
        <v>6345</v>
      </c>
      <c r="AW121">
        <v>336.45</v>
      </c>
      <c r="AX121">
        <v>339.45</v>
      </c>
      <c r="AY121">
        <v>343.75</v>
      </c>
      <c r="AZ121">
        <v>329.15</v>
      </c>
      <c r="BA121">
        <v>324.85000000000002</v>
      </c>
      <c r="BB121">
        <v>321.85000000000002</v>
      </c>
      <c r="BC121">
        <v>12</v>
      </c>
      <c r="BD121">
        <v>2</v>
      </c>
      <c r="BE121">
        <v>6</v>
      </c>
      <c r="BF121">
        <v>1</v>
      </c>
      <c r="BG121">
        <v>136</v>
      </c>
      <c r="BH121">
        <v>0.4</v>
      </c>
      <c r="BI121" t="s">
        <v>4563</v>
      </c>
      <c r="BJ121" t="s">
        <v>4563</v>
      </c>
    </row>
    <row r="122" spans="1:62" x14ac:dyDescent="0.35">
      <c r="A122" s="95" t="s">
        <v>615</v>
      </c>
      <c r="AO122">
        <v>35</v>
      </c>
      <c r="AP122">
        <v>34</v>
      </c>
      <c r="AQ122">
        <v>45</v>
      </c>
      <c r="AR122">
        <v>752</v>
      </c>
      <c r="AS122">
        <v>19</v>
      </c>
      <c r="AT122" t="s">
        <v>4633</v>
      </c>
      <c r="AU122">
        <v>7</v>
      </c>
      <c r="AV122" t="s">
        <v>6346</v>
      </c>
      <c r="AW122">
        <v>638.83000000000004</v>
      </c>
      <c r="AX122">
        <v>646.82000000000005</v>
      </c>
      <c r="AY122">
        <v>658.73</v>
      </c>
      <c r="AZ122">
        <v>618.92999999999995</v>
      </c>
      <c r="BA122">
        <v>607.02</v>
      </c>
      <c r="BB122">
        <v>599.03</v>
      </c>
      <c r="BC122">
        <v>3</v>
      </c>
      <c r="BD122">
        <v>4</v>
      </c>
      <c r="BE122" t="s">
        <v>130</v>
      </c>
      <c r="BF122">
        <v>-0.3</v>
      </c>
      <c r="BG122">
        <v>9</v>
      </c>
      <c r="BH122">
        <v>473</v>
      </c>
      <c r="BI122" t="s">
        <v>4565</v>
      </c>
      <c r="BJ122" t="s">
        <v>131</v>
      </c>
    </row>
    <row r="123" spans="1:62" x14ac:dyDescent="0.35">
      <c r="A123" s="95" t="s">
        <v>615</v>
      </c>
      <c r="AO123">
        <v>85</v>
      </c>
      <c r="AP123">
        <v>34</v>
      </c>
      <c r="AQ123">
        <v>73</v>
      </c>
      <c r="AR123">
        <v>266</v>
      </c>
      <c r="AS123">
        <v>-13</v>
      </c>
      <c r="AT123" t="s">
        <v>4633</v>
      </c>
      <c r="AU123">
        <v>5</v>
      </c>
      <c r="AV123" t="s">
        <v>6347</v>
      </c>
      <c r="AW123">
        <v>321.2</v>
      </c>
      <c r="AX123">
        <v>334.65</v>
      </c>
      <c r="AY123">
        <v>354.35</v>
      </c>
      <c r="AZ123">
        <v>288.05</v>
      </c>
      <c r="BA123">
        <v>268.35000000000002</v>
      </c>
      <c r="BB123">
        <v>254.9</v>
      </c>
      <c r="BC123">
        <v>18</v>
      </c>
      <c r="BD123">
        <v>2</v>
      </c>
      <c r="BE123">
        <v>9</v>
      </c>
      <c r="BF123" t="s">
        <v>130</v>
      </c>
      <c r="BG123">
        <v>116.1</v>
      </c>
      <c r="BH123">
        <v>0.4</v>
      </c>
      <c r="BI123" t="s">
        <v>4563</v>
      </c>
      <c r="BJ123" t="s">
        <v>4563</v>
      </c>
    </row>
    <row r="124" spans="1:62" x14ac:dyDescent="0.35">
      <c r="A124" s="95" t="s">
        <v>1532</v>
      </c>
      <c r="AO124">
        <v>90</v>
      </c>
      <c r="AP124">
        <v>36</v>
      </c>
      <c r="AQ124">
        <v>64</v>
      </c>
      <c r="AR124" s="96">
        <v>3042</v>
      </c>
      <c r="AS124">
        <v>13</v>
      </c>
      <c r="AT124" t="s">
        <v>129</v>
      </c>
      <c r="AU124">
        <v>8</v>
      </c>
      <c r="AV124" t="s">
        <v>6348</v>
      </c>
      <c r="AW124">
        <v>2711.17</v>
      </c>
      <c r="AX124">
        <v>2732.18</v>
      </c>
      <c r="AY124">
        <v>2759.47</v>
      </c>
      <c r="AZ124">
        <v>2662.87</v>
      </c>
      <c r="BA124">
        <v>2635.58</v>
      </c>
      <c r="BB124">
        <v>2614.5700000000002</v>
      </c>
      <c r="BC124">
        <v>6</v>
      </c>
      <c r="BD124">
        <v>6</v>
      </c>
      <c r="BE124">
        <v>4</v>
      </c>
      <c r="BF124" t="s">
        <v>130</v>
      </c>
      <c r="BG124" s="97">
        <v>1095.0999999999999</v>
      </c>
      <c r="BH124">
        <v>0.4</v>
      </c>
      <c r="BI124" t="s">
        <v>131</v>
      </c>
      <c r="BJ124" t="s">
        <v>4563</v>
      </c>
    </row>
    <row r="125" spans="1:62" x14ac:dyDescent="0.35">
      <c r="A125" s="95" t="s">
        <v>288</v>
      </c>
      <c r="AO125">
        <v>70</v>
      </c>
      <c r="AP125">
        <v>45</v>
      </c>
      <c r="AQ125">
        <v>68</v>
      </c>
      <c r="AR125">
        <v>94</v>
      </c>
      <c r="AS125">
        <v>9</v>
      </c>
      <c r="AT125" t="s">
        <v>129</v>
      </c>
      <c r="AU125">
        <v>13</v>
      </c>
      <c r="AV125" t="s">
        <v>6349</v>
      </c>
      <c r="AW125">
        <v>90.33</v>
      </c>
      <c r="AX125">
        <v>93.62</v>
      </c>
      <c r="AY125">
        <v>95.53</v>
      </c>
      <c r="AZ125">
        <v>85.13</v>
      </c>
      <c r="BA125">
        <v>83.22</v>
      </c>
      <c r="BB125">
        <v>79.930000000000007</v>
      </c>
      <c r="BC125">
        <v>11</v>
      </c>
      <c r="BD125">
        <v>2</v>
      </c>
      <c r="BE125">
        <v>5</v>
      </c>
      <c r="BF125" t="s">
        <v>130</v>
      </c>
      <c r="BG125">
        <v>62.9</v>
      </c>
      <c r="BH125">
        <v>0.7</v>
      </c>
      <c r="BI125" t="s">
        <v>4563</v>
      </c>
      <c r="BJ125" t="s">
        <v>4563</v>
      </c>
    </row>
    <row r="126" spans="1:62" x14ac:dyDescent="0.35">
      <c r="A126" s="95" t="s">
        <v>619</v>
      </c>
      <c r="AO126">
        <v>35</v>
      </c>
      <c r="AP126">
        <v>9</v>
      </c>
      <c r="AQ126">
        <v>78</v>
      </c>
      <c r="AR126">
        <v>250</v>
      </c>
      <c r="AS126">
        <v>4</v>
      </c>
      <c r="AT126" t="s">
        <v>4633</v>
      </c>
      <c r="AU126">
        <v>1</v>
      </c>
      <c r="AV126" t="s">
        <v>6350</v>
      </c>
      <c r="AW126">
        <v>245.93</v>
      </c>
      <c r="AX126">
        <v>252.02</v>
      </c>
      <c r="AY126">
        <v>258.13</v>
      </c>
      <c r="AZ126">
        <v>233.73</v>
      </c>
      <c r="BA126">
        <v>227.62</v>
      </c>
      <c r="BB126">
        <v>221.53</v>
      </c>
      <c r="BC126">
        <v>11</v>
      </c>
      <c r="BD126">
        <v>7</v>
      </c>
      <c r="BE126">
        <v>6</v>
      </c>
      <c r="BF126" t="s">
        <v>130</v>
      </c>
      <c r="BG126">
        <v>36.5</v>
      </c>
      <c r="BH126">
        <v>0.2</v>
      </c>
      <c r="BI126" t="s">
        <v>132</v>
      </c>
      <c r="BJ126" t="s">
        <v>132</v>
      </c>
    </row>
    <row r="127" spans="1:62" x14ac:dyDescent="0.35">
      <c r="A127" s="95" t="s">
        <v>619</v>
      </c>
      <c r="AO127">
        <v>60</v>
      </c>
      <c r="AP127">
        <v>14</v>
      </c>
      <c r="AQ127">
        <v>77</v>
      </c>
      <c r="AR127">
        <v>291</v>
      </c>
      <c r="AS127">
        <v>-17</v>
      </c>
      <c r="AT127" t="s">
        <v>4562</v>
      </c>
      <c r="AU127">
        <v>5</v>
      </c>
      <c r="AV127" t="s">
        <v>6351</v>
      </c>
      <c r="AW127">
        <v>363.97</v>
      </c>
      <c r="AX127">
        <v>376.73</v>
      </c>
      <c r="AY127">
        <v>385.72</v>
      </c>
      <c r="AZ127">
        <v>342.22</v>
      </c>
      <c r="BA127">
        <v>333.23</v>
      </c>
      <c r="BB127">
        <v>320.47000000000003</v>
      </c>
      <c r="BC127">
        <v>11</v>
      </c>
      <c r="BD127">
        <v>5</v>
      </c>
      <c r="BE127">
        <v>7</v>
      </c>
      <c r="BF127" t="s">
        <v>130</v>
      </c>
      <c r="BG127">
        <v>38.9</v>
      </c>
      <c r="BH127">
        <v>0.1</v>
      </c>
      <c r="BI127" t="s">
        <v>132</v>
      </c>
      <c r="BJ127" t="s">
        <v>132</v>
      </c>
    </row>
    <row r="128" spans="1:62" x14ac:dyDescent="0.35">
      <c r="A128" s="95" t="s">
        <v>619</v>
      </c>
      <c r="AO128">
        <v>75</v>
      </c>
      <c r="AP128">
        <v>16</v>
      </c>
      <c r="AQ128">
        <v>61</v>
      </c>
      <c r="AS128" t="s">
        <v>4564</v>
      </c>
      <c r="AW128">
        <v>5493.45</v>
      </c>
      <c r="AX128">
        <v>5519.2</v>
      </c>
      <c r="AY128">
        <v>5555.4</v>
      </c>
      <c r="AZ128">
        <v>5431.5</v>
      </c>
      <c r="BA128">
        <v>5395.3</v>
      </c>
      <c r="BB128">
        <v>5369.55</v>
      </c>
      <c r="BC128" t="s">
        <v>130</v>
      </c>
      <c r="BD128">
        <v>3</v>
      </c>
      <c r="BE128" t="s">
        <v>130</v>
      </c>
      <c r="BF128">
        <v>-0.34</v>
      </c>
      <c r="BG128">
        <v>7</v>
      </c>
      <c r="BH128">
        <v>777.7</v>
      </c>
      <c r="BI128" t="s">
        <v>4563</v>
      </c>
      <c r="BJ128" t="s">
        <v>4639</v>
      </c>
    </row>
    <row r="129" spans="1:62" x14ac:dyDescent="0.35">
      <c r="A129" s="95" t="s">
        <v>1355</v>
      </c>
      <c r="AO129">
        <v>50</v>
      </c>
      <c r="AP129">
        <v>25</v>
      </c>
      <c r="AQ129">
        <v>52</v>
      </c>
      <c r="AR129" s="96">
        <v>1513</v>
      </c>
      <c r="AS129">
        <v>-2</v>
      </c>
      <c r="AT129" t="s">
        <v>4562</v>
      </c>
      <c r="AU129">
        <v>15</v>
      </c>
      <c r="AV129" t="s">
        <v>6352</v>
      </c>
      <c r="AW129">
        <v>1573.93</v>
      </c>
      <c r="AX129">
        <v>1601.27</v>
      </c>
      <c r="AY129">
        <v>1618.23</v>
      </c>
      <c r="AZ129">
        <v>1529.63</v>
      </c>
      <c r="BA129">
        <v>1512.67</v>
      </c>
      <c r="BB129">
        <v>1485.33</v>
      </c>
      <c r="BC129">
        <v>6</v>
      </c>
      <c r="BD129">
        <v>4</v>
      </c>
      <c r="BE129">
        <v>3</v>
      </c>
      <c r="BF129" t="s">
        <v>130</v>
      </c>
      <c r="BG129">
        <v>700.9</v>
      </c>
      <c r="BH129">
        <v>0.5</v>
      </c>
      <c r="BI129" t="s">
        <v>131</v>
      </c>
      <c r="BJ129" t="s">
        <v>4563</v>
      </c>
    </row>
    <row r="130" spans="1:62" x14ac:dyDescent="0.35">
      <c r="A130" s="95" t="s">
        <v>656</v>
      </c>
      <c r="AO130">
        <v>55</v>
      </c>
      <c r="AP130">
        <v>16</v>
      </c>
      <c r="AQ130">
        <v>56</v>
      </c>
      <c r="AR130" s="96">
        <v>1408</v>
      </c>
      <c r="AS130">
        <v>-1</v>
      </c>
      <c r="AT130" t="s">
        <v>4562</v>
      </c>
      <c r="AU130">
        <v>5</v>
      </c>
      <c r="AV130" t="s">
        <v>6353</v>
      </c>
      <c r="AW130">
        <v>1431.23</v>
      </c>
      <c r="AX130">
        <v>1442.07</v>
      </c>
      <c r="AY130">
        <v>1459.13</v>
      </c>
      <c r="AZ130">
        <v>1403.33</v>
      </c>
      <c r="BA130">
        <v>1386.27</v>
      </c>
      <c r="BB130">
        <v>1375.43</v>
      </c>
      <c r="BC130">
        <v>5</v>
      </c>
      <c r="BD130">
        <v>6</v>
      </c>
      <c r="BE130">
        <v>4</v>
      </c>
      <c r="BF130" t="s">
        <v>130</v>
      </c>
      <c r="BG130">
        <v>291.8</v>
      </c>
      <c r="BH130">
        <v>0.2</v>
      </c>
      <c r="BI130" t="s">
        <v>4565</v>
      </c>
      <c r="BJ130" t="s">
        <v>132</v>
      </c>
    </row>
    <row r="131" spans="1:62" x14ac:dyDescent="0.35">
      <c r="A131" s="95" t="s">
        <v>287</v>
      </c>
      <c r="AO131">
        <v>55</v>
      </c>
      <c r="AP131">
        <v>8</v>
      </c>
      <c r="AQ131">
        <v>58</v>
      </c>
      <c r="AR131" s="96">
        <v>1387</v>
      </c>
      <c r="AS131">
        <v>8</v>
      </c>
      <c r="AT131" t="s">
        <v>129</v>
      </c>
      <c r="AU131">
        <v>7</v>
      </c>
      <c r="AV131" t="s">
        <v>6354</v>
      </c>
      <c r="AW131">
        <v>1302.02</v>
      </c>
      <c r="AX131">
        <v>1323.38</v>
      </c>
      <c r="AY131">
        <v>1351.87</v>
      </c>
      <c r="AZ131">
        <v>1252.17</v>
      </c>
      <c r="BA131">
        <v>1223.68</v>
      </c>
      <c r="BB131">
        <v>1202.32</v>
      </c>
      <c r="BC131">
        <v>9</v>
      </c>
      <c r="BD131">
        <v>1</v>
      </c>
      <c r="BE131">
        <v>4</v>
      </c>
      <c r="BF131" t="s">
        <v>130</v>
      </c>
      <c r="BG131">
        <v>184.3</v>
      </c>
      <c r="BH131">
        <v>0.1</v>
      </c>
      <c r="BI131" t="s">
        <v>4563</v>
      </c>
      <c r="BJ131" t="s">
        <v>132</v>
      </c>
    </row>
    <row r="132" spans="1:62" x14ac:dyDescent="0.35">
      <c r="A132" s="95" t="s">
        <v>959</v>
      </c>
      <c r="AO132">
        <v>45</v>
      </c>
      <c r="AP132">
        <v>41</v>
      </c>
      <c r="AQ132">
        <v>56</v>
      </c>
      <c r="AR132">
        <v>521</v>
      </c>
      <c r="AS132">
        <v>7</v>
      </c>
      <c r="AT132" t="s">
        <v>4562</v>
      </c>
      <c r="AU132">
        <v>8</v>
      </c>
      <c r="AV132" t="s">
        <v>6355</v>
      </c>
      <c r="AW132">
        <v>490</v>
      </c>
      <c r="AX132">
        <v>495</v>
      </c>
      <c r="AY132">
        <v>499</v>
      </c>
      <c r="AZ132">
        <v>481</v>
      </c>
      <c r="BA132">
        <v>477</v>
      </c>
      <c r="BB132">
        <v>472</v>
      </c>
      <c r="BC132">
        <v>5</v>
      </c>
      <c r="BD132">
        <v>1</v>
      </c>
      <c r="BE132">
        <v>4</v>
      </c>
      <c r="BF132" t="s">
        <v>130</v>
      </c>
      <c r="BG132">
        <v>232.8</v>
      </c>
      <c r="BH132">
        <v>0.5</v>
      </c>
      <c r="BI132" t="s">
        <v>4565</v>
      </c>
      <c r="BJ132" t="s">
        <v>4563</v>
      </c>
    </row>
    <row r="133" spans="1:62" x14ac:dyDescent="0.35">
      <c r="A133" s="95" t="s">
        <v>857</v>
      </c>
      <c r="AO133">
        <v>50</v>
      </c>
      <c r="AP133">
        <v>15</v>
      </c>
      <c r="AQ133">
        <v>57</v>
      </c>
      <c r="AR133" s="96">
        <v>1139</v>
      </c>
      <c r="AS133">
        <v>11</v>
      </c>
      <c r="AT133" t="s">
        <v>129</v>
      </c>
      <c r="AU133">
        <v>34</v>
      </c>
      <c r="AV133" t="s">
        <v>6356</v>
      </c>
      <c r="AW133">
        <v>1038.32</v>
      </c>
      <c r="AX133">
        <v>1046.28</v>
      </c>
      <c r="AY133">
        <v>1051.82</v>
      </c>
      <c r="AZ133">
        <v>1024.82</v>
      </c>
      <c r="BA133">
        <v>1019.28</v>
      </c>
      <c r="BB133">
        <v>1011.32</v>
      </c>
      <c r="BC133">
        <v>3</v>
      </c>
      <c r="BD133">
        <v>8</v>
      </c>
      <c r="BE133">
        <v>3</v>
      </c>
      <c r="BF133" t="s">
        <v>130</v>
      </c>
      <c r="BG133">
        <v>223</v>
      </c>
      <c r="BH133">
        <v>0.2</v>
      </c>
      <c r="BI133" t="s">
        <v>4563</v>
      </c>
      <c r="BJ133" t="s">
        <v>4563</v>
      </c>
    </row>
    <row r="134" spans="1:62" x14ac:dyDescent="0.35">
      <c r="A134" s="95" t="s">
        <v>772</v>
      </c>
      <c r="AO134">
        <v>70</v>
      </c>
      <c r="AP134">
        <v>36</v>
      </c>
      <c r="AQ134">
        <v>70</v>
      </c>
      <c r="AR134">
        <v>598</v>
      </c>
      <c r="AS134">
        <v>-1</v>
      </c>
      <c r="AT134" t="s">
        <v>129</v>
      </c>
      <c r="AU134">
        <v>8</v>
      </c>
      <c r="AV134" t="s">
        <v>6357</v>
      </c>
      <c r="AW134">
        <v>617.45000000000005</v>
      </c>
      <c r="AX134">
        <v>629.79999999999995</v>
      </c>
      <c r="AY134">
        <v>650.6</v>
      </c>
      <c r="AZ134">
        <v>584.29999999999995</v>
      </c>
      <c r="BA134">
        <v>563.5</v>
      </c>
      <c r="BB134">
        <v>551.15</v>
      </c>
      <c r="BC134">
        <v>11</v>
      </c>
      <c r="BD134">
        <v>3</v>
      </c>
      <c r="BE134">
        <v>5</v>
      </c>
      <c r="BF134" t="s">
        <v>130</v>
      </c>
      <c r="BG134">
        <v>300.10000000000002</v>
      </c>
      <c r="BH134">
        <v>0.5</v>
      </c>
      <c r="BI134" t="s">
        <v>131</v>
      </c>
      <c r="BJ134" t="s">
        <v>132</v>
      </c>
    </row>
    <row r="135" spans="1:62" x14ac:dyDescent="0.35">
      <c r="A135" s="95" t="s">
        <v>772</v>
      </c>
      <c r="AO135">
        <v>75</v>
      </c>
      <c r="AP135">
        <v>47</v>
      </c>
      <c r="AQ135">
        <v>51</v>
      </c>
      <c r="AR135">
        <v>124</v>
      </c>
      <c r="AS135">
        <v>7</v>
      </c>
      <c r="AT135" t="s">
        <v>129</v>
      </c>
      <c r="AU135">
        <v>14</v>
      </c>
      <c r="AV135" t="s">
        <v>6358</v>
      </c>
      <c r="AW135">
        <v>117.85</v>
      </c>
      <c r="AX135">
        <v>119.3</v>
      </c>
      <c r="AY135">
        <v>120.2</v>
      </c>
      <c r="AZ135">
        <v>115.5</v>
      </c>
      <c r="BA135">
        <v>114.6</v>
      </c>
      <c r="BB135">
        <v>113.15</v>
      </c>
      <c r="BC135">
        <v>6</v>
      </c>
      <c r="BD135">
        <v>3</v>
      </c>
      <c r="BE135">
        <v>5</v>
      </c>
      <c r="BF135" t="s">
        <v>130</v>
      </c>
      <c r="BG135">
        <v>84.6</v>
      </c>
      <c r="BH135">
        <v>0.7</v>
      </c>
      <c r="BI135" t="s">
        <v>4563</v>
      </c>
      <c r="BJ135" t="s">
        <v>4563</v>
      </c>
    </row>
    <row r="136" spans="1:62" x14ac:dyDescent="0.35">
      <c r="A136" s="95" t="s">
        <v>6233</v>
      </c>
      <c r="AO136">
        <v>40</v>
      </c>
      <c r="AP136">
        <v>24</v>
      </c>
      <c r="AQ136">
        <v>70</v>
      </c>
      <c r="AR136">
        <v>523</v>
      </c>
      <c r="AS136">
        <v>14</v>
      </c>
      <c r="AT136" t="s">
        <v>4633</v>
      </c>
      <c r="AU136">
        <v>3</v>
      </c>
      <c r="AV136" t="s">
        <v>6359</v>
      </c>
      <c r="AW136">
        <v>465.2</v>
      </c>
      <c r="AX136">
        <v>472.4</v>
      </c>
      <c r="AY136">
        <v>480.8</v>
      </c>
      <c r="AZ136">
        <v>449.6</v>
      </c>
      <c r="BA136">
        <v>441.2</v>
      </c>
      <c r="BB136">
        <v>434</v>
      </c>
      <c r="BC136">
        <v>6</v>
      </c>
      <c r="BD136">
        <v>8</v>
      </c>
      <c r="BE136">
        <v>5</v>
      </c>
      <c r="BF136" t="s">
        <v>130</v>
      </c>
      <c r="BG136">
        <v>205.5</v>
      </c>
      <c r="BH136">
        <v>0.4</v>
      </c>
      <c r="BI136" t="s">
        <v>4563</v>
      </c>
      <c r="BJ136" t="s">
        <v>4563</v>
      </c>
    </row>
    <row r="137" spans="1:62" x14ac:dyDescent="0.35">
      <c r="A137" s="95" t="s">
        <v>640</v>
      </c>
      <c r="AO137">
        <v>35</v>
      </c>
      <c r="AP137">
        <v>47</v>
      </c>
      <c r="AQ137">
        <v>50</v>
      </c>
      <c r="AR137" s="96">
        <v>1931</v>
      </c>
      <c r="AS137">
        <v>9</v>
      </c>
      <c r="AT137" t="s">
        <v>129</v>
      </c>
      <c r="AU137">
        <v>12</v>
      </c>
      <c r="AV137" t="s">
        <v>6360</v>
      </c>
      <c r="AW137">
        <v>1786.58</v>
      </c>
      <c r="AX137">
        <v>1796.92</v>
      </c>
      <c r="AY137">
        <v>1811.18</v>
      </c>
      <c r="AZ137">
        <v>1761.98</v>
      </c>
      <c r="BA137">
        <v>1747.72</v>
      </c>
      <c r="BB137">
        <v>1737.38</v>
      </c>
      <c r="BC137">
        <v>5</v>
      </c>
      <c r="BD137">
        <v>4</v>
      </c>
      <c r="BE137">
        <v>4</v>
      </c>
      <c r="BF137" t="s">
        <v>130</v>
      </c>
      <c r="BG137" s="97">
        <v>2031.6</v>
      </c>
      <c r="BH137">
        <v>1.1000000000000001</v>
      </c>
      <c r="BI137" t="s">
        <v>131</v>
      </c>
      <c r="BJ137" t="s">
        <v>131</v>
      </c>
    </row>
    <row r="138" spans="1:62" x14ac:dyDescent="0.35">
      <c r="A138" s="95" t="s">
        <v>640</v>
      </c>
      <c r="AO138">
        <v>65</v>
      </c>
      <c r="AP138">
        <v>27</v>
      </c>
      <c r="AQ138">
        <v>69</v>
      </c>
      <c r="AR138">
        <v>501</v>
      </c>
      <c r="AS138">
        <v>10</v>
      </c>
      <c r="AT138" t="s">
        <v>4562</v>
      </c>
      <c r="AU138">
        <v>8</v>
      </c>
      <c r="AV138" t="s">
        <v>6361</v>
      </c>
      <c r="AW138">
        <v>464.47</v>
      </c>
      <c r="AX138">
        <v>471.53</v>
      </c>
      <c r="AY138">
        <v>476.07</v>
      </c>
      <c r="AZ138">
        <v>452.87</v>
      </c>
      <c r="BA138">
        <v>448.33</v>
      </c>
      <c r="BB138">
        <v>441.27</v>
      </c>
      <c r="BC138">
        <v>8</v>
      </c>
      <c r="BD138">
        <v>3</v>
      </c>
      <c r="BE138">
        <v>3</v>
      </c>
      <c r="BF138" t="s">
        <v>130</v>
      </c>
      <c r="BG138">
        <v>135.80000000000001</v>
      </c>
      <c r="BH138">
        <v>0.3</v>
      </c>
      <c r="BI138" t="s">
        <v>4563</v>
      </c>
      <c r="BJ138" t="s">
        <v>4563</v>
      </c>
    </row>
    <row r="139" spans="1:62" x14ac:dyDescent="0.35">
      <c r="A139" s="95" t="s">
        <v>1653</v>
      </c>
      <c r="AO139">
        <v>50</v>
      </c>
      <c r="AP139">
        <v>11</v>
      </c>
      <c r="AQ139">
        <v>59</v>
      </c>
      <c r="AR139" s="96">
        <v>2302</v>
      </c>
      <c r="AS139">
        <v>2</v>
      </c>
      <c r="AT139" t="s">
        <v>4562</v>
      </c>
      <c r="AU139">
        <v>7</v>
      </c>
      <c r="AV139" t="s">
        <v>6362</v>
      </c>
      <c r="AW139">
        <v>2284.73</v>
      </c>
      <c r="AX139">
        <v>2320.4699999999998</v>
      </c>
      <c r="AY139">
        <v>2348.83</v>
      </c>
      <c r="AZ139">
        <v>2220.63</v>
      </c>
      <c r="BA139">
        <v>2192.27</v>
      </c>
      <c r="BB139">
        <v>2156.5300000000002</v>
      </c>
      <c r="BC139">
        <v>11</v>
      </c>
      <c r="BD139">
        <v>3</v>
      </c>
      <c r="BE139">
        <v>3</v>
      </c>
      <c r="BF139" t="s">
        <v>130</v>
      </c>
      <c r="BG139">
        <v>349.3</v>
      </c>
      <c r="BH139">
        <v>0.2</v>
      </c>
      <c r="BI139" t="s">
        <v>4565</v>
      </c>
      <c r="BJ139" t="s">
        <v>132</v>
      </c>
    </row>
    <row r="140" spans="1:62" x14ac:dyDescent="0.35">
      <c r="A140" s="95" t="s">
        <v>613</v>
      </c>
      <c r="AO140">
        <v>75</v>
      </c>
      <c r="AP140">
        <v>56</v>
      </c>
      <c r="AQ140">
        <v>49</v>
      </c>
      <c r="AR140" s="96">
        <v>1488</v>
      </c>
      <c r="AS140">
        <v>17</v>
      </c>
      <c r="AT140" t="s">
        <v>129</v>
      </c>
      <c r="AU140">
        <v>14</v>
      </c>
      <c r="AV140" t="s">
        <v>6363</v>
      </c>
      <c r="AW140">
        <v>1289.72</v>
      </c>
      <c r="AX140">
        <v>1306.3800000000001</v>
      </c>
      <c r="AY140">
        <v>1327.82</v>
      </c>
      <c r="AZ140">
        <v>1251.6199999999999</v>
      </c>
      <c r="BA140">
        <v>1230.18</v>
      </c>
      <c r="BB140">
        <v>1213.52</v>
      </c>
      <c r="BC140">
        <v>5</v>
      </c>
      <c r="BD140">
        <v>4</v>
      </c>
      <c r="BE140">
        <v>4</v>
      </c>
      <c r="BF140" t="s">
        <v>130</v>
      </c>
      <c r="BG140" s="97">
        <v>1431.7</v>
      </c>
      <c r="BH140">
        <v>1.1000000000000001</v>
      </c>
      <c r="BI140" t="s">
        <v>4651</v>
      </c>
      <c r="BJ140" t="s">
        <v>4563</v>
      </c>
    </row>
    <row r="141" spans="1:62" x14ac:dyDescent="0.35">
      <c r="A141" s="95" t="s">
        <v>613</v>
      </c>
      <c r="AO141">
        <v>70</v>
      </c>
      <c r="AP141">
        <v>50</v>
      </c>
      <c r="AQ141">
        <v>74</v>
      </c>
      <c r="AS141" t="s">
        <v>4564</v>
      </c>
      <c r="AW141">
        <v>1172.7</v>
      </c>
      <c r="AX141">
        <v>1195.7</v>
      </c>
      <c r="AY141">
        <v>1231.55</v>
      </c>
      <c r="AZ141">
        <v>1113.8499999999999</v>
      </c>
      <c r="BA141">
        <v>1078</v>
      </c>
      <c r="BB141">
        <v>1055</v>
      </c>
      <c r="BC141">
        <v>2</v>
      </c>
      <c r="BD141">
        <v>7</v>
      </c>
      <c r="BE141" t="s">
        <v>130</v>
      </c>
      <c r="BF141">
        <v>1.58</v>
      </c>
      <c r="BG141">
        <v>11</v>
      </c>
      <c r="BH141" s="97">
        <v>1130.9000000000001</v>
      </c>
      <c r="BI141" t="s">
        <v>131</v>
      </c>
      <c r="BJ141" t="s">
        <v>4639</v>
      </c>
    </row>
    <row r="142" spans="1:62" x14ac:dyDescent="0.35">
      <c r="A142" s="95" t="s">
        <v>1053</v>
      </c>
      <c r="AO142">
        <v>80</v>
      </c>
      <c r="AP142">
        <v>64</v>
      </c>
      <c r="AQ142">
        <v>54</v>
      </c>
      <c r="AR142">
        <v>336</v>
      </c>
      <c r="AS142">
        <v>21</v>
      </c>
      <c r="AT142" t="s">
        <v>129</v>
      </c>
      <c r="AU142">
        <v>22</v>
      </c>
      <c r="AV142" t="s">
        <v>6364</v>
      </c>
      <c r="AW142">
        <v>281.05</v>
      </c>
      <c r="AX142">
        <v>283.39999999999998</v>
      </c>
      <c r="AY142">
        <v>285.39999999999998</v>
      </c>
      <c r="AZ142">
        <v>276.7</v>
      </c>
      <c r="BA142">
        <v>274.7</v>
      </c>
      <c r="BB142">
        <v>272.35000000000002</v>
      </c>
      <c r="BC142">
        <v>5</v>
      </c>
      <c r="BD142">
        <v>7</v>
      </c>
      <c r="BE142">
        <v>2</v>
      </c>
      <c r="BF142" t="s">
        <v>130</v>
      </c>
      <c r="BG142">
        <v>367.2</v>
      </c>
      <c r="BH142">
        <v>1.3</v>
      </c>
      <c r="BI142" t="s">
        <v>4639</v>
      </c>
      <c r="BJ142" t="s">
        <v>4651</v>
      </c>
    </row>
    <row r="143" spans="1:62" x14ac:dyDescent="0.35">
      <c r="A143" s="95" t="s">
        <v>1053</v>
      </c>
      <c r="AO143">
        <v>75</v>
      </c>
      <c r="AP143">
        <v>38</v>
      </c>
      <c r="AQ143">
        <v>32</v>
      </c>
      <c r="AR143">
        <v>490</v>
      </c>
      <c r="AS143">
        <v>8</v>
      </c>
      <c r="AT143" t="s">
        <v>4562</v>
      </c>
      <c r="AU143">
        <v>27</v>
      </c>
      <c r="AV143" t="s">
        <v>6365</v>
      </c>
      <c r="AW143">
        <v>458.12</v>
      </c>
      <c r="AX143">
        <v>462.83</v>
      </c>
      <c r="AY143">
        <v>465.72</v>
      </c>
      <c r="AZ143">
        <v>450.52</v>
      </c>
      <c r="BA143">
        <v>447.63</v>
      </c>
      <c r="BB143">
        <v>442.92</v>
      </c>
      <c r="BC143">
        <v>5</v>
      </c>
      <c r="BD143">
        <v>9</v>
      </c>
      <c r="BE143">
        <v>1</v>
      </c>
      <c r="BF143" t="s">
        <v>130</v>
      </c>
      <c r="BG143">
        <v>213.2</v>
      </c>
      <c r="BH143">
        <v>0.5</v>
      </c>
      <c r="BI143" t="s">
        <v>4563</v>
      </c>
      <c r="BJ143" t="s">
        <v>4563</v>
      </c>
    </row>
    <row r="144" spans="1:62" x14ac:dyDescent="0.35">
      <c r="A144" s="95" t="s">
        <v>899</v>
      </c>
      <c r="AO144" t="s">
        <v>130</v>
      </c>
      <c r="AP144">
        <v>66</v>
      </c>
      <c r="AQ144">
        <v>64</v>
      </c>
      <c r="AS144" t="s">
        <v>4564</v>
      </c>
      <c r="AW144">
        <v>5.15</v>
      </c>
      <c r="AX144">
        <v>5.3</v>
      </c>
      <c r="AY144">
        <v>5.4</v>
      </c>
      <c r="AZ144">
        <v>4.9000000000000004</v>
      </c>
      <c r="BA144">
        <v>4.8</v>
      </c>
      <c r="BB144">
        <v>4.6500000000000004</v>
      </c>
      <c r="BC144">
        <v>2</v>
      </c>
      <c r="BD144">
        <v>6</v>
      </c>
      <c r="BE144" t="s">
        <v>130</v>
      </c>
      <c r="BF144">
        <v>0.09</v>
      </c>
      <c r="BG144">
        <v>7</v>
      </c>
      <c r="BH144">
        <v>42.2</v>
      </c>
      <c r="BI144" t="s">
        <v>4565</v>
      </c>
      <c r="BJ144" t="s">
        <v>4563</v>
      </c>
    </row>
    <row r="145" spans="1:62" x14ac:dyDescent="0.35">
      <c r="A145" s="95" t="s">
        <v>899</v>
      </c>
      <c r="AO145">
        <v>35</v>
      </c>
      <c r="AP145">
        <v>12</v>
      </c>
      <c r="AQ145">
        <v>54</v>
      </c>
      <c r="AR145" s="96">
        <v>1070</v>
      </c>
      <c r="AS145">
        <v>17</v>
      </c>
      <c r="AT145" t="s">
        <v>129</v>
      </c>
      <c r="AU145">
        <v>4</v>
      </c>
      <c r="AV145" t="s">
        <v>6366</v>
      </c>
      <c r="AW145">
        <v>919.4</v>
      </c>
      <c r="AX145">
        <v>926.75</v>
      </c>
      <c r="AY145">
        <v>934.95</v>
      </c>
      <c r="AZ145">
        <v>903.85</v>
      </c>
      <c r="BA145">
        <v>895.65</v>
      </c>
      <c r="BB145">
        <v>888.3</v>
      </c>
      <c r="BC145">
        <v>7</v>
      </c>
      <c r="BD145">
        <v>5</v>
      </c>
      <c r="BE145">
        <v>3</v>
      </c>
      <c r="BF145" t="s">
        <v>130</v>
      </c>
      <c r="BG145">
        <v>141.80000000000001</v>
      </c>
      <c r="BH145">
        <v>0.2</v>
      </c>
      <c r="BI145" t="s">
        <v>4563</v>
      </c>
      <c r="BJ145" t="s">
        <v>132</v>
      </c>
    </row>
    <row r="146" spans="1:62" x14ac:dyDescent="0.35">
      <c r="A146" s="95" t="s">
        <v>1025</v>
      </c>
      <c r="AO146">
        <v>65</v>
      </c>
      <c r="AP146">
        <v>25</v>
      </c>
      <c r="AQ146">
        <v>55</v>
      </c>
      <c r="AR146">
        <v>473</v>
      </c>
      <c r="AS146">
        <v>8</v>
      </c>
      <c r="AT146" t="s">
        <v>129</v>
      </c>
      <c r="AU146">
        <v>3</v>
      </c>
      <c r="AV146" t="s">
        <v>6367</v>
      </c>
      <c r="AW146">
        <v>441.13</v>
      </c>
      <c r="AX146">
        <v>446.47</v>
      </c>
      <c r="AY146">
        <v>453.03</v>
      </c>
      <c r="AZ146">
        <v>429.23</v>
      </c>
      <c r="BA146">
        <v>422.67</v>
      </c>
      <c r="BB146">
        <v>417.33</v>
      </c>
      <c r="BC146">
        <v>4</v>
      </c>
      <c r="BD146">
        <v>2</v>
      </c>
      <c r="BE146" t="s">
        <v>130</v>
      </c>
      <c r="BF146">
        <v>0.22</v>
      </c>
      <c r="BG146">
        <v>5</v>
      </c>
      <c r="BH146">
        <v>184.5</v>
      </c>
      <c r="BI146" t="s">
        <v>4563</v>
      </c>
      <c r="BJ146" t="s">
        <v>4563</v>
      </c>
    </row>
    <row r="147" spans="1:62" x14ac:dyDescent="0.35">
      <c r="A147" s="95" t="s">
        <v>518</v>
      </c>
      <c r="AO147">
        <v>85</v>
      </c>
      <c r="AP147">
        <v>20</v>
      </c>
      <c r="AQ147">
        <v>59</v>
      </c>
      <c r="AS147" t="s">
        <v>4564</v>
      </c>
      <c r="AV147" t="s">
        <v>6368</v>
      </c>
      <c r="AW147">
        <v>6835.22</v>
      </c>
      <c r="AX147">
        <v>6894.93</v>
      </c>
      <c r="AY147">
        <v>6959.87</v>
      </c>
      <c r="AZ147">
        <v>6710.57</v>
      </c>
      <c r="BA147">
        <v>6645.63</v>
      </c>
      <c r="BB147">
        <v>6585.92</v>
      </c>
      <c r="BC147">
        <v>5</v>
      </c>
      <c r="BD147">
        <v>2</v>
      </c>
      <c r="BE147" t="s">
        <v>130</v>
      </c>
      <c r="BF147">
        <v>0.84</v>
      </c>
      <c r="BG147">
        <v>8</v>
      </c>
      <c r="BH147" s="97">
        <v>1433.4</v>
      </c>
      <c r="BI147" t="s">
        <v>4563</v>
      </c>
      <c r="BJ147" t="s">
        <v>4651</v>
      </c>
    </row>
    <row r="148" spans="1:62" x14ac:dyDescent="0.35">
      <c r="A148" s="95" t="s">
        <v>659</v>
      </c>
      <c r="AO148">
        <v>70</v>
      </c>
      <c r="AP148">
        <v>37</v>
      </c>
      <c r="AQ148">
        <v>66</v>
      </c>
      <c r="AR148" s="96">
        <v>1186</v>
      </c>
      <c r="AS148">
        <v>3</v>
      </c>
      <c r="AT148" t="s">
        <v>4562</v>
      </c>
      <c r="AU148">
        <v>39</v>
      </c>
      <c r="AV148" t="s">
        <v>6369</v>
      </c>
      <c r="AW148">
        <v>1166.5</v>
      </c>
      <c r="AX148">
        <v>1179.05</v>
      </c>
      <c r="AY148">
        <v>1187.3</v>
      </c>
      <c r="AZ148">
        <v>1145.7</v>
      </c>
      <c r="BA148">
        <v>1137.45</v>
      </c>
      <c r="BB148">
        <v>1124.9000000000001</v>
      </c>
      <c r="BC148">
        <v>10</v>
      </c>
      <c r="BD148">
        <v>6</v>
      </c>
      <c r="BE148">
        <v>4</v>
      </c>
      <c r="BF148" t="s">
        <v>130</v>
      </c>
      <c r="BG148">
        <v>549.1</v>
      </c>
      <c r="BH148">
        <v>0.5</v>
      </c>
      <c r="BI148" t="s">
        <v>131</v>
      </c>
      <c r="BJ148" t="s">
        <v>4563</v>
      </c>
    </row>
    <row r="149" spans="1:62" x14ac:dyDescent="0.35">
      <c r="A149" s="95" t="s">
        <v>1159</v>
      </c>
      <c r="AO149">
        <v>50</v>
      </c>
      <c r="AP149">
        <v>19</v>
      </c>
      <c r="AQ149">
        <v>60</v>
      </c>
      <c r="AR149" s="96">
        <v>2488</v>
      </c>
      <c r="AS149">
        <v>0</v>
      </c>
      <c r="AT149" t="s">
        <v>4562</v>
      </c>
      <c r="AU149">
        <v>20</v>
      </c>
      <c r="AV149" t="s">
        <v>6370</v>
      </c>
      <c r="AW149">
        <v>2529.9299999999998</v>
      </c>
      <c r="AX149">
        <v>2561.27</v>
      </c>
      <c r="AY149">
        <v>2590.58</v>
      </c>
      <c r="AZ149">
        <v>2469.2800000000002</v>
      </c>
      <c r="BA149">
        <v>2439.9699999999998</v>
      </c>
      <c r="BB149">
        <v>2408.63</v>
      </c>
      <c r="BC149">
        <v>11</v>
      </c>
      <c r="BD149">
        <v>4</v>
      </c>
      <c r="BE149">
        <v>6</v>
      </c>
      <c r="BF149" t="s">
        <v>130</v>
      </c>
      <c r="BG149">
        <v>685.6</v>
      </c>
      <c r="BH149">
        <v>0.3</v>
      </c>
      <c r="BI149" t="s">
        <v>4651</v>
      </c>
    </row>
    <row r="150" spans="1:62" x14ac:dyDescent="0.35">
      <c r="A150" s="95" t="s">
        <v>1159</v>
      </c>
      <c r="AO150">
        <v>50</v>
      </c>
      <c r="AP150">
        <v>31</v>
      </c>
      <c r="AQ150">
        <v>45</v>
      </c>
      <c r="AR150" s="96">
        <v>2041</v>
      </c>
      <c r="AS150">
        <v>31</v>
      </c>
      <c r="AT150" t="s">
        <v>129</v>
      </c>
      <c r="AU150">
        <v>37</v>
      </c>
      <c r="AV150" t="s">
        <v>6371</v>
      </c>
      <c r="AW150">
        <v>1573.2</v>
      </c>
      <c r="AX150">
        <v>1584.9</v>
      </c>
      <c r="AY150">
        <v>1592.3</v>
      </c>
      <c r="AZ150">
        <v>1554.1</v>
      </c>
      <c r="BA150">
        <v>1546.7</v>
      </c>
      <c r="BB150">
        <v>1535</v>
      </c>
      <c r="BC150">
        <v>12</v>
      </c>
      <c r="BD150">
        <v>4</v>
      </c>
      <c r="BE150">
        <v>3</v>
      </c>
      <c r="BF150">
        <v>1</v>
      </c>
      <c r="BG150">
        <v>867.5</v>
      </c>
      <c r="BH150">
        <v>0.6</v>
      </c>
      <c r="BI150" t="s">
        <v>131</v>
      </c>
      <c r="BJ150" t="s">
        <v>132</v>
      </c>
    </row>
    <row r="151" spans="1:62" x14ac:dyDescent="0.35">
      <c r="A151" s="95" t="s">
        <v>701</v>
      </c>
      <c r="AO151">
        <v>40</v>
      </c>
      <c r="AP151">
        <v>22</v>
      </c>
      <c r="AQ151">
        <v>48</v>
      </c>
      <c r="AR151">
        <v>733</v>
      </c>
      <c r="AS151">
        <v>17</v>
      </c>
      <c r="AT151" t="s">
        <v>129</v>
      </c>
      <c r="AU151">
        <v>30</v>
      </c>
      <c r="AV151" t="s">
        <v>6372</v>
      </c>
      <c r="AW151">
        <v>634.17999999999995</v>
      </c>
      <c r="AX151">
        <v>640.07000000000005</v>
      </c>
      <c r="AY151">
        <v>644.28</v>
      </c>
      <c r="AZ151">
        <v>624.08000000000004</v>
      </c>
      <c r="BA151">
        <v>619.87</v>
      </c>
      <c r="BB151">
        <v>613.98</v>
      </c>
      <c r="BC151">
        <v>7</v>
      </c>
      <c r="BD151">
        <v>5</v>
      </c>
      <c r="BE151">
        <v>2</v>
      </c>
      <c r="BF151" t="s">
        <v>130</v>
      </c>
      <c r="BG151">
        <v>94.9</v>
      </c>
      <c r="BH151">
        <v>0.2</v>
      </c>
    </row>
    <row r="152" spans="1:62" x14ac:dyDescent="0.35">
      <c r="A152" s="95" t="s">
        <v>661</v>
      </c>
      <c r="AO152">
        <v>60</v>
      </c>
      <c r="AP152">
        <v>35</v>
      </c>
      <c r="AQ152">
        <v>51</v>
      </c>
      <c r="AR152">
        <v>188</v>
      </c>
      <c r="AS152">
        <v>1</v>
      </c>
      <c r="AT152" t="s">
        <v>4625</v>
      </c>
      <c r="AU152">
        <v>13</v>
      </c>
      <c r="AV152" t="s">
        <v>6373</v>
      </c>
      <c r="AW152">
        <v>188.83</v>
      </c>
      <c r="AX152">
        <v>192.02</v>
      </c>
      <c r="AY152">
        <v>195.28</v>
      </c>
      <c r="AZ152">
        <v>182.38</v>
      </c>
      <c r="BA152">
        <v>179.12</v>
      </c>
      <c r="BB152">
        <v>175.93</v>
      </c>
      <c r="BC152">
        <v>5</v>
      </c>
      <c r="BD152">
        <v>7</v>
      </c>
      <c r="BE152">
        <v>3</v>
      </c>
      <c r="BF152" t="s">
        <v>130</v>
      </c>
      <c r="BG152">
        <v>80</v>
      </c>
      <c r="BH152">
        <v>0.4</v>
      </c>
      <c r="BI152" t="s">
        <v>4563</v>
      </c>
      <c r="BJ152" t="s">
        <v>4563</v>
      </c>
    </row>
    <row r="153" spans="1:62" x14ac:dyDescent="0.35">
      <c r="A153" s="95" t="s">
        <v>715</v>
      </c>
      <c r="AO153">
        <v>45</v>
      </c>
      <c r="AP153">
        <v>31</v>
      </c>
      <c r="AQ153">
        <v>61</v>
      </c>
      <c r="AR153">
        <v>295</v>
      </c>
      <c r="AS153">
        <v>18</v>
      </c>
      <c r="AT153" t="s">
        <v>4633</v>
      </c>
      <c r="AU153">
        <v>2</v>
      </c>
      <c r="AV153" t="s">
        <v>6374</v>
      </c>
      <c r="AW153">
        <v>257.17</v>
      </c>
      <c r="AX153">
        <v>264.77999999999997</v>
      </c>
      <c r="AY153">
        <v>274.72000000000003</v>
      </c>
      <c r="AZ153">
        <v>239.62</v>
      </c>
      <c r="BA153">
        <v>229.68</v>
      </c>
      <c r="BB153">
        <v>222.07</v>
      </c>
      <c r="BC153">
        <v>4</v>
      </c>
      <c r="BD153">
        <v>10</v>
      </c>
      <c r="BE153">
        <v>5</v>
      </c>
      <c r="BF153" t="s">
        <v>130</v>
      </c>
      <c r="BG153">
        <v>113.1</v>
      </c>
      <c r="BH153">
        <v>0.5</v>
      </c>
      <c r="BI153" t="s">
        <v>4563</v>
      </c>
      <c r="BJ153" t="s">
        <v>4563</v>
      </c>
    </row>
    <row r="154" spans="1:62" x14ac:dyDescent="0.35">
      <c r="A154" s="95" t="s">
        <v>715</v>
      </c>
      <c r="AO154">
        <v>75</v>
      </c>
      <c r="AP154">
        <v>41</v>
      </c>
      <c r="AQ154">
        <v>50</v>
      </c>
      <c r="AR154" s="96">
        <v>3192</v>
      </c>
      <c r="AS154">
        <v>10</v>
      </c>
      <c r="AT154" t="s">
        <v>4562</v>
      </c>
      <c r="AU154">
        <v>39</v>
      </c>
      <c r="AV154" t="s">
        <v>6375</v>
      </c>
      <c r="AW154">
        <v>2940.6</v>
      </c>
      <c r="AX154">
        <v>2970.3</v>
      </c>
      <c r="AY154">
        <v>2995.6</v>
      </c>
      <c r="AZ154">
        <v>2885.6</v>
      </c>
      <c r="BA154">
        <v>2860.3</v>
      </c>
      <c r="BB154">
        <v>2830.6</v>
      </c>
      <c r="BC154">
        <v>7</v>
      </c>
      <c r="BD154">
        <v>2</v>
      </c>
      <c r="BE154">
        <v>3</v>
      </c>
      <c r="BF154">
        <v>1</v>
      </c>
      <c r="BG154" s="97">
        <v>1664.1</v>
      </c>
      <c r="BH154">
        <v>0.6</v>
      </c>
      <c r="BI154" t="s">
        <v>4639</v>
      </c>
      <c r="BJ154" t="s">
        <v>4651</v>
      </c>
    </row>
    <row r="155" spans="1:62" x14ac:dyDescent="0.35">
      <c r="A155" s="95" t="s">
        <v>589</v>
      </c>
      <c r="AO155">
        <v>60</v>
      </c>
      <c r="AP155">
        <v>48</v>
      </c>
      <c r="AQ155">
        <v>61</v>
      </c>
      <c r="AR155" s="96">
        <v>1117</v>
      </c>
      <c r="AS155">
        <v>22</v>
      </c>
      <c r="AT155" t="s">
        <v>129</v>
      </c>
      <c r="AU155">
        <v>14</v>
      </c>
      <c r="AV155" t="s">
        <v>6376</v>
      </c>
      <c r="AW155">
        <v>921.22</v>
      </c>
      <c r="AX155">
        <v>929.33</v>
      </c>
      <c r="AY155">
        <v>934.67</v>
      </c>
      <c r="AZ155">
        <v>907.77</v>
      </c>
      <c r="BA155">
        <v>902.43</v>
      </c>
      <c r="BB155">
        <v>894.32</v>
      </c>
      <c r="BC155">
        <v>11</v>
      </c>
      <c r="BD155">
        <v>4</v>
      </c>
      <c r="BE155">
        <v>4</v>
      </c>
      <c r="BF155" t="s">
        <v>130</v>
      </c>
      <c r="BG155">
        <v>737.4</v>
      </c>
      <c r="BH155">
        <v>0.8</v>
      </c>
      <c r="BI155" t="s">
        <v>131</v>
      </c>
      <c r="BJ155" t="s">
        <v>4565</v>
      </c>
    </row>
    <row r="156" spans="1:62" x14ac:dyDescent="0.35">
      <c r="A156" s="95" t="s">
        <v>1176</v>
      </c>
      <c r="AO156">
        <v>60</v>
      </c>
      <c r="AP156">
        <v>66</v>
      </c>
      <c r="AQ156">
        <v>54</v>
      </c>
      <c r="AR156">
        <v>529</v>
      </c>
      <c r="AS156">
        <v>18</v>
      </c>
      <c r="AT156" t="s">
        <v>129</v>
      </c>
      <c r="AU156">
        <v>20</v>
      </c>
      <c r="AV156" t="s">
        <v>6377</v>
      </c>
      <c r="AW156">
        <v>453.23</v>
      </c>
      <c r="AX156">
        <v>456.47</v>
      </c>
      <c r="AY156">
        <v>458.63</v>
      </c>
      <c r="AZ156">
        <v>447.83</v>
      </c>
      <c r="BA156">
        <v>445.67</v>
      </c>
      <c r="BB156">
        <v>442.43</v>
      </c>
      <c r="BC156">
        <v>7</v>
      </c>
      <c r="BD156">
        <v>3</v>
      </c>
      <c r="BE156">
        <v>3</v>
      </c>
      <c r="BF156" t="s">
        <v>130</v>
      </c>
      <c r="BG156">
        <v>600.5</v>
      </c>
      <c r="BH156">
        <v>1.3</v>
      </c>
      <c r="BI156" t="s">
        <v>4651</v>
      </c>
      <c r="BJ156" t="s">
        <v>4565</v>
      </c>
    </row>
    <row r="157" spans="1:62" x14ac:dyDescent="0.35">
      <c r="A157" s="95" t="s">
        <v>797</v>
      </c>
      <c r="AO157">
        <v>65</v>
      </c>
      <c r="AP157">
        <v>63</v>
      </c>
      <c r="AQ157">
        <v>45</v>
      </c>
      <c r="AS157" t="s">
        <v>4564</v>
      </c>
      <c r="AW157">
        <v>162.05000000000001</v>
      </c>
      <c r="AX157">
        <v>167.35</v>
      </c>
      <c r="AY157">
        <v>170.5</v>
      </c>
      <c r="AZ157">
        <v>153.6</v>
      </c>
      <c r="BA157">
        <v>150.44999999999999</v>
      </c>
      <c r="BB157">
        <v>145.15</v>
      </c>
      <c r="BC157">
        <v>8</v>
      </c>
      <c r="BD157">
        <v>4</v>
      </c>
      <c r="BE157">
        <v>5</v>
      </c>
      <c r="BF157">
        <v>1</v>
      </c>
      <c r="BG157">
        <v>166.6</v>
      </c>
      <c r="BH157">
        <v>1.1000000000000001</v>
      </c>
      <c r="BJ157" t="s">
        <v>132</v>
      </c>
    </row>
    <row r="158" spans="1:62" x14ac:dyDescent="0.35">
      <c r="A158" s="95" t="s">
        <v>797</v>
      </c>
      <c r="AO158">
        <v>55</v>
      </c>
      <c r="AP158">
        <v>74</v>
      </c>
      <c r="AQ158">
        <v>50</v>
      </c>
      <c r="AR158">
        <v>297</v>
      </c>
      <c r="AS158">
        <v>14</v>
      </c>
      <c r="AT158" t="s">
        <v>4562</v>
      </c>
      <c r="AU158">
        <v>31</v>
      </c>
      <c r="AV158" t="s">
        <v>6378</v>
      </c>
      <c r="AW158">
        <v>266.10000000000002</v>
      </c>
      <c r="AX158">
        <v>270.7</v>
      </c>
      <c r="AY158">
        <v>273.45</v>
      </c>
      <c r="AZ158">
        <v>258.75</v>
      </c>
      <c r="BA158">
        <v>256</v>
      </c>
      <c r="BB158">
        <v>251.4</v>
      </c>
      <c r="BC158">
        <v>5</v>
      </c>
      <c r="BD158">
        <v>6</v>
      </c>
      <c r="BE158">
        <v>5</v>
      </c>
      <c r="BF158" t="s">
        <v>130</v>
      </c>
      <c r="BG158">
        <v>548.5</v>
      </c>
      <c r="BH158">
        <v>2.1</v>
      </c>
      <c r="BI158" t="s">
        <v>4563</v>
      </c>
      <c r="BJ158" t="s">
        <v>4639</v>
      </c>
    </row>
    <row r="159" spans="1:62" x14ac:dyDescent="0.35">
      <c r="A159" s="95" t="s">
        <v>1550</v>
      </c>
      <c r="AO159">
        <v>75</v>
      </c>
      <c r="AP159">
        <v>13</v>
      </c>
      <c r="AQ159">
        <v>48</v>
      </c>
      <c r="AR159" s="96">
        <v>2885</v>
      </c>
      <c r="AS159">
        <v>13</v>
      </c>
      <c r="AT159" t="s">
        <v>129</v>
      </c>
      <c r="AU159">
        <v>40</v>
      </c>
      <c r="AV159" t="s">
        <v>6379</v>
      </c>
      <c r="AW159">
        <v>2579</v>
      </c>
      <c r="AX159">
        <v>2594.4499999999998</v>
      </c>
      <c r="AY159">
        <v>2608.1999999999998</v>
      </c>
      <c r="AZ159">
        <v>2549.8000000000002</v>
      </c>
      <c r="BA159">
        <v>2536.0500000000002</v>
      </c>
      <c r="BB159">
        <v>2520.6</v>
      </c>
      <c r="BC159">
        <v>10</v>
      </c>
      <c r="BD159">
        <v>2</v>
      </c>
      <c r="BE159">
        <v>3</v>
      </c>
      <c r="BF159">
        <v>2</v>
      </c>
      <c r="BG159">
        <v>460.3</v>
      </c>
      <c r="BH159">
        <v>0.2</v>
      </c>
      <c r="BI159" t="s">
        <v>131</v>
      </c>
      <c r="BJ159" t="s">
        <v>4563</v>
      </c>
    </row>
    <row r="160" spans="1:62" x14ac:dyDescent="0.35">
      <c r="A160" s="95" t="s">
        <v>861</v>
      </c>
      <c r="AO160">
        <v>85</v>
      </c>
      <c r="AP160">
        <v>63</v>
      </c>
      <c r="AQ160">
        <v>63</v>
      </c>
      <c r="AS160" t="s">
        <v>4564</v>
      </c>
      <c r="AW160">
        <v>393.13</v>
      </c>
      <c r="AX160">
        <v>399.77</v>
      </c>
      <c r="AY160">
        <v>403.88</v>
      </c>
      <c r="AZ160">
        <v>382.38</v>
      </c>
      <c r="BA160">
        <v>378.27</v>
      </c>
      <c r="BB160">
        <v>371.63</v>
      </c>
      <c r="BC160">
        <v>1</v>
      </c>
      <c r="BD160">
        <v>3</v>
      </c>
      <c r="BE160" t="s">
        <v>130</v>
      </c>
      <c r="BF160">
        <v>1.62</v>
      </c>
      <c r="BG160">
        <v>6</v>
      </c>
      <c r="BH160">
        <v>269.3</v>
      </c>
      <c r="BI160" t="s">
        <v>4563</v>
      </c>
      <c r="BJ160" t="s">
        <v>4563</v>
      </c>
    </row>
    <row r="161" spans="1:62" x14ac:dyDescent="0.35">
      <c r="A161" s="95" t="s">
        <v>1858</v>
      </c>
      <c r="AO161">
        <v>85</v>
      </c>
      <c r="AP161">
        <v>11</v>
      </c>
      <c r="AQ161">
        <v>47</v>
      </c>
      <c r="AR161" s="96">
        <v>39642</v>
      </c>
      <c r="AS161">
        <v>-1</v>
      </c>
      <c r="AT161" t="s">
        <v>4562</v>
      </c>
      <c r="AU161">
        <v>7</v>
      </c>
      <c r="AV161" t="s">
        <v>6380</v>
      </c>
      <c r="AW161">
        <v>40597.050000000003</v>
      </c>
      <c r="AX161">
        <v>40986.85</v>
      </c>
      <c r="AY161">
        <v>41235.35</v>
      </c>
      <c r="AZ161">
        <v>39958.75</v>
      </c>
      <c r="BA161">
        <v>39710.25</v>
      </c>
      <c r="BB161">
        <v>39320.449999999997</v>
      </c>
      <c r="BC161">
        <v>5</v>
      </c>
      <c r="BD161">
        <v>2</v>
      </c>
      <c r="BE161">
        <v>1</v>
      </c>
      <c r="BF161" t="s">
        <v>130</v>
      </c>
      <c r="BG161" s="97">
        <v>6351.9</v>
      </c>
      <c r="BH161">
        <v>0.2</v>
      </c>
      <c r="BI161" t="s">
        <v>4651</v>
      </c>
      <c r="BJ161" t="s">
        <v>132</v>
      </c>
    </row>
    <row r="162" spans="1:62" x14ac:dyDescent="0.35">
      <c r="A162" s="95" t="s">
        <v>1312</v>
      </c>
      <c r="AO162">
        <v>80</v>
      </c>
      <c r="AP162">
        <v>42</v>
      </c>
      <c r="AQ162">
        <v>64</v>
      </c>
      <c r="AS162" t="s">
        <v>4564</v>
      </c>
      <c r="AW162">
        <v>2666.78</v>
      </c>
      <c r="AX162">
        <v>2718.27</v>
      </c>
      <c r="AY162">
        <v>2786.53</v>
      </c>
      <c r="AZ162">
        <v>2547.0300000000002</v>
      </c>
      <c r="BA162">
        <v>2478.77</v>
      </c>
      <c r="BB162">
        <v>2427.2800000000002</v>
      </c>
      <c r="BC162">
        <v>2</v>
      </c>
      <c r="BD162">
        <v>4</v>
      </c>
      <c r="BE162" t="s">
        <v>130</v>
      </c>
      <c r="BF162">
        <v>-0.53</v>
      </c>
      <c r="BG162">
        <v>17</v>
      </c>
      <c r="BH162" s="97">
        <v>1251.0999999999999</v>
      </c>
      <c r="BI162" t="s">
        <v>4639</v>
      </c>
      <c r="BJ162" t="s">
        <v>131</v>
      </c>
    </row>
    <row r="163" spans="1:62" x14ac:dyDescent="0.35">
      <c r="A163" s="95" t="s">
        <v>1312</v>
      </c>
      <c r="AO163">
        <v>75</v>
      </c>
      <c r="AP163">
        <v>37</v>
      </c>
      <c r="AQ163">
        <v>75</v>
      </c>
      <c r="AS163" t="s">
        <v>4564</v>
      </c>
      <c r="AW163">
        <v>193.53</v>
      </c>
      <c r="AX163">
        <v>196.17</v>
      </c>
      <c r="AY163">
        <v>200.78</v>
      </c>
      <c r="AZ163">
        <v>186.28</v>
      </c>
      <c r="BA163">
        <v>181.67</v>
      </c>
      <c r="BB163">
        <v>179.03</v>
      </c>
      <c r="BC163">
        <v>3</v>
      </c>
      <c r="BD163">
        <v>5</v>
      </c>
      <c r="BE163" t="s">
        <v>130</v>
      </c>
      <c r="BF163">
        <v>2.0499999999999998</v>
      </c>
      <c r="BG163">
        <v>17</v>
      </c>
      <c r="BH163">
        <v>83.7</v>
      </c>
      <c r="BI163" t="s">
        <v>4651</v>
      </c>
      <c r="BJ163" t="s">
        <v>4563</v>
      </c>
    </row>
    <row r="164" spans="1:62" x14ac:dyDescent="0.35">
      <c r="A164" s="95" t="s">
        <v>1319</v>
      </c>
      <c r="AO164">
        <v>45</v>
      </c>
      <c r="AP164">
        <v>34</v>
      </c>
      <c r="AQ164">
        <v>50</v>
      </c>
      <c r="AR164" s="96">
        <v>1173</v>
      </c>
      <c r="AS164">
        <v>21</v>
      </c>
      <c r="AT164" t="s">
        <v>129</v>
      </c>
      <c r="AU164">
        <v>36</v>
      </c>
      <c r="AV164" t="s">
        <v>6381</v>
      </c>
      <c r="AW164">
        <v>975.27</v>
      </c>
      <c r="AX164">
        <v>980.13</v>
      </c>
      <c r="AY164">
        <v>987.67</v>
      </c>
      <c r="AZ164">
        <v>962.87</v>
      </c>
      <c r="BA164">
        <v>955.33</v>
      </c>
      <c r="BB164">
        <v>950.47</v>
      </c>
      <c r="BC164">
        <v>16</v>
      </c>
      <c r="BD164">
        <v>3</v>
      </c>
      <c r="BE164">
        <v>5</v>
      </c>
      <c r="BF164" t="s">
        <v>130</v>
      </c>
      <c r="BG164">
        <v>601.70000000000005</v>
      </c>
      <c r="BH164">
        <v>0.6</v>
      </c>
      <c r="BI164" t="s">
        <v>4563</v>
      </c>
      <c r="BJ164" t="s">
        <v>132</v>
      </c>
    </row>
    <row r="165" spans="1:62" x14ac:dyDescent="0.35">
      <c r="A165" s="95" t="s">
        <v>1481</v>
      </c>
      <c r="AO165">
        <v>55</v>
      </c>
      <c r="AP165">
        <v>27</v>
      </c>
      <c r="AQ165">
        <v>50</v>
      </c>
      <c r="AR165" s="96">
        <v>1428</v>
      </c>
      <c r="AS165">
        <v>8</v>
      </c>
      <c r="AT165" t="s">
        <v>129</v>
      </c>
      <c r="AU165">
        <v>24</v>
      </c>
      <c r="AV165" t="s">
        <v>6382</v>
      </c>
      <c r="AW165">
        <v>1342.03</v>
      </c>
      <c r="AX165">
        <v>1358.27</v>
      </c>
      <c r="AY165">
        <v>1368.73</v>
      </c>
      <c r="AZ165">
        <v>1315.33</v>
      </c>
      <c r="BA165">
        <v>1304.8699999999999</v>
      </c>
      <c r="BB165">
        <v>1288.6300000000001</v>
      </c>
      <c r="BC165">
        <v>4</v>
      </c>
      <c r="BD165">
        <v>2</v>
      </c>
      <c r="BE165">
        <v>4</v>
      </c>
      <c r="BF165" t="s">
        <v>130</v>
      </c>
      <c r="BG165">
        <v>415.2</v>
      </c>
      <c r="BH165">
        <v>0.3</v>
      </c>
      <c r="BI165" t="s">
        <v>4639</v>
      </c>
      <c r="BJ165" t="s">
        <v>4563</v>
      </c>
    </row>
    <row r="166" spans="1:62" x14ac:dyDescent="0.35">
      <c r="A166" s="95" t="s">
        <v>679</v>
      </c>
      <c r="AO166">
        <v>40</v>
      </c>
      <c r="AP166">
        <v>17</v>
      </c>
      <c r="AQ166">
        <v>51</v>
      </c>
      <c r="AR166">
        <v>635</v>
      </c>
      <c r="AS166">
        <v>16</v>
      </c>
      <c r="AT166" t="s">
        <v>129</v>
      </c>
      <c r="AU166">
        <v>29</v>
      </c>
      <c r="AV166" t="s">
        <v>6383</v>
      </c>
      <c r="AW166">
        <v>552.33000000000004</v>
      </c>
      <c r="AX166">
        <v>556.62</v>
      </c>
      <c r="AY166">
        <v>562.78</v>
      </c>
      <c r="AZ166">
        <v>541.88</v>
      </c>
      <c r="BA166">
        <v>535.72</v>
      </c>
      <c r="BB166">
        <v>531.42999999999995</v>
      </c>
      <c r="BC166">
        <v>5</v>
      </c>
      <c r="BD166">
        <v>5</v>
      </c>
      <c r="BE166">
        <v>4</v>
      </c>
      <c r="BF166" t="s">
        <v>130</v>
      </c>
      <c r="BG166">
        <v>97.1</v>
      </c>
      <c r="BH166">
        <v>0.2</v>
      </c>
      <c r="BI166" t="s">
        <v>132</v>
      </c>
      <c r="BJ166" t="s">
        <v>132</v>
      </c>
    </row>
    <row r="167" spans="1:62" x14ac:dyDescent="0.35">
      <c r="A167" s="95" t="s">
        <v>563</v>
      </c>
      <c r="AO167">
        <v>60</v>
      </c>
      <c r="AP167">
        <v>40</v>
      </c>
      <c r="AQ167">
        <v>51</v>
      </c>
      <c r="AR167">
        <v>530</v>
      </c>
      <c r="AS167">
        <v>20</v>
      </c>
      <c r="AT167" t="s">
        <v>129</v>
      </c>
      <c r="AU167">
        <v>31</v>
      </c>
      <c r="AV167" t="s">
        <v>6384</v>
      </c>
      <c r="AW167">
        <v>444.67</v>
      </c>
      <c r="AX167">
        <v>448.53</v>
      </c>
      <c r="AY167">
        <v>451.37</v>
      </c>
      <c r="AZ167">
        <v>437.97</v>
      </c>
      <c r="BA167">
        <v>435.13</v>
      </c>
      <c r="BB167">
        <v>431.27</v>
      </c>
      <c r="BC167">
        <v>9</v>
      </c>
      <c r="BD167">
        <v>1</v>
      </c>
      <c r="BE167">
        <v>4</v>
      </c>
      <c r="BF167" t="s">
        <v>130</v>
      </c>
      <c r="BG167">
        <v>247.4</v>
      </c>
      <c r="BH167">
        <v>0.6</v>
      </c>
      <c r="BI167" t="s">
        <v>4563</v>
      </c>
      <c r="BJ167" t="s">
        <v>4563</v>
      </c>
    </row>
    <row r="168" spans="1:62" x14ac:dyDescent="0.35">
      <c r="A168" s="95" t="s">
        <v>545</v>
      </c>
      <c r="AO168">
        <v>85</v>
      </c>
      <c r="AP168">
        <v>27</v>
      </c>
      <c r="AQ168">
        <v>69</v>
      </c>
      <c r="AR168">
        <v>421</v>
      </c>
      <c r="AS168">
        <v>8</v>
      </c>
      <c r="AT168" t="s">
        <v>129</v>
      </c>
      <c r="AU168">
        <v>20</v>
      </c>
      <c r="AV168" t="s">
        <v>6385</v>
      </c>
      <c r="AW168">
        <v>398.47</v>
      </c>
      <c r="AX168">
        <v>404.93</v>
      </c>
      <c r="AY168">
        <v>408.82</v>
      </c>
      <c r="AZ168">
        <v>388.12</v>
      </c>
      <c r="BA168">
        <v>384.23</v>
      </c>
      <c r="BB168">
        <v>377.77</v>
      </c>
      <c r="BC168">
        <v>16</v>
      </c>
      <c r="BD168">
        <v>5</v>
      </c>
      <c r="BE168">
        <v>4</v>
      </c>
      <c r="BF168" t="s">
        <v>130</v>
      </c>
      <c r="BG168">
        <v>100.8</v>
      </c>
      <c r="BH168">
        <v>0.3</v>
      </c>
      <c r="BI168" t="s">
        <v>4563</v>
      </c>
      <c r="BJ168" t="s">
        <v>132</v>
      </c>
    </row>
    <row r="169" spans="1:62" x14ac:dyDescent="0.35">
      <c r="A169" s="95" t="s">
        <v>677</v>
      </c>
      <c r="AO169">
        <v>40</v>
      </c>
      <c r="AP169">
        <v>30</v>
      </c>
      <c r="AQ169">
        <v>58</v>
      </c>
      <c r="AR169">
        <v>160</v>
      </c>
      <c r="AS169">
        <v>-31</v>
      </c>
      <c r="AT169" t="s">
        <v>4963</v>
      </c>
      <c r="AU169">
        <v>7</v>
      </c>
      <c r="AV169" t="s">
        <v>6386</v>
      </c>
      <c r="AW169">
        <v>234.3</v>
      </c>
      <c r="AX169">
        <v>238.05</v>
      </c>
      <c r="AY169">
        <v>241.1</v>
      </c>
      <c r="AZ169">
        <v>227.5</v>
      </c>
      <c r="BA169">
        <v>224.45</v>
      </c>
      <c r="BB169">
        <v>220.7</v>
      </c>
      <c r="BC169">
        <v>3</v>
      </c>
      <c r="BD169" t="s">
        <v>130</v>
      </c>
      <c r="BE169">
        <v>0.8</v>
      </c>
      <c r="BF169">
        <v>1.1200000000000001</v>
      </c>
      <c r="BG169">
        <v>11</v>
      </c>
      <c r="BH169">
        <v>3</v>
      </c>
      <c r="BI169" t="s">
        <v>131</v>
      </c>
      <c r="BJ169" t="s">
        <v>4563</v>
      </c>
    </row>
    <row r="170" spans="1:62" x14ac:dyDescent="0.35">
      <c r="A170" s="95" t="s">
        <v>4538</v>
      </c>
      <c r="AO170">
        <v>60</v>
      </c>
      <c r="AP170">
        <v>40</v>
      </c>
      <c r="AQ170">
        <v>52</v>
      </c>
      <c r="AR170" s="96">
        <v>3003</v>
      </c>
      <c r="AS170">
        <v>22</v>
      </c>
      <c r="AT170" t="s">
        <v>129</v>
      </c>
      <c r="AU170">
        <v>22</v>
      </c>
      <c r="AV170" t="s">
        <v>6387</v>
      </c>
      <c r="AW170">
        <v>2483.38</v>
      </c>
      <c r="AX170">
        <v>2508.62</v>
      </c>
      <c r="AY170">
        <v>2524.83</v>
      </c>
      <c r="AZ170">
        <v>2441.9299999999998</v>
      </c>
      <c r="BA170">
        <v>2425.7199999999998</v>
      </c>
      <c r="BB170">
        <v>2400.48</v>
      </c>
      <c r="BC170">
        <v>5</v>
      </c>
      <c r="BD170">
        <v>2</v>
      </c>
      <c r="BE170">
        <v>0.5</v>
      </c>
      <c r="BF170">
        <v>1.1000000000000001</v>
      </c>
      <c r="BG170">
        <v>2</v>
      </c>
      <c r="BH170">
        <v>9</v>
      </c>
      <c r="BJ170" t="s">
        <v>4651</v>
      </c>
    </row>
    <row r="171" spans="1:62" x14ac:dyDescent="0.35">
      <c r="A171" s="95" t="s">
        <v>1029</v>
      </c>
      <c r="AO171">
        <v>75</v>
      </c>
      <c r="AP171">
        <v>19</v>
      </c>
      <c r="AQ171">
        <v>60</v>
      </c>
      <c r="AR171" s="96">
        <v>1636</v>
      </c>
      <c r="AS171">
        <v>8</v>
      </c>
      <c r="AT171" t="s">
        <v>4562</v>
      </c>
      <c r="AU171">
        <v>8</v>
      </c>
      <c r="AV171" t="s">
        <v>6388</v>
      </c>
      <c r="AW171">
        <v>1541.5</v>
      </c>
      <c r="AX171">
        <v>1567.45</v>
      </c>
      <c r="AY171">
        <v>1589.9</v>
      </c>
      <c r="AZ171">
        <v>1493.1</v>
      </c>
      <c r="BA171">
        <v>1470.65</v>
      </c>
      <c r="BB171">
        <v>1444.7</v>
      </c>
      <c r="BC171">
        <v>11</v>
      </c>
      <c r="BD171">
        <v>1</v>
      </c>
      <c r="BE171">
        <v>3</v>
      </c>
      <c r="BF171" t="s">
        <v>130</v>
      </c>
      <c r="BG171">
        <v>332.4</v>
      </c>
      <c r="BH171">
        <v>0.2</v>
      </c>
      <c r="BI171" t="s">
        <v>4565</v>
      </c>
      <c r="BJ171" t="s">
        <v>132</v>
      </c>
    </row>
    <row r="172" spans="1:62" x14ac:dyDescent="0.35">
      <c r="A172" s="95" t="s">
        <v>1029</v>
      </c>
    </row>
    <row r="173" spans="1:62" x14ac:dyDescent="0.35">
      <c r="A173" s="95" t="s">
        <v>1029</v>
      </c>
    </row>
    <row r="174" spans="1:62" x14ac:dyDescent="0.35">
      <c r="A174" s="95" t="s">
        <v>878</v>
      </c>
    </row>
    <row r="175" spans="1:62" x14ac:dyDescent="0.35">
      <c r="A175" s="95" t="s">
        <v>878</v>
      </c>
    </row>
    <row r="176" spans="1:62" x14ac:dyDescent="0.35">
      <c r="A176" s="95" t="s">
        <v>268</v>
      </c>
    </row>
    <row r="177" spans="1:1" x14ac:dyDescent="0.35">
      <c r="A177" s="95" t="s">
        <v>1487</v>
      </c>
    </row>
    <row r="178" spans="1:1" x14ac:dyDescent="0.35">
      <c r="A178" s="95" t="s">
        <v>1487</v>
      </c>
    </row>
    <row r="179" spans="1:1" x14ac:dyDescent="0.35">
      <c r="A179" s="95" t="s">
        <v>1057</v>
      </c>
    </row>
    <row r="180" spans="1:1" x14ac:dyDescent="0.35">
      <c r="A180" s="95" t="s">
        <v>258</v>
      </c>
    </row>
    <row r="181" spans="1:1" x14ac:dyDescent="0.35">
      <c r="A181" s="95" t="s">
        <v>1202</v>
      </c>
    </row>
    <row r="182" spans="1:1" x14ac:dyDescent="0.35">
      <c r="A182" s="95" t="s">
        <v>567</v>
      </c>
    </row>
    <row r="183" spans="1:1" x14ac:dyDescent="0.35">
      <c r="A183" s="95" t="s">
        <v>567</v>
      </c>
    </row>
    <row r="184" spans="1:1" x14ac:dyDescent="0.35">
      <c r="A184" s="95" t="s">
        <v>462</v>
      </c>
    </row>
    <row r="185" spans="1:1" x14ac:dyDescent="0.35">
      <c r="A185" s="95" t="s">
        <v>462</v>
      </c>
    </row>
    <row r="186" spans="1:1" x14ac:dyDescent="0.35">
      <c r="A186" s="95" t="s">
        <v>1008</v>
      </c>
    </row>
    <row r="187" spans="1:1" x14ac:dyDescent="0.35">
      <c r="A187" s="95" t="s">
        <v>663</v>
      </c>
    </row>
    <row r="188" spans="1:1" x14ac:dyDescent="0.35">
      <c r="A188" s="95" t="s">
        <v>1058</v>
      </c>
    </row>
    <row r="189" spans="1:1" x14ac:dyDescent="0.35">
      <c r="A189" s="95" t="s">
        <v>738</v>
      </c>
    </row>
    <row r="190" spans="1:1" x14ac:dyDescent="0.35">
      <c r="A190" s="95" t="s">
        <v>1321</v>
      </c>
    </row>
    <row r="191" spans="1:1" x14ac:dyDescent="0.35">
      <c r="A191" s="95" t="s">
        <v>6234</v>
      </c>
    </row>
    <row r="192" spans="1:1" x14ac:dyDescent="0.35">
      <c r="A192" s="95" t="s">
        <v>205</v>
      </c>
    </row>
    <row r="193" spans="1:1" x14ac:dyDescent="0.35">
      <c r="A193" s="95" t="s">
        <v>205</v>
      </c>
    </row>
    <row r="194" spans="1:1" x14ac:dyDescent="0.35">
      <c r="A194" s="95" t="s">
        <v>205</v>
      </c>
    </row>
    <row r="195" spans="1:1" x14ac:dyDescent="0.35">
      <c r="A195" s="95" t="s">
        <v>415</v>
      </c>
    </row>
    <row r="196" spans="1:1" x14ac:dyDescent="0.35">
      <c r="A196" s="95" t="s">
        <v>415</v>
      </c>
    </row>
    <row r="197" spans="1:1" x14ac:dyDescent="0.35">
      <c r="A197" s="95" t="s">
        <v>188</v>
      </c>
    </row>
    <row r="198" spans="1:1" x14ac:dyDescent="0.35">
      <c r="A198" s="95" t="s">
        <v>188</v>
      </c>
    </row>
    <row r="199" spans="1:1" x14ac:dyDescent="0.35">
      <c r="A199" s="95" t="s">
        <v>262</v>
      </c>
    </row>
    <row r="200" spans="1:1" x14ac:dyDescent="0.35">
      <c r="A200" s="95" t="s">
        <v>1238</v>
      </c>
    </row>
    <row r="201" spans="1:1" x14ac:dyDescent="0.35">
      <c r="A201" s="95" t="s">
        <v>1794</v>
      </c>
    </row>
    <row r="202" spans="1:1" x14ac:dyDescent="0.35">
      <c r="A202" s="95" t="s">
        <v>356</v>
      </c>
    </row>
    <row r="203" spans="1:1" x14ac:dyDescent="0.35">
      <c r="A203" s="95" t="s">
        <v>1210</v>
      </c>
    </row>
    <row r="204" spans="1:1" x14ac:dyDescent="0.35">
      <c r="A204" s="95" t="s">
        <v>278</v>
      </c>
    </row>
    <row r="205" spans="1:1" x14ac:dyDescent="0.35">
      <c r="A205" s="95" t="s">
        <v>276</v>
      </c>
    </row>
    <row r="206" spans="1:1" x14ac:dyDescent="0.35">
      <c r="A206" s="95" t="s">
        <v>276</v>
      </c>
    </row>
    <row r="207" spans="1:1" x14ac:dyDescent="0.35">
      <c r="A207" s="95" t="s">
        <v>1695</v>
      </c>
    </row>
    <row r="208" spans="1:1" x14ac:dyDescent="0.35">
      <c r="A208" s="95" t="s">
        <v>450</v>
      </c>
    </row>
    <row r="209" spans="1:1" x14ac:dyDescent="0.35">
      <c r="A209" s="95" t="s">
        <v>191</v>
      </c>
    </row>
    <row r="210" spans="1:1" x14ac:dyDescent="0.35">
      <c r="A210" s="95" t="s">
        <v>1983</v>
      </c>
    </row>
    <row r="211" spans="1:1" x14ac:dyDescent="0.35">
      <c r="A211" s="95" t="s">
        <v>1519</v>
      </c>
    </row>
    <row r="212" spans="1:1" x14ac:dyDescent="0.35">
      <c r="A212" s="95" t="s">
        <v>458</v>
      </c>
    </row>
    <row r="213" spans="1:1" x14ac:dyDescent="0.35">
      <c r="A213" s="95" t="s">
        <v>458</v>
      </c>
    </row>
    <row r="214" spans="1:1" x14ac:dyDescent="0.35">
      <c r="A214" s="95" t="s">
        <v>189</v>
      </c>
    </row>
    <row r="215" spans="1:1" x14ac:dyDescent="0.35">
      <c r="A215" s="95" t="s">
        <v>189</v>
      </c>
    </row>
    <row r="216" spans="1:1" x14ac:dyDescent="0.35">
      <c r="A216" s="95" t="s">
        <v>336</v>
      </c>
    </row>
    <row r="217" spans="1:1" x14ac:dyDescent="0.35">
      <c r="A217" s="95" t="s">
        <v>336</v>
      </c>
    </row>
    <row r="218" spans="1:1" x14ac:dyDescent="0.35">
      <c r="A218" s="95" t="s">
        <v>316</v>
      </c>
    </row>
    <row r="219" spans="1:1" x14ac:dyDescent="0.35">
      <c r="A219" s="95" t="s">
        <v>316</v>
      </c>
    </row>
    <row r="220" spans="1:1" x14ac:dyDescent="0.35">
      <c r="A220" s="95" t="s">
        <v>685</v>
      </c>
    </row>
    <row r="221" spans="1:1" x14ac:dyDescent="0.35">
      <c r="A221" s="95" t="s">
        <v>254</v>
      </c>
    </row>
    <row r="222" spans="1:1" x14ac:dyDescent="0.35">
      <c r="A222" s="95" t="s">
        <v>1097</v>
      </c>
    </row>
    <row r="223" spans="1:1" x14ac:dyDescent="0.35">
      <c r="A223" s="95" t="s">
        <v>1327</v>
      </c>
    </row>
    <row r="224" spans="1:1" x14ac:dyDescent="0.35">
      <c r="A224" s="95" t="s">
        <v>1327</v>
      </c>
    </row>
    <row r="225" spans="1:1" x14ac:dyDescent="0.35">
      <c r="A225" s="95" t="s">
        <v>477</v>
      </c>
    </row>
    <row r="226" spans="1:1" x14ac:dyDescent="0.35">
      <c r="A226" s="95" t="s">
        <v>477</v>
      </c>
    </row>
    <row r="227" spans="1:1" x14ac:dyDescent="0.35">
      <c r="A227" s="95" t="s">
        <v>283</v>
      </c>
    </row>
    <row r="228" spans="1:1" x14ac:dyDescent="0.35">
      <c r="A228" s="95" t="s">
        <v>352</v>
      </c>
    </row>
    <row r="229" spans="1:1" x14ac:dyDescent="0.35">
      <c r="A229" s="95" t="s">
        <v>193</v>
      </c>
    </row>
    <row r="230" spans="1:1" x14ac:dyDescent="0.35">
      <c r="A230" s="95" t="s">
        <v>296</v>
      </c>
    </row>
    <row r="231" spans="1:1" x14ac:dyDescent="0.35">
      <c r="A231" s="95" t="s">
        <v>296</v>
      </c>
    </row>
    <row r="232" spans="1:1" x14ac:dyDescent="0.35">
      <c r="A232" s="95" t="s">
        <v>296</v>
      </c>
    </row>
    <row r="233" spans="1:1" x14ac:dyDescent="0.35">
      <c r="A233" s="95" t="s">
        <v>1067</v>
      </c>
    </row>
    <row r="234" spans="1:1" x14ac:dyDescent="0.35">
      <c r="A234" s="95" t="s">
        <v>571</v>
      </c>
    </row>
    <row r="235" spans="1:1" x14ac:dyDescent="0.35">
      <c r="A235" s="95" t="s">
        <v>571</v>
      </c>
    </row>
    <row r="236" spans="1:1" x14ac:dyDescent="0.35">
      <c r="A236" s="95" t="s">
        <v>658</v>
      </c>
    </row>
    <row r="237" spans="1:1" x14ac:dyDescent="0.35">
      <c r="A237" s="95" t="s">
        <v>1295</v>
      </c>
    </row>
    <row r="238" spans="1:1" x14ac:dyDescent="0.35">
      <c r="A238" s="95" t="s">
        <v>196</v>
      </c>
    </row>
    <row r="239" spans="1:1" x14ac:dyDescent="0.35">
      <c r="A239" s="95" t="s">
        <v>196</v>
      </c>
    </row>
    <row r="240" spans="1:1" x14ac:dyDescent="0.35">
      <c r="A240" s="95" t="s">
        <v>196</v>
      </c>
    </row>
    <row r="241" spans="1:1" x14ac:dyDescent="0.35">
      <c r="A241" s="95" t="s">
        <v>1182</v>
      </c>
    </row>
    <row r="242" spans="1:1" x14ac:dyDescent="0.35">
      <c r="A242" s="95" t="s">
        <v>1182</v>
      </c>
    </row>
    <row r="243" spans="1:1" x14ac:dyDescent="0.35">
      <c r="A243" s="95" t="s">
        <v>1990</v>
      </c>
    </row>
    <row r="244" spans="1:1" x14ac:dyDescent="0.35">
      <c r="A244" s="95" t="s">
        <v>654</v>
      </c>
    </row>
    <row r="245" spans="1:1" x14ac:dyDescent="0.35">
      <c r="A245" s="95" t="s">
        <v>657</v>
      </c>
    </row>
    <row r="246" spans="1:1" x14ac:dyDescent="0.35">
      <c r="A246" s="95" t="s">
        <v>329</v>
      </c>
    </row>
    <row r="247" spans="1:1" x14ac:dyDescent="0.35">
      <c r="A247" s="95" t="s">
        <v>541</v>
      </c>
    </row>
    <row r="248" spans="1:1" x14ac:dyDescent="0.35">
      <c r="A248" s="95" t="s">
        <v>541</v>
      </c>
    </row>
    <row r="249" spans="1:1" x14ac:dyDescent="0.35">
      <c r="A249" s="95" t="s">
        <v>816</v>
      </c>
    </row>
    <row r="250" spans="1:1" x14ac:dyDescent="0.35">
      <c r="A250" s="95" t="s">
        <v>1001</v>
      </c>
    </row>
    <row r="251" spans="1:1" x14ac:dyDescent="0.35">
      <c r="A251" s="95" t="s">
        <v>1001</v>
      </c>
    </row>
    <row r="252" spans="1:1" x14ac:dyDescent="0.35">
      <c r="A252" s="95" t="s">
        <v>1397</v>
      </c>
    </row>
    <row r="253" spans="1:1" x14ac:dyDescent="0.35">
      <c r="A253" s="95" t="s">
        <v>483</v>
      </c>
    </row>
    <row r="254" spans="1:1" x14ac:dyDescent="0.35">
      <c r="A254" s="95" t="s">
        <v>995</v>
      </c>
    </row>
    <row r="255" spans="1:1" x14ac:dyDescent="0.35">
      <c r="A255" s="95" t="s">
        <v>1064</v>
      </c>
    </row>
    <row r="256" spans="1:1" x14ac:dyDescent="0.35">
      <c r="A256" s="95" t="s">
        <v>924</v>
      </c>
    </row>
    <row r="257" spans="1:1" x14ac:dyDescent="0.35">
      <c r="A257" s="95" t="s">
        <v>585</v>
      </c>
    </row>
    <row r="258" spans="1:1" x14ac:dyDescent="0.35">
      <c r="A258" s="95" t="s">
        <v>621</v>
      </c>
    </row>
    <row r="259" spans="1:1" x14ac:dyDescent="0.35">
      <c r="A259" s="95" t="s">
        <v>838</v>
      </c>
    </row>
    <row r="260" spans="1:1" x14ac:dyDescent="0.35">
      <c r="A260" s="95" t="s">
        <v>838</v>
      </c>
    </row>
    <row r="261" spans="1:1" x14ac:dyDescent="0.35">
      <c r="A261" s="95" t="s">
        <v>565</v>
      </c>
    </row>
    <row r="262" spans="1:1" x14ac:dyDescent="0.35">
      <c r="A262" s="95" t="s">
        <v>853</v>
      </c>
    </row>
    <row r="263" spans="1:1" x14ac:dyDescent="0.35">
      <c r="A263" s="95" t="s">
        <v>1010</v>
      </c>
    </row>
    <row r="264" spans="1:1" x14ac:dyDescent="0.35">
      <c r="A264" s="95" t="s">
        <v>652</v>
      </c>
    </row>
    <row r="265" spans="1:1" x14ac:dyDescent="0.35">
      <c r="A265" s="95" t="s">
        <v>1389</v>
      </c>
    </row>
    <row r="266" spans="1:1" x14ac:dyDescent="0.35">
      <c r="A266" s="95" t="s">
        <v>1103</v>
      </c>
    </row>
    <row r="267" spans="1:1" x14ac:dyDescent="0.35">
      <c r="A267" s="95" t="s">
        <v>1290</v>
      </c>
    </row>
    <row r="268" spans="1:1" x14ac:dyDescent="0.35">
      <c r="A268" s="95" t="s">
        <v>1429</v>
      </c>
    </row>
    <row r="269" spans="1:1" x14ac:dyDescent="0.35">
      <c r="A269" s="95" t="s">
        <v>997</v>
      </c>
    </row>
    <row r="270" spans="1:1" x14ac:dyDescent="0.35">
      <c r="A270" s="95" t="s">
        <v>6235</v>
      </c>
    </row>
    <row r="271" spans="1:1" x14ac:dyDescent="0.35">
      <c r="A271" s="95" t="s">
        <v>912</v>
      </c>
    </row>
    <row r="272" spans="1:1" x14ac:dyDescent="0.35">
      <c r="A272" s="95" t="s">
        <v>912</v>
      </c>
    </row>
    <row r="273" spans="1:1" x14ac:dyDescent="0.35">
      <c r="A273" s="95" t="s">
        <v>199</v>
      </c>
    </row>
    <row r="274" spans="1:1" x14ac:dyDescent="0.35">
      <c r="A274" s="95" t="s">
        <v>199</v>
      </c>
    </row>
    <row r="275" spans="1:1" x14ac:dyDescent="0.35">
      <c r="A275" s="95" t="s">
        <v>514</v>
      </c>
    </row>
    <row r="276" spans="1:1" x14ac:dyDescent="0.35">
      <c r="A276" s="95" t="s">
        <v>740</v>
      </c>
    </row>
    <row r="277" spans="1:1" x14ac:dyDescent="0.35">
      <c r="A277" s="95" t="s">
        <v>1754</v>
      </c>
    </row>
    <row r="278" spans="1:1" x14ac:dyDescent="0.35">
      <c r="A278" s="95" t="s">
        <v>909</v>
      </c>
    </row>
    <row r="279" spans="1:1" x14ac:dyDescent="0.35">
      <c r="A279" s="95" t="s">
        <v>423</v>
      </c>
    </row>
    <row r="280" spans="1:1" x14ac:dyDescent="0.35">
      <c r="A280" s="95" t="s">
        <v>1214</v>
      </c>
    </row>
    <row r="281" spans="1:1" x14ac:dyDescent="0.35">
      <c r="A281" s="95" t="s">
        <v>1491</v>
      </c>
    </row>
    <row r="282" spans="1:1" x14ac:dyDescent="0.35">
      <c r="A282" s="95" t="s">
        <v>204</v>
      </c>
    </row>
    <row r="283" spans="1:1" x14ac:dyDescent="0.35">
      <c r="A283" s="95" t="s">
        <v>204</v>
      </c>
    </row>
    <row r="284" spans="1:1" x14ac:dyDescent="0.35">
      <c r="A284" s="95" t="s">
        <v>204</v>
      </c>
    </row>
    <row r="285" spans="1:1" x14ac:dyDescent="0.35">
      <c r="A285" s="95" t="s">
        <v>204</v>
      </c>
    </row>
    <row r="286" spans="1:1" x14ac:dyDescent="0.35">
      <c r="A286" s="95" t="s">
        <v>642</v>
      </c>
    </row>
    <row r="287" spans="1:1" x14ac:dyDescent="0.35">
      <c r="A287" s="95" t="s">
        <v>980</v>
      </c>
    </row>
    <row r="288" spans="1:1" x14ac:dyDescent="0.35">
      <c r="A288" s="95" t="s">
        <v>1442</v>
      </c>
    </row>
    <row r="289" spans="1:1" x14ac:dyDescent="0.35">
      <c r="A289" s="95" t="s">
        <v>607</v>
      </c>
    </row>
    <row r="290" spans="1:1" x14ac:dyDescent="0.35">
      <c r="A290" s="95" t="s">
        <v>607</v>
      </c>
    </row>
    <row r="291" spans="1:1" x14ac:dyDescent="0.35">
      <c r="A291" s="95" t="s">
        <v>203</v>
      </c>
    </row>
    <row r="292" spans="1:1" x14ac:dyDescent="0.35">
      <c r="A292" s="95" t="s">
        <v>438</v>
      </c>
    </row>
    <row r="293" spans="1:1" x14ac:dyDescent="0.35">
      <c r="A293" s="95" t="s">
        <v>438</v>
      </c>
    </row>
    <row r="294" spans="1:1" x14ac:dyDescent="0.35">
      <c r="A294" s="95" t="s">
        <v>233</v>
      </c>
    </row>
    <row r="295" spans="1:1" x14ac:dyDescent="0.35">
      <c r="A295" s="95" t="s">
        <v>479</v>
      </c>
    </row>
    <row r="296" spans="1:1" x14ac:dyDescent="0.35">
      <c r="A296" s="95" t="s">
        <v>479</v>
      </c>
    </row>
    <row r="297" spans="1:1" x14ac:dyDescent="0.35">
      <c r="A297" s="95" t="s">
        <v>373</v>
      </c>
    </row>
    <row r="298" spans="1:1" x14ac:dyDescent="0.35">
      <c r="A298" s="95" t="s">
        <v>489</v>
      </c>
    </row>
    <row r="299" spans="1:1" x14ac:dyDescent="0.35">
      <c r="A299" s="95" t="s">
        <v>489</v>
      </c>
    </row>
    <row r="300" spans="1:1" x14ac:dyDescent="0.35">
      <c r="A300" s="95" t="s">
        <v>231</v>
      </c>
    </row>
    <row r="301" spans="1:1" x14ac:dyDescent="0.35">
      <c r="A301" s="95" t="s">
        <v>231</v>
      </c>
    </row>
    <row r="302" spans="1:1" x14ac:dyDescent="0.35">
      <c r="A302" s="95" t="s">
        <v>694</v>
      </c>
    </row>
    <row r="303" spans="1:1" x14ac:dyDescent="0.35">
      <c r="A303" s="95" t="s">
        <v>1023</v>
      </c>
    </row>
    <row r="304" spans="1:1" x14ac:dyDescent="0.35">
      <c r="A304" s="95" t="s">
        <v>1023</v>
      </c>
    </row>
    <row r="305" spans="1:1" x14ac:dyDescent="0.35">
      <c r="A305" s="95" t="s">
        <v>1393</v>
      </c>
    </row>
    <row r="306" spans="1:1" x14ac:dyDescent="0.35">
      <c r="A306" s="95" t="s">
        <v>1399</v>
      </c>
    </row>
    <row r="307" spans="1:1" x14ac:dyDescent="0.35">
      <c r="A307" s="95" t="s">
        <v>2163</v>
      </c>
    </row>
    <row r="308" spans="1:1" x14ac:dyDescent="0.35">
      <c r="A308" s="95" t="s">
        <v>6236</v>
      </c>
    </row>
    <row r="309" spans="1:1" x14ac:dyDescent="0.35">
      <c r="A309" s="95" t="s">
        <v>6236</v>
      </c>
    </row>
    <row r="310" spans="1:1" x14ac:dyDescent="0.35">
      <c r="A310" s="95" t="s">
        <v>4238</v>
      </c>
    </row>
    <row r="311" spans="1:1" x14ac:dyDescent="0.35">
      <c r="A311" s="95" t="s">
        <v>211</v>
      </c>
    </row>
    <row r="312" spans="1:1" x14ac:dyDescent="0.35">
      <c r="A312" s="95" t="s">
        <v>1141</v>
      </c>
    </row>
    <row r="313" spans="1:1" x14ac:dyDescent="0.35">
      <c r="A313" s="95" t="s">
        <v>1907</v>
      </c>
    </row>
    <row r="314" spans="1:1" x14ac:dyDescent="0.35">
      <c r="A314" s="95" t="s">
        <v>547</v>
      </c>
    </row>
    <row r="315" spans="1:1" x14ac:dyDescent="0.35">
      <c r="A315" s="95" t="s">
        <v>547</v>
      </c>
    </row>
    <row r="316" spans="1:1" x14ac:dyDescent="0.35">
      <c r="A316" s="95" t="s">
        <v>547</v>
      </c>
    </row>
    <row r="317" spans="1:1" x14ac:dyDescent="0.35">
      <c r="A317" s="95" t="s">
        <v>382</v>
      </c>
    </row>
    <row r="318" spans="1:1" x14ac:dyDescent="0.35">
      <c r="A318" s="95" t="s">
        <v>382</v>
      </c>
    </row>
    <row r="319" spans="1:1" x14ac:dyDescent="0.35">
      <c r="A319" s="95" t="s">
        <v>382</v>
      </c>
    </row>
    <row r="320" spans="1:1" x14ac:dyDescent="0.35">
      <c r="A320" s="95" t="s">
        <v>549</v>
      </c>
    </row>
    <row r="321" spans="1:1" x14ac:dyDescent="0.35">
      <c r="A321" s="95" t="s">
        <v>1055</v>
      </c>
    </row>
    <row r="322" spans="1:1" x14ac:dyDescent="0.35">
      <c r="A322" s="95" t="s">
        <v>1262</v>
      </c>
    </row>
    <row r="323" spans="1:1" x14ac:dyDescent="0.35">
      <c r="A323" s="95" t="s">
        <v>551</v>
      </c>
    </row>
    <row r="324" spans="1:1" x14ac:dyDescent="0.35">
      <c r="A324" s="95" t="s">
        <v>551</v>
      </c>
    </row>
    <row r="325" spans="1:1" x14ac:dyDescent="0.35">
      <c r="A325" s="95" t="s">
        <v>448</v>
      </c>
    </row>
    <row r="326" spans="1:1" x14ac:dyDescent="0.35">
      <c r="A326" s="95" t="s">
        <v>448</v>
      </c>
    </row>
    <row r="327" spans="1:1" x14ac:dyDescent="0.35">
      <c r="A327" s="95" t="s">
        <v>425</v>
      </c>
    </row>
    <row r="328" spans="1:1" x14ac:dyDescent="0.35">
      <c r="A328" s="95" t="s">
        <v>1077</v>
      </c>
    </row>
    <row r="329" spans="1:1" x14ac:dyDescent="0.35">
      <c r="A329" s="95" t="s">
        <v>6237</v>
      </c>
    </row>
    <row r="330" spans="1:1" x14ac:dyDescent="0.35">
      <c r="A330" s="95" t="s">
        <v>6237</v>
      </c>
    </row>
    <row r="331" spans="1:1" x14ac:dyDescent="0.35">
      <c r="A331" s="95" t="s">
        <v>401</v>
      </c>
    </row>
    <row r="332" spans="1:1" x14ac:dyDescent="0.35">
      <c r="A332" s="95" t="s">
        <v>1680</v>
      </c>
    </row>
    <row r="333" spans="1:1" x14ac:dyDescent="0.35">
      <c r="A333" s="95" t="s">
        <v>2070</v>
      </c>
    </row>
    <row r="334" spans="1:1" x14ac:dyDescent="0.35">
      <c r="A334" s="95" t="s">
        <v>638</v>
      </c>
    </row>
    <row r="335" spans="1:1" x14ac:dyDescent="0.35">
      <c r="A335" s="95" t="s">
        <v>776</v>
      </c>
    </row>
    <row r="336" spans="1:1" x14ac:dyDescent="0.35">
      <c r="A336" s="95" t="s">
        <v>667</v>
      </c>
    </row>
    <row r="337" spans="1:1" x14ac:dyDescent="0.35">
      <c r="A337" s="95" t="s">
        <v>557</v>
      </c>
    </row>
    <row r="338" spans="1:1" x14ac:dyDescent="0.35">
      <c r="A338" s="95" t="s">
        <v>557</v>
      </c>
    </row>
    <row r="339" spans="1:1" x14ac:dyDescent="0.35">
      <c r="A339" s="95" t="s">
        <v>1270</v>
      </c>
    </row>
    <row r="340" spans="1:1" x14ac:dyDescent="0.35">
      <c r="A340" s="95" t="s">
        <v>938</v>
      </c>
    </row>
    <row r="341" spans="1:1" x14ac:dyDescent="0.35">
      <c r="A341" s="95" t="s">
        <v>1297</v>
      </c>
    </row>
    <row r="342" spans="1:1" x14ac:dyDescent="0.35">
      <c r="A342" s="95" t="s">
        <v>1448</v>
      </c>
    </row>
    <row r="343" spans="1:1" x14ac:dyDescent="0.35">
      <c r="A343" s="95" t="s">
        <v>393</v>
      </c>
    </row>
    <row r="344" spans="1:1" x14ac:dyDescent="0.35">
      <c r="A344" s="95" t="s">
        <v>6238</v>
      </c>
    </row>
    <row r="345" spans="1:1" x14ac:dyDescent="0.35">
      <c r="A345" s="95" t="s">
        <v>1137</v>
      </c>
    </row>
    <row r="346" spans="1:1" x14ac:dyDescent="0.35">
      <c r="A346" s="95" t="s">
        <v>1831</v>
      </c>
    </row>
    <row r="347" spans="1:1" x14ac:dyDescent="0.35">
      <c r="A347" s="95" t="s">
        <v>760</v>
      </c>
    </row>
    <row r="348" spans="1:1" x14ac:dyDescent="0.35">
      <c r="A348" s="95" t="s">
        <v>456</v>
      </c>
    </row>
    <row r="349" spans="1:1" x14ac:dyDescent="0.35">
      <c r="A349" s="95" t="s">
        <v>825</v>
      </c>
    </row>
    <row r="350" spans="1:1" x14ac:dyDescent="0.35">
      <c r="A350" s="95" t="s">
        <v>227</v>
      </c>
    </row>
    <row r="351" spans="1:1" x14ac:dyDescent="0.35">
      <c r="A351" s="95" t="s">
        <v>717</v>
      </c>
    </row>
    <row r="352" spans="1:1" x14ac:dyDescent="0.35">
      <c r="A352" s="95" t="s">
        <v>468</v>
      </c>
    </row>
    <row r="353" spans="1:1" x14ac:dyDescent="0.35">
      <c r="A353" s="95" t="s">
        <v>1703</v>
      </c>
    </row>
    <row r="354" spans="1:1" x14ac:dyDescent="0.35">
      <c r="A354" s="95" t="s">
        <v>1454</v>
      </c>
    </row>
    <row r="355" spans="1:1" x14ac:dyDescent="0.35">
      <c r="A355" s="95" t="s">
        <v>992</v>
      </c>
    </row>
    <row r="356" spans="1:1" x14ac:dyDescent="0.35">
      <c r="A356" s="95" t="s">
        <v>2115</v>
      </c>
    </row>
    <row r="357" spans="1:1" x14ac:dyDescent="0.35">
      <c r="A357" s="95" t="s">
        <v>360</v>
      </c>
    </row>
    <row r="358" spans="1:1" x14ac:dyDescent="0.35">
      <c r="A358" s="95" t="s">
        <v>386</v>
      </c>
    </row>
    <row r="359" spans="1:1" x14ac:dyDescent="0.35">
      <c r="A359" s="95" t="s">
        <v>386</v>
      </c>
    </row>
    <row r="360" spans="1:1" x14ac:dyDescent="0.35">
      <c r="A360" s="95" t="s">
        <v>386</v>
      </c>
    </row>
    <row r="361" spans="1:1" x14ac:dyDescent="0.35">
      <c r="A361" s="95" t="s">
        <v>1172</v>
      </c>
    </row>
    <row r="362" spans="1:1" x14ac:dyDescent="0.35">
      <c r="A362" s="95" t="s">
        <v>485</v>
      </c>
    </row>
    <row r="363" spans="1:1" x14ac:dyDescent="0.35">
      <c r="A363" s="95" t="s">
        <v>432</v>
      </c>
    </row>
    <row r="364" spans="1:1" x14ac:dyDescent="0.35">
      <c r="A364" s="95" t="s">
        <v>432</v>
      </c>
    </row>
    <row r="365" spans="1:1" x14ac:dyDescent="0.35">
      <c r="A365" s="95" t="s">
        <v>636</v>
      </c>
    </row>
    <row r="366" spans="1:1" x14ac:dyDescent="0.35">
      <c r="A366" s="95" t="s">
        <v>360</v>
      </c>
    </row>
    <row r="367" spans="1:1" x14ac:dyDescent="0.35">
      <c r="A367" s="95" t="s">
        <v>360</v>
      </c>
    </row>
    <row r="368" spans="1:1" x14ac:dyDescent="0.35">
      <c r="A368" s="95" t="s">
        <v>629</v>
      </c>
    </row>
    <row r="369" spans="1:1" x14ac:dyDescent="0.35">
      <c r="A369" s="95" t="s">
        <v>905</v>
      </c>
    </row>
    <row r="370" spans="1:1" x14ac:dyDescent="0.35">
      <c r="A370" s="95" t="s">
        <v>905</v>
      </c>
    </row>
    <row r="371" spans="1:1" x14ac:dyDescent="0.35">
      <c r="A371" s="95" t="s">
        <v>905</v>
      </c>
    </row>
    <row r="372" spans="1:1" x14ac:dyDescent="0.35">
      <c r="A372" s="95" t="s">
        <v>2138</v>
      </c>
    </row>
    <row r="373" spans="1:1" x14ac:dyDescent="0.35">
      <c r="A373" s="95" t="s">
        <v>380</v>
      </c>
    </row>
    <row r="374" spans="1:1" x14ac:dyDescent="0.35">
      <c r="A374" s="95" t="s">
        <v>1242</v>
      </c>
    </row>
    <row r="375" spans="1:1" x14ac:dyDescent="0.35">
      <c r="A375" s="95" t="s">
        <v>543</v>
      </c>
    </row>
    <row r="376" spans="1:1" x14ac:dyDescent="0.35">
      <c r="A376" s="95" t="s">
        <v>397</v>
      </c>
    </row>
    <row r="377" spans="1:1" x14ac:dyDescent="0.35">
      <c r="A377" s="95" t="s">
        <v>230</v>
      </c>
    </row>
    <row r="378" spans="1:1" x14ac:dyDescent="0.35">
      <c r="A378" s="95" t="s">
        <v>1631</v>
      </c>
    </row>
    <row r="379" spans="1:1" x14ac:dyDescent="0.35">
      <c r="A379" s="95" t="s">
        <v>630</v>
      </c>
    </row>
    <row r="380" spans="1:1" x14ac:dyDescent="0.35">
      <c r="A380" s="95" t="s">
        <v>630</v>
      </c>
    </row>
    <row r="381" spans="1:1" x14ac:dyDescent="0.35">
      <c r="A381" s="95" t="s">
        <v>1039</v>
      </c>
    </row>
    <row r="382" spans="1:1" x14ac:dyDescent="0.35">
      <c r="A382" s="95" t="s">
        <v>376</v>
      </c>
    </row>
    <row r="383" spans="1:1" x14ac:dyDescent="0.35">
      <c r="A383" s="95" t="s">
        <v>1275</v>
      </c>
    </row>
    <row r="384" spans="1:1" x14ac:dyDescent="0.35">
      <c r="A384" s="95" t="s">
        <v>1275</v>
      </c>
    </row>
    <row r="385" spans="1:1" x14ac:dyDescent="0.35">
      <c r="A385" s="95" t="s">
        <v>1984</v>
      </c>
    </row>
    <row r="386" spans="1:1" x14ac:dyDescent="0.35">
      <c r="A386" s="95" t="s">
        <v>341</v>
      </c>
    </row>
    <row r="387" spans="1:1" x14ac:dyDescent="0.35">
      <c r="A387" s="95" t="s">
        <v>634</v>
      </c>
    </row>
    <row r="388" spans="1:1" x14ac:dyDescent="0.35">
      <c r="A388" s="95" t="s">
        <v>634</v>
      </c>
    </row>
    <row r="389" spans="1:1" x14ac:dyDescent="0.35">
      <c r="A389" s="95" t="s">
        <v>903</v>
      </c>
    </row>
    <row r="390" spans="1:1" x14ac:dyDescent="0.35">
      <c r="A390" s="95" t="s">
        <v>1218</v>
      </c>
    </row>
    <row r="391" spans="1:1" x14ac:dyDescent="0.35">
      <c r="A391" s="95" t="s">
        <v>1126</v>
      </c>
    </row>
    <row r="392" spans="1:1" x14ac:dyDescent="0.35">
      <c r="A392" s="95" t="s">
        <v>1222</v>
      </c>
    </row>
    <row r="393" spans="1:1" x14ac:dyDescent="0.35">
      <c r="A393" s="95" t="s">
        <v>851</v>
      </c>
    </row>
    <row r="394" spans="1:1" x14ac:dyDescent="0.35">
      <c r="A394" s="95" t="s">
        <v>185</v>
      </c>
    </row>
    <row r="395" spans="1:1" x14ac:dyDescent="0.35">
      <c r="A395" s="95" t="s">
        <v>185</v>
      </c>
    </row>
    <row r="396" spans="1:1" x14ac:dyDescent="0.35">
      <c r="A396" s="95" t="s">
        <v>185</v>
      </c>
    </row>
    <row r="397" spans="1:1" x14ac:dyDescent="0.35">
      <c r="A397" s="95" t="s">
        <v>726</v>
      </c>
    </row>
    <row r="398" spans="1:1" x14ac:dyDescent="0.35">
      <c r="A398" s="95" t="s">
        <v>848</v>
      </c>
    </row>
    <row r="399" spans="1:1" x14ac:dyDescent="0.35">
      <c r="A399" s="95" t="s">
        <v>1021</v>
      </c>
    </row>
    <row r="400" spans="1:1" x14ac:dyDescent="0.35">
      <c r="A400" s="95" t="s">
        <v>1021</v>
      </c>
    </row>
    <row r="401" spans="1:1" x14ac:dyDescent="0.35">
      <c r="A401" s="95" t="s">
        <v>1285</v>
      </c>
    </row>
    <row r="402" spans="1:1" x14ac:dyDescent="0.35">
      <c r="A402" s="95" t="s">
        <v>2107</v>
      </c>
    </row>
    <row r="403" spans="1:1" x14ac:dyDescent="0.35">
      <c r="A403" s="95" t="s">
        <v>1868</v>
      </c>
    </row>
    <row r="404" spans="1:1" x14ac:dyDescent="0.35">
      <c r="A404" s="95" t="s">
        <v>367</v>
      </c>
    </row>
    <row r="405" spans="1:1" x14ac:dyDescent="0.35">
      <c r="A405" s="95" t="s">
        <v>367</v>
      </c>
    </row>
    <row r="406" spans="1:1" x14ac:dyDescent="0.35">
      <c r="A406" s="95" t="s">
        <v>1862</v>
      </c>
    </row>
    <row r="407" spans="1:1" x14ac:dyDescent="0.35">
      <c r="A407" s="95" t="s">
        <v>1862</v>
      </c>
    </row>
    <row r="408" spans="1:1" x14ac:dyDescent="0.35">
      <c r="A408" s="95" t="s">
        <v>699</v>
      </c>
    </row>
    <row r="409" spans="1:1" x14ac:dyDescent="0.35">
      <c r="A409" s="95" t="s">
        <v>699</v>
      </c>
    </row>
    <row r="410" spans="1:1" x14ac:dyDescent="0.35">
      <c r="A410" s="95" t="s">
        <v>1186</v>
      </c>
    </row>
    <row r="411" spans="1:1" x14ac:dyDescent="0.35">
      <c r="A411" s="95" t="s">
        <v>1186</v>
      </c>
    </row>
    <row r="412" spans="1:1" x14ac:dyDescent="0.35">
      <c r="A412" s="95" t="s">
        <v>1186</v>
      </c>
    </row>
    <row r="413" spans="1:1" x14ac:dyDescent="0.35">
      <c r="A413" s="95" t="s">
        <v>888</v>
      </c>
    </row>
    <row r="414" spans="1:1" x14ac:dyDescent="0.35">
      <c r="A414" s="95" t="s">
        <v>888</v>
      </c>
    </row>
    <row r="415" spans="1:1" x14ac:dyDescent="0.35">
      <c r="A415" s="95" t="s">
        <v>308</v>
      </c>
    </row>
    <row r="416" spans="1:1" x14ac:dyDescent="0.35">
      <c r="A416" s="95" t="s">
        <v>308</v>
      </c>
    </row>
    <row r="417" spans="1:1" x14ac:dyDescent="0.35">
      <c r="A417" s="95" t="s">
        <v>252</v>
      </c>
    </row>
    <row r="418" spans="1:1" x14ac:dyDescent="0.35">
      <c r="A418" s="95" t="s">
        <v>252</v>
      </c>
    </row>
    <row r="419" spans="1:1" x14ac:dyDescent="0.35">
      <c r="A419" s="95" t="s">
        <v>371</v>
      </c>
    </row>
    <row r="420" spans="1:1" x14ac:dyDescent="0.35">
      <c r="A420" s="95" t="s">
        <v>371</v>
      </c>
    </row>
    <row r="421" spans="1:1" x14ac:dyDescent="0.35">
      <c r="A421" s="95" t="s">
        <v>801</v>
      </c>
    </row>
    <row r="422" spans="1:1" x14ac:dyDescent="0.35">
      <c r="A422" s="95" t="s">
        <v>801</v>
      </c>
    </row>
    <row r="423" spans="1:1" x14ac:dyDescent="0.35">
      <c r="A423" s="95" t="s">
        <v>274</v>
      </c>
    </row>
    <row r="424" spans="1:1" x14ac:dyDescent="0.35">
      <c r="A424" s="95" t="s">
        <v>354</v>
      </c>
    </row>
    <row r="425" spans="1:1" x14ac:dyDescent="0.35">
      <c r="A425" s="95" t="s">
        <v>936</v>
      </c>
    </row>
    <row r="426" spans="1:1" x14ac:dyDescent="0.35">
      <c r="A426" s="95" t="s">
        <v>248</v>
      </c>
    </row>
    <row r="427" spans="1:1" x14ac:dyDescent="0.35">
      <c r="A427" s="95" t="s">
        <v>248</v>
      </c>
    </row>
    <row r="428" spans="1:1" x14ac:dyDescent="0.35">
      <c r="A428" s="95" t="s">
        <v>248</v>
      </c>
    </row>
    <row r="429" spans="1:1" x14ac:dyDescent="0.35">
      <c r="A429" s="95" t="s">
        <v>1112</v>
      </c>
    </row>
    <row r="430" spans="1:1" x14ac:dyDescent="0.35">
      <c r="A430" s="95" t="s">
        <v>559</v>
      </c>
    </row>
    <row r="431" spans="1:1" x14ac:dyDescent="0.35">
      <c r="A431" s="95" t="s">
        <v>559</v>
      </c>
    </row>
    <row r="432" spans="1:1" x14ac:dyDescent="0.35">
      <c r="A432" s="95" t="s">
        <v>444</v>
      </c>
    </row>
    <row r="433" spans="1:1" x14ac:dyDescent="0.35">
      <c r="A433" s="95" t="s">
        <v>444</v>
      </c>
    </row>
    <row r="434" spans="1:1" x14ac:dyDescent="0.35">
      <c r="A434" s="95" t="s">
        <v>1505</v>
      </c>
    </row>
    <row r="435" spans="1:1" x14ac:dyDescent="0.35">
      <c r="A435" s="95" t="s">
        <v>528</v>
      </c>
    </row>
    <row r="436" spans="1:1" x14ac:dyDescent="0.35">
      <c r="A436" s="95" t="s">
        <v>528</v>
      </c>
    </row>
    <row r="437" spans="1:1" x14ac:dyDescent="0.35">
      <c r="A437" s="95" t="s">
        <v>528</v>
      </c>
    </row>
    <row r="438" spans="1:1" x14ac:dyDescent="0.35">
      <c r="A438" s="95" t="s">
        <v>730</v>
      </c>
    </row>
    <row r="439" spans="1:1" x14ac:dyDescent="0.35">
      <c r="A439" s="95" t="s">
        <v>302</v>
      </c>
    </row>
    <row r="440" spans="1:1" x14ac:dyDescent="0.35">
      <c r="A440" s="95" t="s">
        <v>302</v>
      </c>
    </row>
    <row r="441" spans="1:1" x14ac:dyDescent="0.35">
      <c r="A441" s="95" t="s">
        <v>475</v>
      </c>
    </row>
    <row r="442" spans="1:1" x14ac:dyDescent="0.35">
      <c r="A442" s="95" t="s">
        <v>197</v>
      </c>
    </row>
    <row r="443" spans="1:1" x14ac:dyDescent="0.35">
      <c r="A443" s="95" t="s">
        <v>197</v>
      </c>
    </row>
    <row r="444" spans="1:1" x14ac:dyDescent="0.35">
      <c r="A444" s="95" t="s">
        <v>1385</v>
      </c>
    </row>
    <row r="445" spans="1:1" x14ac:dyDescent="0.35">
      <c r="A445" s="95" t="s">
        <v>1838</v>
      </c>
    </row>
    <row r="446" spans="1:1" x14ac:dyDescent="0.35">
      <c r="A446" s="95" t="s">
        <v>1546</v>
      </c>
    </row>
    <row r="447" spans="1:1" x14ac:dyDescent="0.35">
      <c r="A447" s="95" t="s">
        <v>1363</v>
      </c>
    </row>
    <row r="448" spans="1:1" x14ac:dyDescent="0.35">
      <c r="A448" s="95" t="s">
        <v>1363</v>
      </c>
    </row>
    <row r="449" spans="1:1" x14ac:dyDescent="0.35">
      <c r="A449" s="95" t="s">
        <v>1314</v>
      </c>
    </row>
    <row r="450" spans="1:1" x14ac:dyDescent="0.35">
      <c r="A450" s="95" t="s">
        <v>553</v>
      </c>
    </row>
    <row r="451" spans="1:1" x14ac:dyDescent="0.35">
      <c r="A451" s="95" t="s">
        <v>213</v>
      </c>
    </row>
    <row r="452" spans="1:1" x14ac:dyDescent="0.35">
      <c r="A452" s="95" t="s">
        <v>213</v>
      </c>
    </row>
    <row r="453" spans="1:1" x14ac:dyDescent="0.35">
      <c r="A453" s="95" t="s">
        <v>1622</v>
      </c>
    </row>
    <row r="454" spans="1:1" x14ac:dyDescent="0.35">
      <c r="A454" s="95" t="s">
        <v>512</v>
      </c>
    </row>
    <row r="455" spans="1:1" x14ac:dyDescent="0.35">
      <c r="A455" s="95" t="s">
        <v>512</v>
      </c>
    </row>
    <row r="456" spans="1:1" x14ac:dyDescent="0.35">
      <c r="A456" s="95" t="s">
        <v>512</v>
      </c>
    </row>
    <row r="457" spans="1:1" x14ac:dyDescent="0.35">
      <c r="A457" s="95" t="s">
        <v>573</v>
      </c>
    </row>
    <row r="458" spans="1:1" x14ac:dyDescent="0.35">
      <c r="A458" s="95" t="s">
        <v>573</v>
      </c>
    </row>
    <row r="459" spans="1:1" x14ac:dyDescent="0.35">
      <c r="A459" s="95" t="s">
        <v>1101</v>
      </c>
    </row>
    <row r="460" spans="1:1" x14ac:dyDescent="0.35">
      <c r="A460" s="95" t="s">
        <v>460</v>
      </c>
    </row>
    <row r="461" spans="1:1" x14ac:dyDescent="0.35">
      <c r="A461" s="95" t="s">
        <v>460</v>
      </c>
    </row>
    <row r="462" spans="1:1" x14ac:dyDescent="0.35">
      <c r="A462" s="95" t="s">
        <v>1986</v>
      </c>
    </row>
    <row r="463" spans="1:1" x14ac:dyDescent="0.35">
      <c r="A463" s="95" t="s">
        <v>723</v>
      </c>
    </row>
    <row r="464" spans="1:1" x14ac:dyDescent="0.35">
      <c r="A464" s="95" t="s">
        <v>1580</v>
      </c>
    </row>
    <row r="465" spans="1:1" x14ac:dyDescent="0.35">
      <c r="A465" s="95" t="s">
        <v>916</v>
      </c>
    </row>
    <row r="466" spans="1:1" x14ac:dyDescent="0.35">
      <c r="A466" s="95" t="s">
        <v>532</v>
      </c>
    </row>
    <row r="467" spans="1:1" x14ac:dyDescent="0.35">
      <c r="A467" s="95" t="s">
        <v>1884</v>
      </c>
    </row>
    <row r="468" spans="1:1" x14ac:dyDescent="0.35">
      <c r="A468" s="95" t="s">
        <v>1343</v>
      </c>
    </row>
    <row r="469" spans="1:1" x14ac:dyDescent="0.35">
      <c r="A469" s="95" t="s">
        <v>1343</v>
      </c>
    </row>
    <row r="470" spans="1:1" x14ac:dyDescent="0.35">
      <c r="A470" s="95" t="s">
        <v>521</v>
      </c>
    </row>
    <row r="471" spans="1:1" x14ac:dyDescent="0.35">
      <c r="A471" s="95" t="s">
        <v>521</v>
      </c>
    </row>
    <row r="472" spans="1:1" x14ac:dyDescent="0.35">
      <c r="A472" s="95" t="s">
        <v>1194</v>
      </c>
    </row>
    <row r="473" spans="1:1" x14ac:dyDescent="0.35">
      <c r="A473" s="95" t="s">
        <v>427</v>
      </c>
    </row>
    <row r="474" spans="1:1" x14ac:dyDescent="0.35">
      <c r="A474" s="95" t="s">
        <v>186</v>
      </c>
    </row>
    <row r="475" spans="1:1" x14ac:dyDescent="0.35">
      <c r="A475" s="95" t="s">
        <v>314</v>
      </c>
    </row>
    <row r="476" spans="1:1" x14ac:dyDescent="0.35">
      <c r="A476" s="95" t="s">
        <v>314</v>
      </c>
    </row>
    <row r="477" spans="1:1" x14ac:dyDescent="0.35">
      <c r="A477" s="95" t="s">
        <v>314</v>
      </c>
    </row>
    <row r="478" spans="1:1" x14ac:dyDescent="0.35">
      <c r="A478" s="95" t="s">
        <v>412</v>
      </c>
    </row>
    <row r="479" spans="1:1" x14ac:dyDescent="0.35">
      <c r="A479" s="95" t="s">
        <v>234</v>
      </c>
    </row>
    <row r="480" spans="1:1" x14ac:dyDescent="0.35">
      <c r="A480" s="95" t="s">
        <v>242</v>
      </c>
    </row>
    <row r="481" spans="1:1" x14ac:dyDescent="0.35">
      <c r="A481" s="95" t="s">
        <v>1341</v>
      </c>
    </row>
    <row r="482" spans="1:1" x14ac:dyDescent="0.35">
      <c r="A482" s="95" t="s">
        <v>242</v>
      </c>
    </row>
    <row r="483" spans="1:1" x14ac:dyDescent="0.35">
      <c r="A483" s="95" t="s">
        <v>1230</v>
      </c>
    </row>
    <row r="484" spans="1:1" x14ac:dyDescent="0.35">
      <c r="A484" s="95" t="s">
        <v>1230</v>
      </c>
    </row>
    <row r="485" spans="1:1" x14ac:dyDescent="0.35">
      <c r="A485" s="95" t="s">
        <v>6240</v>
      </c>
    </row>
    <row r="486" spans="1:1" x14ac:dyDescent="0.35">
      <c r="A486" s="95" t="s">
        <v>1413</v>
      </c>
    </row>
    <row r="487" spans="1:1" x14ac:dyDescent="0.35">
      <c r="A487" s="95" t="s">
        <v>1413</v>
      </c>
    </row>
    <row r="488" spans="1:1" x14ac:dyDescent="0.35">
      <c r="A488" s="95" t="s">
        <v>1196</v>
      </c>
    </row>
    <row r="489" spans="1:1" x14ac:dyDescent="0.35">
      <c r="A489" s="95" t="s">
        <v>1196</v>
      </c>
    </row>
    <row r="490" spans="1:1" x14ac:dyDescent="0.35">
      <c r="A490" s="95" t="s">
        <v>260</v>
      </c>
    </row>
    <row r="491" spans="1:1" x14ac:dyDescent="0.35">
      <c r="A491" s="95" t="s">
        <v>260</v>
      </c>
    </row>
    <row r="492" spans="1:1" x14ac:dyDescent="0.35">
      <c r="A492" s="95" t="s">
        <v>1240</v>
      </c>
    </row>
    <row r="493" spans="1:1" x14ac:dyDescent="0.35">
      <c r="A493" s="95" t="s">
        <v>792</v>
      </c>
    </row>
    <row r="494" spans="1:1" x14ac:dyDescent="0.35">
      <c r="A494" s="95" t="s">
        <v>1788</v>
      </c>
    </row>
    <row r="495" spans="1:1" x14ac:dyDescent="0.35">
      <c r="A495" s="95" t="s">
        <v>994</v>
      </c>
    </row>
    <row r="496" spans="1:1" x14ac:dyDescent="0.35">
      <c r="A496" s="95" t="s">
        <v>358</v>
      </c>
    </row>
    <row r="497" spans="1:1" x14ac:dyDescent="0.35">
      <c r="A497" s="95" t="s">
        <v>358</v>
      </c>
    </row>
    <row r="498" spans="1:1" x14ac:dyDescent="0.35">
      <c r="A498" s="95" t="s">
        <v>1107</v>
      </c>
    </row>
    <row r="499" spans="1:1" x14ac:dyDescent="0.35">
      <c r="A499" s="95" t="s">
        <v>539</v>
      </c>
    </row>
    <row r="500" spans="1:1" x14ac:dyDescent="0.35">
      <c r="A500" s="95" t="s">
        <v>539</v>
      </c>
    </row>
    <row r="501" spans="1:1" x14ac:dyDescent="0.35">
      <c r="A501" s="95" t="s">
        <v>611</v>
      </c>
    </row>
    <row r="502" spans="1:1" x14ac:dyDescent="0.35">
      <c r="A502" s="95" t="s">
        <v>611</v>
      </c>
    </row>
    <row r="503" spans="1:1" x14ac:dyDescent="0.35">
      <c r="A503" s="95" t="s">
        <v>611</v>
      </c>
    </row>
    <row r="504" spans="1:1" x14ac:dyDescent="0.35">
      <c r="A504" s="95" t="s">
        <v>503</v>
      </c>
    </row>
    <row r="505" spans="1:1" x14ac:dyDescent="0.35">
      <c r="A505" s="95" t="s">
        <v>1452</v>
      </c>
    </row>
    <row r="506" spans="1:1" x14ac:dyDescent="0.35">
      <c r="A506" s="95" t="s">
        <v>569</v>
      </c>
    </row>
    <row r="507" spans="1:1" x14ac:dyDescent="0.35">
      <c r="A507" s="95" t="s">
        <v>569</v>
      </c>
    </row>
    <row r="508" spans="1:1" x14ac:dyDescent="0.35">
      <c r="A508" s="95" t="s">
        <v>214</v>
      </c>
    </row>
    <row r="509" spans="1:1" x14ac:dyDescent="0.35">
      <c r="A509" s="95" t="s">
        <v>214</v>
      </c>
    </row>
    <row r="510" spans="1:1" x14ac:dyDescent="0.35">
      <c r="A510" s="95" t="s">
        <v>338</v>
      </c>
    </row>
    <row r="511" spans="1:1" x14ac:dyDescent="0.35">
      <c r="A511" s="95" t="s">
        <v>338</v>
      </c>
    </row>
    <row r="512" spans="1:1" x14ac:dyDescent="0.35">
      <c r="A512" s="95" t="s">
        <v>523</v>
      </c>
    </row>
    <row r="513" spans="1:1" x14ac:dyDescent="0.35">
      <c r="A513" s="95" t="s">
        <v>2239</v>
      </c>
    </row>
    <row r="514" spans="1:1" x14ac:dyDescent="0.35">
      <c r="A514" s="95" t="s">
        <v>348</v>
      </c>
    </row>
    <row r="515" spans="1:1" x14ac:dyDescent="0.35">
      <c r="A515" s="95" t="s">
        <v>348</v>
      </c>
    </row>
    <row r="516" spans="1:1" x14ac:dyDescent="0.35">
      <c r="A516" s="95" t="s">
        <v>976</v>
      </c>
    </row>
    <row r="517" spans="1:1" x14ac:dyDescent="0.35">
      <c r="A517" s="95" t="s">
        <v>803</v>
      </c>
    </row>
    <row r="518" spans="1:1" x14ac:dyDescent="0.35">
      <c r="A518" s="95" t="s">
        <v>346</v>
      </c>
    </row>
    <row r="519" spans="1:1" x14ac:dyDescent="0.35">
      <c r="A519" s="95" t="s">
        <v>346</v>
      </c>
    </row>
    <row r="520" spans="1:1" x14ac:dyDescent="0.35">
      <c r="A520" s="95" t="s">
        <v>1939</v>
      </c>
    </row>
    <row r="521" spans="1:1" x14ac:dyDescent="0.35">
      <c r="A521" s="95" t="s">
        <v>1073</v>
      </c>
    </row>
    <row r="522" spans="1:1" x14ac:dyDescent="0.35">
      <c r="A522" s="95" t="s">
        <v>342</v>
      </c>
    </row>
    <row r="523" spans="1:1" x14ac:dyDescent="0.35">
      <c r="A523" s="95" t="s">
        <v>218</v>
      </c>
    </row>
    <row r="524" spans="1:1" x14ac:dyDescent="0.35">
      <c r="A524" s="95" t="s">
        <v>1421</v>
      </c>
    </row>
    <row r="525" spans="1:1" x14ac:dyDescent="0.35">
      <c r="A525" s="95" t="s">
        <v>408</v>
      </c>
    </row>
    <row r="526" spans="1:1" x14ac:dyDescent="0.35">
      <c r="A526" s="95" t="s">
        <v>331</v>
      </c>
    </row>
    <row r="527" spans="1:1" x14ac:dyDescent="0.35">
      <c r="A527" s="95" t="s">
        <v>331</v>
      </c>
    </row>
    <row r="528" spans="1:1" x14ac:dyDescent="0.35">
      <c r="A528" s="95" t="s">
        <v>499</v>
      </c>
    </row>
    <row r="529" spans="1:1" x14ac:dyDescent="0.35">
      <c r="A529" s="95" t="s">
        <v>499</v>
      </c>
    </row>
    <row r="530" spans="1:1" x14ac:dyDescent="0.35">
      <c r="A530" s="95" t="s">
        <v>864</v>
      </c>
    </row>
    <row r="531" spans="1:1" x14ac:dyDescent="0.35">
      <c r="A531" s="95" t="s">
        <v>1544</v>
      </c>
    </row>
    <row r="532" spans="1:1" x14ac:dyDescent="0.35">
      <c r="A532" s="95" t="s">
        <v>1544</v>
      </c>
    </row>
    <row r="533" spans="1:1" x14ac:dyDescent="0.35">
      <c r="A533" s="95" t="s">
        <v>1544</v>
      </c>
    </row>
    <row r="534" spans="1:1" x14ac:dyDescent="0.35">
      <c r="A534" s="95" t="s">
        <v>850</v>
      </c>
    </row>
    <row r="535" spans="1:1" x14ac:dyDescent="0.35">
      <c r="A535" s="95" t="s">
        <v>279</v>
      </c>
    </row>
    <row r="536" spans="1:1" x14ac:dyDescent="0.35">
      <c r="A536" s="95" t="s">
        <v>497</v>
      </c>
    </row>
    <row r="537" spans="1:1" x14ac:dyDescent="0.35">
      <c r="A537" s="95" t="s">
        <v>497</v>
      </c>
    </row>
    <row r="538" spans="1:1" x14ac:dyDescent="0.35">
      <c r="A538" s="95" t="s">
        <v>1722</v>
      </c>
    </row>
    <row r="539" spans="1:1" x14ac:dyDescent="0.35">
      <c r="A539" s="95" t="s">
        <v>1281</v>
      </c>
    </row>
    <row r="540" spans="1:1" x14ac:dyDescent="0.35">
      <c r="A540" s="95" t="s">
        <v>758</v>
      </c>
    </row>
    <row r="541" spans="1:1" x14ac:dyDescent="0.35">
      <c r="A541" s="95" t="s">
        <v>1180</v>
      </c>
    </row>
    <row r="542" spans="1:1" x14ac:dyDescent="0.35">
      <c r="A542" s="95" t="s">
        <v>1180</v>
      </c>
    </row>
    <row r="543" spans="1:1" x14ac:dyDescent="0.35">
      <c r="A543" s="95" t="s">
        <v>599</v>
      </c>
    </row>
    <row r="544" spans="1:1" x14ac:dyDescent="0.35">
      <c r="A544" s="95" t="s">
        <v>1511</v>
      </c>
    </row>
    <row r="545" spans="1:1" x14ac:dyDescent="0.35">
      <c r="A545" s="95" t="s">
        <v>872</v>
      </c>
    </row>
    <row r="546" spans="1:1" x14ac:dyDescent="0.35">
      <c r="A546" s="95" t="s">
        <v>1153</v>
      </c>
    </row>
    <row r="547" spans="1:1" x14ac:dyDescent="0.35">
      <c r="A547" s="95" t="s">
        <v>1359</v>
      </c>
    </row>
    <row r="548" spans="1:1" x14ac:dyDescent="0.35">
      <c r="A548" s="95" t="s">
        <v>507</v>
      </c>
    </row>
    <row r="549" spans="1:1" x14ac:dyDescent="0.35">
      <c r="A549" s="95" t="s">
        <v>1012</v>
      </c>
    </row>
    <row r="550" spans="1:1" x14ac:dyDescent="0.35">
      <c r="A550" s="95" t="s">
        <v>1083</v>
      </c>
    </row>
    <row r="551" spans="1:1" x14ac:dyDescent="0.35">
      <c r="A551" s="95" t="s">
        <v>4538</v>
      </c>
    </row>
    <row r="552" spans="1:1" x14ac:dyDescent="0.35">
      <c r="A552" s="95" t="s">
        <v>1257</v>
      </c>
    </row>
    <row r="553" spans="1:1" x14ac:dyDescent="0.35">
      <c r="A553" s="95" t="s">
        <v>6241</v>
      </c>
    </row>
    <row r="554" spans="1:1" x14ac:dyDescent="0.35">
      <c r="A554" s="95" t="s">
        <v>623</v>
      </c>
    </row>
    <row r="555" spans="1:1" x14ac:dyDescent="0.35">
      <c r="A555" s="95" t="s">
        <v>2399</v>
      </c>
    </row>
    <row r="556" spans="1:1" x14ac:dyDescent="0.35">
      <c r="A556" s="95" t="s">
        <v>6239</v>
      </c>
    </row>
    <row r="557" spans="1:1" x14ac:dyDescent="0.35">
      <c r="A557" s="95" t="s">
        <v>577</v>
      </c>
    </row>
    <row r="558" spans="1:1" x14ac:dyDescent="0.35">
      <c r="A558" s="95" t="s">
        <v>577</v>
      </c>
    </row>
    <row r="559" spans="1:1" x14ac:dyDescent="0.35">
      <c r="A559" s="95" t="s">
        <v>587</v>
      </c>
    </row>
    <row r="560" spans="1:1" x14ac:dyDescent="0.35">
      <c r="A560" s="95" t="s">
        <v>587</v>
      </c>
    </row>
    <row r="561" spans="1:1" x14ac:dyDescent="0.35">
      <c r="A561" s="95" t="s">
        <v>587</v>
      </c>
    </row>
    <row r="562" spans="1:1" x14ac:dyDescent="0.35">
      <c r="A562" s="95" t="s">
        <v>374</v>
      </c>
    </row>
    <row r="563" spans="1:1" x14ac:dyDescent="0.35">
      <c r="A563" s="95" t="s">
        <v>344</v>
      </c>
    </row>
    <row r="564" spans="1:1" x14ac:dyDescent="0.35">
      <c r="A564" s="95" t="s">
        <v>788</v>
      </c>
    </row>
    <row r="565" spans="1:1" x14ac:dyDescent="0.35">
      <c r="A565" s="95" t="s">
        <v>6242</v>
      </c>
    </row>
    <row r="566" spans="1:1" x14ac:dyDescent="0.35">
      <c r="A566" s="95" t="s">
        <v>6242</v>
      </c>
    </row>
    <row r="567" spans="1:1" x14ac:dyDescent="0.35">
      <c r="A567" s="95" t="s">
        <v>6242</v>
      </c>
    </row>
    <row r="568" spans="1:1" x14ac:dyDescent="0.35">
      <c r="A568" s="95" t="s">
        <v>6242</v>
      </c>
    </row>
    <row r="569" spans="1:1" x14ac:dyDescent="0.35">
      <c r="A569" s="95" t="s">
        <v>6242</v>
      </c>
    </row>
    <row r="570" spans="1:1" x14ac:dyDescent="0.35">
      <c r="A570" s="95" t="s">
        <v>6242</v>
      </c>
    </row>
    <row r="571" spans="1:1" x14ac:dyDescent="0.35">
      <c r="A571" s="95" t="s">
        <v>6242</v>
      </c>
    </row>
    <row r="572" spans="1:1" x14ac:dyDescent="0.35">
      <c r="A572" s="95" t="s">
        <v>6242</v>
      </c>
    </row>
    <row r="573" spans="1:1" x14ac:dyDescent="0.35">
      <c r="A573" s="95" t="s">
        <v>6242</v>
      </c>
    </row>
    <row r="574" spans="1:1" x14ac:dyDescent="0.35">
      <c r="A574" s="95" t="s">
        <v>6242</v>
      </c>
    </row>
    <row r="575" spans="1:1" x14ac:dyDescent="0.35">
      <c r="A575" s="95" t="s">
        <v>6242</v>
      </c>
    </row>
    <row r="576" spans="1:1" x14ac:dyDescent="0.35">
      <c r="A576" s="95" t="s">
        <v>6242</v>
      </c>
    </row>
    <row r="577" spans="1:1" x14ac:dyDescent="0.35">
      <c r="A577" s="95" t="s">
        <v>6242</v>
      </c>
    </row>
    <row r="578" spans="1:1" x14ac:dyDescent="0.35">
      <c r="A578" s="95" t="s">
        <v>6242</v>
      </c>
    </row>
    <row r="579" spans="1:1" x14ac:dyDescent="0.35">
      <c r="A579" s="95" t="s">
        <v>6242</v>
      </c>
    </row>
    <row r="580" spans="1:1" x14ac:dyDescent="0.35">
      <c r="A580" s="95" t="s">
        <v>6242</v>
      </c>
    </row>
    <row r="581" spans="1:1" x14ac:dyDescent="0.35">
      <c r="A581" s="95" t="s">
        <v>6242</v>
      </c>
    </row>
    <row r="582" spans="1:1" x14ac:dyDescent="0.35">
      <c r="A582" s="95" t="s">
        <v>6242</v>
      </c>
    </row>
    <row r="583" spans="1:1" x14ac:dyDescent="0.35">
      <c r="A583" s="95" t="s">
        <v>6242</v>
      </c>
    </row>
    <row r="584" spans="1:1" x14ac:dyDescent="0.35">
      <c r="A584" s="95" t="s">
        <v>6242</v>
      </c>
    </row>
    <row r="585" spans="1:1" x14ac:dyDescent="0.35">
      <c r="A585" s="95" t="s">
        <v>6242</v>
      </c>
    </row>
    <row r="586" spans="1:1" x14ac:dyDescent="0.35">
      <c r="A586" s="95" t="s">
        <v>6242</v>
      </c>
    </row>
    <row r="587" spans="1:1" x14ac:dyDescent="0.35">
      <c r="A587" s="95" t="s">
        <v>6242</v>
      </c>
    </row>
    <row r="588" spans="1:1" x14ac:dyDescent="0.35">
      <c r="A588" s="95" t="s">
        <v>6242</v>
      </c>
    </row>
    <row r="589" spans="1:1" x14ac:dyDescent="0.35">
      <c r="A589" s="95" t="s">
        <v>6242</v>
      </c>
    </row>
    <row r="590" spans="1:1" x14ac:dyDescent="0.35">
      <c r="A590" s="95" t="s">
        <v>6242</v>
      </c>
    </row>
    <row r="591" spans="1:1" x14ac:dyDescent="0.35">
      <c r="A591" s="95" t="s">
        <v>6242</v>
      </c>
    </row>
    <row r="592" spans="1:1" x14ac:dyDescent="0.35">
      <c r="A592" s="95" t="s">
        <v>6242</v>
      </c>
    </row>
    <row r="593" spans="1:1" x14ac:dyDescent="0.35">
      <c r="A593" s="95" t="s">
        <v>6242</v>
      </c>
    </row>
    <row r="594" spans="1:1" x14ac:dyDescent="0.35">
      <c r="A594" s="95" t="s">
        <v>6242</v>
      </c>
    </row>
    <row r="595" spans="1:1" x14ac:dyDescent="0.35">
      <c r="A595" s="95" t="s">
        <v>6242</v>
      </c>
    </row>
    <row r="596" spans="1:1" x14ac:dyDescent="0.35">
      <c r="A596" s="95" t="s">
        <v>6242</v>
      </c>
    </row>
    <row r="597" spans="1:1" x14ac:dyDescent="0.35">
      <c r="A597" s="95" t="s">
        <v>6242</v>
      </c>
    </row>
    <row r="598" spans="1:1" x14ac:dyDescent="0.35">
      <c r="A598" s="95" t="s">
        <v>6242</v>
      </c>
    </row>
    <row r="599" spans="1:1" x14ac:dyDescent="0.35">
      <c r="A599" s="95" t="s">
        <v>6242</v>
      </c>
    </row>
    <row r="600" spans="1:1" x14ac:dyDescent="0.35">
      <c r="A600" s="95" t="s">
        <v>6242</v>
      </c>
    </row>
    <row r="601" spans="1:1" x14ac:dyDescent="0.35">
      <c r="A601" s="95" t="s">
        <v>6242</v>
      </c>
    </row>
    <row r="602" spans="1:1" x14ac:dyDescent="0.35">
      <c r="A602" s="95" t="s">
        <v>6242</v>
      </c>
    </row>
    <row r="603" spans="1:1" x14ac:dyDescent="0.35">
      <c r="A603" s="95" t="s">
        <v>6242</v>
      </c>
    </row>
    <row r="604" spans="1:1" x14ac:dyDescent="0.35">
      <c r="A604" s="95" t="s">
        <v>6242</v>
      </c>
    </row>
    <row r="605" spans="1:1" x14ac:dyDescent="0.35">
      <c r="A605" s="95" t="s">
        <v>6242</v>
      </c>
    </row>
    <row r="606" spans="1:1" x14ac:dyDescent="0.35">
      <c r="A606" s="95" t="s">
        <v>6242</v>
      </c>
    </row>
    <row r="607" spans="1:1" x14ac:dyDescent="0.35">
      <c r="A607" s="95" t="s">
        <v>6242</v>
      </c>
    </row>
    <row r="608" spans="1:1" x14ac:dyDescent="0.35">
      <c r="A608" s="95" t="s">
        <v>6242</v>
      </c>
    </row>
    <row r="609" spans="1:1" x14ac:dyDescent="0.35">
      <c r="A609" s="95" t="s">
        <v>6242</v>
      </c>
    </row>
    <row r="610" spans="1:1" x14ac:dyDescent="0.35">
      <c r="A610" s="95" t="s">
        <v>6242</v>
      </c>
    </row>
    <row r="611" spans="1:1" x14ac:dyDescent="0.35">
      <c r="A611" s="95" t="s">
        <v>6242</v>
      </c>
    </row>
    <row r="612" spans="1:1" x14ac:dyDescent="0.35">
      <c r="A612" s="95" t="s">
        <v>6242</v>
      </c>
    </row>
    <row r="613" spans="1:1" x14ac:dyDescent="0.35">
      <c r="A613" s="95" t="s">
        <v>6242</v>
      </c>
    </row>
    <row r="614" spans="1:1" x14ac:dyDescent="0.35">
      <c r="A614" s="95" t="s">
        <v>6242</v>
      </c>
    </row>
    <row r="615" spans="1:1" x14ac:dyDescent="0.35">
      <c r="A615" s="95" t="s">
        <v>6242</v>
      </c>
    </row>
    <row r="616" spans="1:1" x14ac:dyDescent="0.35">
      <c r="A616" s="95" t="s">
        <v>6242</v>
      </c>
    </row>
    <row r="617" spans="1:1" x14ac:dyDescent="0.35">
      <c r="A617" s="95" t="s">
        <v>6242</v>
      </c>
    </row>
    <row r="618" spans="1:1" x14ac:dyDescent="0.35">
      <c r="A618" s="95" t="s">
        <v>6242</v>
      </c>
    </row>
    <row r="619" spans="1:1" x14ac:dyDescent="0.35">
      <c r="A619" s="95" t="s">
        <v>6242</v>
      </c>
    </row>
    <row r="620" spans="1:1" x14ac:dyDescent="0.35">
      <c r="A620" s="95" t="s">
        <v>6242</v>
      </c>
    </row>
    <row r="621" spans="1:1" x14ac:dyDescent="0.35">
      <c r="A621" s="95" t="s">
        <v>6242</v>
      </c>
    </row>
    <row r="622" spans="1:1" x14ac:dyDescent="0.35">
      <c r="A622" s="95" t="s">
        <v>6242</v>
      </c>
    </row>
    <row r="623" spans="1:1" x14ac:dyDescent="0.35">
      <c r="A623" s="95" t="s">
        <v>6242</v>
      </c>
    </row>
    <row r="624" spans="1:1" x14ac:dyDescent="0.35">
      <c r="A624" s="95" t="s">
        <v>6242</v>
      </c>
    </row>
    <row r="625" spans="1:1" x14ac:dyDescent="0.35">
      <c r="A625" s="95" t="s">
        <v>6242</v>
      </c>
    </row>
    <row r="626" spans="1:1" x14ac:dyDescent="0.35">
      <c r="A626" s="95" t="s">
        <v>6242</v>
      </c>
    </row>
    <row r="627" spans="1:1" x14ac:dyDescent="0.35">
      <c r="A627" s="95" t="s">
        <v>6242</v>
      </c>
    </row>
    <row r="628" spans="1:1" x14ac:dyDescent="0.35">
      <c r="A628" s="95" t="s">
        <v>6242</v>
      </c>
    </row>
    <row r="629" spans="1:1" x14ac:dyDescent="0.35">
      <c r="A629" s="95" t="s">
        <v>6242</v>
      </c>
    </row>
    <row r="630" spans="1:1" x14ac:dyDescent="0.35">
      <c r="A630" s="95" t="s">
        <v>6242</v>
      </c>
    </row>
    <row r="631" spans="1:1" x14ac:dyDescent="0.35">
      <c r="A631" s="95" t="s">
        <v>6242</v>
      </c>
    </row>
    <row r="632" spans="1:1" x14ac:dyDescent="0.35">
      <c r="A632" s="95" t="s">
        <v>6242</v>
      </c>
    </row>
    <row r="633" spans="1:1" x14ac:dyDescent="0.35">
      <c r="A633" s="95" t="s">
        <v>6242</v>
      </c>
    </row>
    <row r="634" spans="1:1" x14ac:dyDescent="0.35">
      <c r="A634" s="95" t="s">
        <v>6242</v>
      </c>
    </row>
    <row r="635" spans="1:1" x14ac:dyDescent="0.35">
      <c r="A635" s="95" t="s">
        <v>6242</v>
      </c>
    </row>
    <row r="636" spans="1:1" x14ac:dyDescent="0.35">
      <c r="A636" s="95" t="s">
        <v>6242</v>
      </c>
    </row>
    <row r="637" spans="1:1" x14ac:dyDescent="0.35">
      <c r="A637" s="95" t="s">
        <v>6242</v>
      </c>
    </row>
    <row r="638" spans="1:1" x14ac:dyDescent="0.35">
      <c r="A638" s="95" t="s">
        <v>6242</v>
      </c>
    </row>
    <row r="639" spans="1:1" x14ac:dyDescent="0.35">
      <c r="A639" s="95" t="s">
        <v>6242</v>
      </c>
    </row>
    <row r="640" spans="1:1" x14ac:dyDescent="0.35">
      <c r="A640" s="95" t="s">
        <v>6242</v>
      </c>
    </row>
    <row r="641" spans="1:1" x14ac:dyDescent="0.35">
      <c r="A641" s="95" t="s">
        <v>6242</v>
      </c>
    </row>
    <row r="642" spans="1:1" x14ac:dyDescent="0.35">
      <c r="A642" s="95" t="s">
        <v>6242</v>
      </c>
    </row>
    <row r="643" spans="1:1" x14ac:dyDescent="0.35">
      <c r="A643" s="95" t="s">
        <v>6242</v>
      </c>
    </row>
    <row r="644" spans="1:1" x14ac:dyDescent="0.35">
      <c r="A644" s="95" t="s">
        <v>6242</v>
      </c>
    </row>
    <row r="645" spans="1:1" x14ac:dyDescent="0.35">
      <c r="A645" s="95" t="s">
        <v>6242</v>
      </c>
    </row>
    <row r="646" spans="1:1" x14ac:dyDescent="0.35">
      <c r="A646" s="95" t="s">
        <v>6242</v>
      </c>
    </row>
    <row r="647" spans="1:1" x14ac:dyDescent="0.35">
      <c r="A647" s="95" t="s">
        <v>6242</v>
      </c>
    </row>
    <row r="648" spans="1:1" x14ac:dyDescent="0.35">
      <c r="A648" s="95" t="s">
        <v>6242</v>
      </c>
    </row>
    <row r="649" spans="1:1" x14ac:dyDescent="0.35">
      <c r="A649" s="95" t="s">
        <v>6242</v>
      </c>
    </row>
    <row r="650" spans="1:1" x14ac:dyDescent="0.35">
      <c r="A650" s="95" t="s">
        <v>6242</v>
      </c>
    </row>
    <row r="651" spans="1:1" x14ac:dyDescent="0.35">
      <c r="A651" s="95" t="s">
        <v>6242</v>
      </c>
    </row>
    <row r="652" spans="1:1" x14ac:dyDescent="0.35">
      <c r="A652" s="95" t="s">
        <v>6242</v>
      </c>
    </row>
    <row r="653" spans="1:1" x14ac:dyDescent="0.35">
      <c r="A653" s="95" t="s">
        <v>6242</v>
      </c>
    </row>
    <row r="654" spans="1:1" x14ac:dyDescent="0.35">
      <c r="A654" s="95" t="s">
        <v>6242</v>
      </c>
    </row>
    <row r="655" spans="1:1" x14ac:dyDescent="0.35">
      <c r="A655" s="95" t="s">
        <v>6242</v>
      </c>
    </row>
    <row r="656" spans="1:1" x14ac:dyDescent="0.35">
      <c r="A656" s="95" t="s">
        <v>6242</v>
      </c>
    </row>
    <row r="657" spans="1:1" x14ac:dyDescent="0.35">
      <c r="A657" s="95" t="s">
        <v>6242</v>
      </c>
    </row>
    <row r="658" spans="1:1" x14ac:dyDescent="0.35">
      <c r="A658" s="95" t="s">
        <v>6242</v>
      </c>
    </row>
    <row r="659" spans="1:1" x14ac:dyDescent="0.35">
      <c r="A659" s="95" t="s">
        <v>6242</v>
      </c>
    </row>
    <row r="660" spans="1:1" x14ac:dyDescent="0.35">
      <c r="A660" s="95" t="s">
        <v>6242</v>
      </c>
    </row>
    <row r="661" spans="1:1" x14ac:dyDescent="0.35">
      <c r="A661" s="95" t="s">
        <v>6242</v>
      </c>
    </row>
    <row r="662" spans="1:1" x14ac:dyDescent="0.35">
      <c r="A662" s="95" t="s">
        <v>6242</v>
      </c>
    </row>
    <row r="663" spans="1:1" x14ac:dyDescent="0.35">
      <c r="A663" s="95" t="s">
        <v>6242</v>
      </c>
    </row>
    <row r="664" spans="1:1" x14ac:dyDescent="0.35">
      <c r="A664" s="95" t="s">
        <v>6242</v>
      </c>
    </row>
    <row r="665" spans="1:1" x14ac:dyDescent="0.35">
      <c r="A665" s="95" t="s">
        <v>6242</v>
      </c>
    </row>
    <row r="666" spans="1:1" x14ac:dyDescent="0.35">
      <c r="A666" s="95" t="s">
        <v>6242</v>
      </c>
    </row>
    <row r="667" spans="1:1" x14ac:dyDescent="0.35">
      <c r="A667" s="95" t="s">
        <v>6242</v>
      </c>
    </row>
    <row r="668" spans="1:1" x14ac:dyDescent="0.35">
      <c r="A668" s="95" t="s">
        <v>6242</v>
      </c>
    </row>
    <row r="669" spans="1:1" x14ac:dyDescent="0.35">
      <c r="A669" s="95" t="s">
        <v>6242</v>
      </c>
    </row>
    <row r="670" spans="1:1" x14ac:dyDescent="0.35">
      <c r="A670" s="95" t="s">
        <v>6242</v>
      </c>
    </row>
    <row r="671" spans="1:1" x14ac:dyDescent="0.35">
      <c r="A671" s="95" t="s">
        <v>6242</v>
      </c>
    </row>
    <row r="672" spans="1:1" x14ac:dyDescent="0.35">
      <c r="A672" s="95" t="s">
        <v>6242</v>
      </c>
    </row>
    <row r="673" spans="1:1" x14ac:dyDescent="0.35">
      <c r="A673" s="95" t="s">
        <v>6242</v>
      </c>
    </row>
    <row r="674" spans="1:1" x14ac:dyDescent="0.35">
      <c r="A674" s="95" t="s">
        <v>6242</v>
      </c>
    </row>
    <row r="675" spans="1:1" x14ac:dyDescent="0.35">
      <c r="A675" s="95" t="s">
        <v>6242</v>
      </c>
    </row>
    <row r="676" spans="1:1" x14ac:dyDescent="0.35">
      <c r="A676" s="95" t="s">
        <v>6242</v>
      </c>
    </row>
    <row r="677" spans="1:1" x14ac:dyDescent="0.35">
      <c r="A677" s="95" t="s">
        <v>6242</v>
      </c>
    </row>
    <row r="678" spans="1:1" x14ac:dyDescent="0.35">
      <c r="A678" s="95" t="s">
        <v>6242</v>
      </c>
    </row>
    <row r="679" spans="1:1" x14ac:dyDescent="0.35">
      <c r="A679" s="95" t="s">
        <v>6242</v>
      </c>
    </row>
    <row r="680" spans="1:1" x14ac:dyDescent="0.35">
      <c r="A680" s="95" t="s">
        <v>6242</v>
      </c>
    </row>
    <row r="681" spans="1:1" x14ac:dyDescent="0.35">
      <c r="A681" s="95" t="s">
        <v>6242</v>
      </c>
    </row>
    <row r="682" spans="1:1" x14ac:dyDescent="0.35">
      <c r="A682" s="95" t="s">
        <v>6242</v>
      </c>
    </row>
    <row r="683" spans="1:1" x14ac:dyDescent="0.35">
      <c r="A683" s="95" t="s">
        <v>6242</v>
      </c>
    </row>
    <row r="684" spans="1:1" x14ac:dyDescent="0.35">
      <c r="A684" s="95" t="s">
        <v>6242</v>
      </c>
    </row>
    <row r="685" spans="1:1" x14ac:dyDescent="0.35">
      <c r="A685" s="95" t="s">
        <v>6242</v>
      </c>
    </row>
    <row r="686" spans="1:1" x14ac:dyDescent="0.35">
      <c r="A686" s="95" t="s">
        <v>6242</v>
      </c>
    </row>
    <row r="687" spans="1:1" x14ac:dyDescent="0.35">
      <c r="A687" s="95" t="s">
        <v>6242</v>
      </c>
    </row>
    <row r="688" spans="1:1" x14ac:dyDescent="0.35">
      <c r="A688" s="95" t="s">
        <v>6242</v>
      </c>
    </row>
    <row r="689" spans="1:1" x14ac:dyDescent="0.35">
      <c r="A689" s="95" t="s">
        <v>6242</v>
      </c>
    </row>
    <row r="690" spans="1:1" x14ac:dyDescent="0.35">
      <c r="A690" s="95" t="s">
        <v>6242</v>
      </c>
    </row>
    <row r="691" spans="1:1" x14ac:dyDescent="0.35">
      <c r="A691" s="95" t="s">
        <v>6242</v>
      </c>
    </row>
    <row r="692" spans="1:1" x14ac:dyDescent="0.35">
      <c r="A692" s="95" t="s">
        <v>6242</v>
      </c>
    </row>
    <row r="693" spans="1:1" x14ac:dyDescent="0.35">
      <c r="A693" s="95" t="s">
        <v>6242</v>
      </c>
    </row>
    <row r="694" spans="1:1" x14ac:dyDescent="0.35">
      <c r="A694" s="95" t="s">
        <v>6242</v>
      </c>
    </row>
    <row r="695" spans="1:1" x14ac:dyDescent="0.35">
      <c r="A695" s="95" t="s">
        <v>6242</v>
      </c>
    </row>
    <row r="696" spans="1:1" x14ac:dyDescent="0.35">
      <c r="A696" s="95" t="s">
        <v>6242</v>
      </c>
    </row>
    <row r="697" spans="1:1" x14ac:dyDescent="0.35">
      <c r="A697" s="95" t="s">
        <v>6242</v>
      </c>
    </row>
    <row r="698" spans="1:1" x14ac:dyDescent="0.35">
      <c r="A698" s="95" t="s">
        <v>6242</v>
      </c>
    </row>
    <row r="699" spans="1:1" x14ac:dyDescent="0.35">
      <c r="A699" s="95" t="s">
        <v>6242</v>
      </c>
    </row>
    <row r="700" spans="1:1" x14ac:dyDescent="0.35">
      <c r="A700" s="95" t="s">
        <v>6242</v>
      </c>
    </row>
    <row r="701" spans="1:1" x14ac:dyDescent="0.35">
      <c r="A701" s="95" t="s">
        <v>6242</v>
      </c>
    </row>
    <row r="702" spans="1:1" x14ac:dyDescent="0.35">
      <c r="A702" s="95" t="s">
        <v>6242</v>
      </c>
    </row>
    <row r="703" spans="1:1" x14ac:dyDescent="0.35">
      <c r="A703" s="95" t="s">
        <v>6242</v>
      </c>
    </row>
    <row r="704" spans="1:1" x14ac:dyDescent="0.35">
      <c r="A704" s="95" t="s">
        <v>6242</v>
      </c>
    </row>
    <row r="705" spans="1:1" x14ac:dyDescent="0.35">
      <c r="A705" s="95" t="s">
        <v>6242</v>
      </c>
    </row>
    <row r="706" spans="1:1" x14ac:dyDescent="0.35">
      <c r="A706" s="95" t="s">
        <v>6242</v>
      </c>
    </row>
    <row r="707" spans="1:1" x14ac:dyDescent="0.35">
      <c r="A707" s="95" t="s">
        <v>6242</v>
      </c>
    </row>
    <row r="708" spans="1:1" x14ac:dyDescent="0.35">
      <c r="A708" s="95" t="s">
        <v>6242</v>
      </c>
    </row>
    <row r="709" spans="1:1" x14ac:dyDescent="0.35">
      <c r="A709" s="95" t="s">
        <v>6242</v>
      </c>
    </row>
    <row r="710" spans="1:1" x14ac:dyDescent="0.35">
      <c r="A710" s="95" t="s">
        <v>6242</v>
      </c>
    </row>
    <row r="711" spans="1:1" x14ac:dyDescent="0.35">
      <c r="A711" s="95" t="s">
        <v>6242</v>
      </c>
    </row>
    <row r="712" spans="1:1" x14ac:dyDescent="0.35">
      <c r="A712" s="95" t="s">
        <v>6242</v>
      </c>
    </row>
    <row r="713" spans="1:1" x14ac:dyDescent="0.35">
      <c r="A713" s="95" t="s">
        <v>6242</v>
      </c>
    </row>
    <row r="714" spans="1:1" x14ac:dyDescent="0.35">
      <c r="A714" s="95" t="s">
        <v>6242</v>
      </c>
    </row>
    <row r="715" spans="1:1" x14ac:dyDescent="0.35">
      <c r="A715" s="95" t="s">
        <v>6242</v>
      </c>
    </row>
    <row r="716" spans="1:1" x14ac:dyDescent="0.35">
      <c r="A716" s="95" t="s">
        <v>6242</v>
      </c>
    </row>
    <row r="717" spans="1:1" x14ac:dyDescent="0.35">
      <c r="A717" s="95" t="s">
        <v>6242</v>
      </c>
    </row>
    <row r="718" spans="1:1" x14ac:dyDescent="0.35">
      <c r="A718" s="95" t="s">
        <v>6242</v>
      </c>
    </row>
    <row r="719" spans="1:1" x14ac:dyDescent="0.35">
      <c r="A719" s="95" t="s">
        <v>6242</v>
      </c>
    </row>
    <row r="720" spans="1:1" x14ac:dyDescent="0.35">
      <c r="A720" s="95" t="s">
        <v>6242</v>
      </c>
    </row>
    <row r="721" spans="1:1" x14ac:dyDescent="0.35">
      <c r="A721" s="95" t="s">
        <v>6242</v>
      </c>
    </row>
    <row r="722" spans="1:1" x14ac:dyDescent="0.35">
      <c r="A722" s="95" t="s">
        <v>6242</v>
      </c>
    </row>
    <row r="723" spans="1:1" x14ac:dyDescent="0.35">
      <c r="A723" s="95" t="s">
        <v>6242</v>
      </c>
    </row>
    <row r="724" spans="1:1" x14ac:dyDescent="0.35">
      <c r="A724" s="95" t="s">
        <v>6242</v>
      </c>
    </row>
    <row r="725" spans="1:1" x14ac:dyDescent="0.35">
      <c r="A725" s="95" t="s">
        <v>6242</v>
      </c>
    </row>
    <row r="726" spans="1:1" x14ac:dyDescent="0.35">
      <c r="A726" s="95" t="s">
        <v>6242</v>
      </c>
    </row>
    <row r="727" spans="1:1" x14ac:dyDescent="0.35">
      <c r="A727" s="95" t="s">
        <v>6242</v>
      </c>
    </row>
    <row r="728" spans="1:1" x14ac:dyDescent="0.35">
      <c r="A728" s="95" t="s">
        <v>6242</v>
      </c>
    </row>
    <row r="729" spans="1:1" x14ac:dyDescent="0.35">
      <c r="A729" s="95" t="s">
        <v>6242</v>
      </c>
    </row>
    <row r="730" spans="1:1" x14ac:dyDescent="0.35">
      <c r="A730" s="95" t="s">
        <v>6242</v>
      </c>
    </row>
    <row r="731" spans="1:1" x14ac:dyDescent="0.35">
      <c r="A731" s="95" t="s">
        <v>6242</v>
      </c>
    </row>
    <row r="732" spans="1:1" x14ac:dyDescent="0.35">
      <c r="A732" s="95" t="s">
        <v>6242</v>
      </c>
    </row>
    <row r="733" spans="1:1" x14ac:dyDescent="0.35">
      <c r="A733" s="95" t="s">
        <v>6242</v>
      </c>
    </row>
    <row r="734" spans="1:1" x14ac:dyDescent="0.35">
      <c r="A734" s="95" t="s">
        <v>6242</v>
      </c>
    </row>
    <row r="735" spans="1:1" x14ac:dyDescent="0.35">
      <c r="A735" s="95" t="s">
        <v>6242</v>
      </c>
    </row>
    <row r="736" spans="1:1" x14ac:dyDescent="0.35">
      <c r="A736" s="95" t="s">
        <v>6242</v>
      </c>
    </row>
    <row r="737" spans="1:1" x14ac:dyDescent="0.35">
      <c r="A737" s="95" t="s">
        <v>6242</v>
      </c>
    </row>
    <row r="738" spans="1:1" x14ac:dyDescent="0.35">
      <c r="A738" s="95" t="s">
        <v>6242</v>
      </c>
    </row>
    <row r="739" spans="1:1" x14ac:dyDescent="0.35">
      <c r="A739" s="95" t="s">
        <v>6242</v>
      </c>
    </row>
    <row r="740" spans="1:1" x14ac:dyDescent="0.35">
      <c r="A740" s="95" t="s">
        <v>6242</v>
      </c>
    </row>
    <row r="741" spans="1:1" x14ac:dyDescent="0.35">
      <c r="A741" s="95" t="s">
        <v>6242</v>
      </c>
    </row>
    <row r="742" spans="1:1" x14ac:dyDescent="0.35">
      <c r="A742" s="95" t="s">
        <v>6242</v>
      </c>
    </row>
    <row r="743" spans="1:1" x14ac:dyDescent="0.35">
      <c r="A743" s="95" t="s">
        <v>6242</v>
      </c>
    </row>
    <row r="744" spans="1:1" x14ac:dyDescent="0.35">
      <c r="A744" s="95" t="s">
        <v>6242</v>
      </c>
    </row>
    <row r="745" spans="1:1" x14ac:dyDescent="0.35">
      <c r="A745" s="95" t="s">
        <v>6242</v>
      </c>
    </row>
    <row r="746" spans="1:1" x14ac:dyDescent="0.35">
      <c r="A746" s="95" t="s">
        <v>6242</v>
      </c>
    </row>
    <row r="747" spans="1:1" x14ac:dyDescent="0.35">
      <c r="A747" s="95" t="s">
        <v>6242</v>
      </c>
    </row>
    <row r="748" spans="1:1" x14ac:dyDescent="0.35">
      <c r="A748" s="95" t="s">
        <v>6242</v>
      </c>
    </row>
    <row r="749" spans="1:1" x14ac:dyDescent="0.35">
      <c r="A749" s="95" t="s">
        <v>6242</v>
      </c>
    </row>
    <row r="750" spans="1:1" x14ac:dyDescent="0.35">
      <c r="A750" s="95" t="s">
        <v>6242</v>
      </c>
    </row>
    <row r="751" spans="1:1" x14ac:dyDescent="0.35">
      <c r="A751" s="95" t="s">
        <v>6242</v>
      </c>
    </row>
    <row r="752" spans="1:1" x14ac:dyDescent="0.35">
      <c r="A752" s="95" t="s">
        <v>6242</v>
      </c>
    </row>
    <row r="753" spans="1:1" x14ac:dyDescent="0.35">
      <c r="A753" s="95" t="s">
        <v>6242</v>
      </c>
    </row>
    <row r="754" spans="1:1" x14ac:dyDescent="0.35">
      <c r="A754" s="95" t="s">
        <v>6242</v>
      </c>
    </row>
    <row r="755" spans="1:1" x14ac:dyDescent="0.35">
      <c r="A755" s="95" t="s">
        <v>6242</v>
      </c>
    </row>
    <row r="756" spans="1:1" x14ac:dyDescent="0.35">
      <c r="A756" s="95" t="s">
        <v>6242</v>
      </c>
    </row>
    <row r="757" spans="1:1" x14ac:dyDescent="0.35">
      <c r="A757" s="95" t="s">
        <v>6242</v>
      </c>
    </row>
    <row r="758" spans="1:1" x14ac:dyDescent="0.35">
      <c r="A758" s="95" t="s">
        <v>6242</v>
      </c>
    </row>
    <row r="759" spans="1:1" x14ac:dyDescent="0.35">
      <c r="A759" s="95" t="s">
        <v>6242</v>
      </c>
    </row>
    <row r="760" spans="1:1" x14ac:dyDescent="0.35">
      <c r="A760" s="95" t="s">
        <v>6242</v>
      </c>
    </row>
    <row r="761" spans="1:1" x14ac:dyDescent="0.35">
      <c r="A761" s="95" t="s">
        <v>6242</v>
      </c>
    </row>
    <row r="762" spans="1:1" x14ac:dyDescent="0.35">
      <c r="A762" s="95" t="s">
        <v>6242</v>
      </c>
    </row>
    <row r="763" spans="1:1" x14ac:dyDescent="0.35">
      <c r="A763" s="95" t="s">
        <v>6242</v>
      </c>
    </row>
    <row r="764" spans="1:1" x14ac:dyDescent="0.35">
      <c r="A764" s="95" t="s">
        <v>6242</v>
      </c>
    </row>
    <row r="765" spans="1:1" x14ac:dyDescent="0.35">
      <c r="A765" s="95" t="s">
        <v>6242</v>
      </c>
    </row>
    <row r="766" spans="1:1" x14ac:dyDescent="0.35">
      <c r="A766" s="95" t="s">
        <v>6242</v>
      </c>
    </row>
    <row r="767" spans="1:1" x14ac:dyDescent="0.35">
      <c r="A767" s="95" t="s">
        <v>6242</v>
      </c>
    </row>
    <row r="768" spans="1:1" x14ac:dyDescent="0.35">
      <c r="A768" s="95" t="s">
        <v>6242</v>
      </c>
    </row>
    <row r="769" spans="1:1" x14ac:dyDescent="0.35">
      <c r="A769" s="95" t="s">
        <v>6242</v>
      </c>
    </row>
    <row r="770" spans="1:1" x14ac:dyDescent="0.35">
      <c r="A770" s="95" t="s">
        <v>6242</v>
      </c>
    </row>
    <row r="771" spans="1:1" x14ac:dyDescent="0.35">
      <c r="A771" s="95" t="s">
        <v>6242</v>
      </c>
    </row>
    <row r="772" spans="1:1" x14ac:dyDescent="0.35">
      <c r="A772" s="95" t="s">
        <v>6242</v>
      </c>
    </row>
    <row r="773" spans="1:1" x14ac:dyDescent="0.35">
      <c r="A773" s="95" t="s">
        <v>6242</v>
      </c>
    </row>
    <row r="774" spans="1:1" x14ac:dyDescent="0.35">
      <c r="A774" s="95" t="s">
        <v>6242</v>
      </c>
    </row>
    <row r="775" spans="1:1" x14ac:dyDescent="0.35">
      <c r="A775" s="95" t="s">
        <v>6242</v>
      </c>
    </row>
    <row r="776" spans="1:1" x14ac:dyDescent="0.35">
      <c r="A776" s="95" t="s">
        <v>6242</v>
      </c>
    </row>
    <row r="777" spans="1:1" x14ac:dyDescent="0.35">
      <c r="A777" s="95" t="s">
        <v>6242</v>
      </c>
    </row>
    <row r="778" spans="1:1" x14ac:dyDescent="0.35">
      <c r="A778" s="95" t="s">
        <v>6242</v>
      </c>
    </row>
    <row r="779" spans="1:1" x14ac:dyDescent="0.35">
      <c r="A779" s="95" t="s">
        <v>6242</v>
      </c>
    </row>
    <row r="780" spans="1:1" x14ac:dyDescent="0.35">
      <c r="A780" s="95" t="s">
        <v>6242</v>
      </c>
    </row>
    <row r="781" spans="1:1" x14ac:dyDescent="0.35">
      <c r="A781" s="95" t="s">
        <v>6242</v>
      </c>
    </row>
    <row r="782" spans="1:1" x14ac:dyDescent="0.35">
      <c r="A782" s="95" t="s">
        <v>6242</v>
      </c>
    </row>
    <row r="783" spans="1:1" x14ac:dyDescent="0.35">
      <c r="A783" s="95" t="s">
        <v>6242</v>
      </c>
    </row>
    <row r="784" spans="1:1" x14ac:dyDescent="0.35">
      <c r="A784" s="95" t="s">
        <v>6242</v>
      </c>
    </row>
    <row r="785" spans="1:1" x14ac:dyDescent="0.35">
      <c r="A785" s="95" t="s">
        <v>6242</v>
      </c>
    </row>
    <row r="786" spans="1:1" x14ac:dyDescent="0.35">
      <c r="A786" s="95" t="s">
        <v>6242</v>
      </c>
    </row>
    <row r="787" spans="1:1" x14ac:dyDescent="0.35">
      <c r="A787" s="95" t="s">
        <v>6242</v>
      </c>
    </row>
    <row r="788" spans="1:1" x14ac:dyDescent="0.35">
      <c r="A788" s="95" t="s">
        <v>6242</v>
      </c>
    </row>
    <row r="789" spans="1:1" x14ac:dyDescent="0.35">
      <c r="A789" s="95" t="s">
        <v>6242</v>
      </c>
    </row>
    <row r="790" spans="1:1" x14ac:dyDescent="0.35">
      <c r="A790" s="95" t="s">
        <v>6242</v>
      </c>
    </row>
    <row r="791" spans="1:1" x14ac:dyDescent="0.35">
      <c r="A791" s="95" t="s">
        <v>6242</v>
      </c>
    </row>
    <row r="792" spans="1:1" x14ac:dyDescent="0.35">
      <c r="A792" s="95" t="s">
        <v>6242</v>
      </c>
    </row>
    <row r="793" spans="1:1" x14ac:dyDescent="0.35">
      <c r="A793" s="95" t="s">
        <v>6242</v>
      </c>
    </row>
    <row r="794" spans="1:1" x14ac:dyDescent="0.35">
      <c r="A794" s="95" t="s">
        <v>6242</v>
      </c>
    </row>
    <row r="795" spans="1:1" x14ac:dyDescent="0.35">
      <c r="A795" s="95" t="s">
        <v>6242</v>
      </c>
    </row>
    <row r="796" spans="1:1" x14ac:dyDescent="0.35">
      <c r="A796" s="95" t="s">
        <v>6242</v>
      </c>
    </row>
    <row r="797" spans="1:1" x14ac:dyDescent="0.35">
      <c r="A797" s="95" t="s">
        <v>6242</v>
      </c>
    </row>
    <row r="798" spans="1:1" x14ac:dyDescent="0.35">
      <c r="A798" s="95" t="s">
        <v>6242</v>
      </c>
    </row>
    <row r="799" spans="1:1" x14ac:dyDescent="0.35">
      <c r="A799" s="95" t="s">
        <v>6242</v>
      </c>
    </row>
    <row r="800" spans="1:1" x14ac:dyDescent="0.35">
      <c r="A800" s="95" t="s">
        <v>6242</v>
      </c>
    </row>
    <row r="801" spans="1:1" x14ac:dyDescent="0.35">
      <c r="A801" s="95" t="s">
        <v>6242</v>
      </c>
    </row>
    <row r="802" spans="1:1" x14ac:dyDescent="0.35">
      <c r="A802" s="95" t="s">
        <v>6242</v>
      </c>
    </row>
    <row r="803" spans="1:1" x14ac:dyDescent="0.35">
      <c r="A803" s="95" t="s">
        <v>6242</v>
      </c>
    </row>
    <row r="804" spans="1:1" x14ac:dyDescent="0.35">
      <c r="A804" s="95" t="s">
        <v>6242</v>
      </c>
    </row>
    <row r="805" spans="1:1" x14ac:dyDescent="0.35">
      <c r="A805" s="95" t="s">
        <v>6242</v>
      </c>
    </row>
    <row r="806" spans="1:1" x14ac:dyDescent="0.35">
      <c r="A806" s="95" t="s">
        <v>6242</v>
      </c>
    </row>
    <row r="807" spans="1:1" x14ac:dyDescent="0.35">
      <c r="A807" s="95" t="s">
        <v>6242</v>
      </c>
    </row>
    <row r="808" spans="1:1" x14ac:dyDescent="0.35">
      <c r="A808" s="95" t="s">
        <v>6242</v>
      </c>
    </row>
    <row r="809" spans="1:1" x14ac:dyDescent="0.35">
      <c r="A809" s="95" t="s">
        <v>6242</v>
      </c>
    </row>
    <row r="810" spans="1:1" x14ac:dyDescent="0.35">
      <c r="A810" s="95" t="s">
        <v>6242</v>
      </c>
    </row>
    <row r="811" spans="1:1" x14ac:dyDescent="0.35">
      <c r="A811" s="95" t="s">
        <v>6242</v>
      </c>
    </row>
    <row r="812" spans="1:1" x14ac:dyDescent="0.35">
      <c r="A812" s="95" t="s">
        <v>6242</v>
      </c>
    </row>
    <row r="813" spans="1:1" x14ac:dyDescent="0.35">
      <c r="A813" s="95" t="s">
        <v>6242</v>
      </c>
    </row>
    <row r="814" spans="1:1" x14ac:dyDescent="0.35">
      <c r="A814" s="95" t="s">
        <v>6242</v>
      </c>
    </row>
    <row r="815" spans="1:1" x14ac:dyDescent="0.35">
      <c r="A815" s="95" t="s">
        <v>6242</v>
      </c>
    </row>
    <row r="816" spans="1:1" x14ac:dyDescent="0.35">
      <c r="A816" s="95" t="s">
        <v>6242</v>
      </c>
    </row>
    <row r="817" spans="1:1" x14ac:dyDescent="0.35">
      <c r="A817" s="95" t="s">
        <v>6242</v>
      </c>
    </row>
    <row r="818" spans="1:1" x14ac:dyDescent="0.35">
      <c r="A818" s="95" t="s">
        <v>6242</v>
      </c>
    </row>
    <row r="819" spans="1:1" x14ac:dyDescent="0.35">
      <c r="A819" s="95" t="s">
        <v>6242</v>
      </c>
    </row>
    <row r="820" spans="1:1" x14ac:dyDescent="0.35">
      <c r="A820" s="95" t="s">
        <v>6242</v>
      </c>
    </row>
    <row r="821" spans="1:1" x14ac:dyDescent="0.35">
      <c r="A821" s="95" t="s">
        <v>6242</v>
      </c>
    </row>
    <row r="822" spans="1:1" x14ac:dyDescent="0.35">
      <c r="A822" s="95" t="s">
        <v>6242</v>
      </c>
    </row>
    <row r="823" spans="1:1" x14ac:dyDescent="0.35">
      <c r="A823" s="95" t="s">
        <v>6242</v>
      </c>
    </row>
    <row r="824" spans="1:1" x14ac:dyDescent="0.35">
      <c r="A824" s="95" t="s">
        <v>6242</v>
      </c>
    </row>
    <row r="825" spans="1:1" x14ac:dyDescent="0.35">
      <c r="A825" s="95" t="s">
        <v>6242</v>
      </c>
    </row>
    <row r="826" spans="1:1" x14ac:dyDescent="0.35">
      <c r="A826" s="95" t="s">
        <v>6242</v>
      </c>
    </row>
    <row r="827" spans="1:1" x14ac:dyDescent="0.35">
      <c r="A827" s="95" t="s">
        <v>6242</v>
      </c>
    </row>
    <row r="828" spans="1:1" x14ac:dyDescent="0.35">
      <c r="A828" s="95" t="s">
        <v>6242</v>
      </c>
    </row>
    <row r="829" spans="1:1" x14ac:dyDescent="0.35">
      <c r="A829" s="95" t="s">
        <v>6242</v>
      </c>
    </row>
    <row r="830" spans="1:1" x14ac:dyDescent="0.35">
      <c r="A830" s="95" t="s">
        <v>6242</v>
      </c>
    </row>
    <row r="831" spans="1:1" x14ac:dyDescent="0.35">
      <c r="A831" s="95" t="s">
        <v>6242</v>
      </c>
    </row>
    <row r="832" spans="1:1" x14ac:dyDescent="0.35">
      <c r="A832" s="95" t="s">
        <v>6242</v>
      </c>
    </row>
    <row r="833" spans="1:1" x14ac:dyDescent="0.35">
      <c r="A833" s="95" t="s">
        <v>6242</v>
      </c>
    </row>
    <row r="834" spans="1:1" x14ac:dyDescent="0.35">
      <c r="A834" s="95" t="s">
        <v>6242</v>
      </c>
    </row>
    <row r="835" spans="1:1" x14ac:dyDescent="0.35">
      <c r="A835" s="95" t="s">
        <v>6242</v>
      </c>
    </row>
    <row r="836" spans="1:1" x14ac:dyDescent="0.35">
      <c r="A836" s="95" t="s">
        <v>6242</v>
      </c>
    </row>
    <row r="837" spans="1:1" x14ac:dyDescent="0.35">
      <c r="A837" s="95" t="s">
        <v>6242</v>
      </c>
    </row>
    <row r="838" spans="1:1" x14ac:dyDescent="0.35">
      <c r="A838" s="95" t="s">
        <v>6242</v>
      </c>
    </row>
    <row r="839" spans="1:1" x14ac:dyDescent="0.35">
      <c r="A839" s="95" t="s">
        <v>6242</v>
      </c>
    </row>
    <row r="840" spans="1:1" x14ac:dyDescent="0.35">
      <c r="A840" s="95" t="s">
        <v>6242</v>
      </c>
    </row>
    <row r="841" spans="1:1" x14ac:dyDescent="0.35">
      <c r="A841" s="95" t="s">
        <v>6242</v>
      </c>
    </row>
    <row r="842" spans="1:1" x14ac:dyDescent="0.35">
      <c r="A842" s="95" t="s">
        <v>6242</v>
      </c>
    </row>
    <row r="843" spans="1:1" x14ac:dyDescent="0.35">
      <c r="A843" s="95" t="s">
        <v>6242</v>
      </c>
    </row>
    <row r="844" spans="1:1" x14ac:dyDescent="0.35">
      <c r="A844" s="95" t="s">
        <v>6242</v>
      </c>
    </row>
    <row r="845" spans="1:1" x14ac:dyDescent="0.35">
      <c r="A845" s="95" t="s">
        <v>6242</v>
      </c>
    </row>
    <row r="846" spans="1:1" x14ac:dyDescent="0.35">
      <c r="A846" s="95" t="s">
        <v>6242</v>
      </c>
    </row>
    <row r="847" spans="1:1" x14ac:dyDescent="0.35">
      <c r="A847" s="95" t="s">
        <v>6242</v>
      </c>
    </row>
    <row r="848" spans="1:1" x14ac:dyDescent="0.35">
      <c r="A848" s="95" t="s">
        <v>6242</v>
      </c>
    </row>
    <row r="849" spans="1:1" x14ac:dyDescent="0.35">
      <c r="A849" s="95" t="s">
        <v>6242</v>
      </c>
    </row>
    <row r="850" spans="1:1" x14ac:dyDescent="0.35">
      <c r="A850" s="95" t="s">
        <v>6242</v>
      </c>
    </row>
    <row r="851" spans="1:1" x14ac:dyDescent="0.35">
      <c r="A851" s="95" t="s">
        <v>6242</v>
      </c>
    </row>
    <row r="852" spans="1:1" x14ac:dyDescent="0.35">
      <c r="A852" s="95" t="s">
        <v>6242</v>
      </c>
    </row>
    <row r="853" spans="1:1" x14ac:dyDescent="0.35">
      <c r="A853" s="95" t="s">
        <v>6242</v>
      </c>
    </row>
    <row r="854" spans="1:1" x14ac:dyDescent="0.35">
      <c r="A854" s="95" t="s">
        <v>6242</v>
      </c>
    </row>
    <row r="855" spans="1:1" x14ac:dyDescent="0.35">
      <c r="A855" s="95" t="s">
        <v>6242</v>
      </c>
    </row>
    <row r="856" spans="1:1" x14ac:dyDescent="0.35">
      <c r="A856" s="95" t="s">
        <v>6242</v>
      </c>
    </row>
    <row r="857" spans="1:1" x14ac:dyDescent="0.35">
      <c r="A857" s="95" t="s">
        <v>6242</v>
      </c>
    </row>
    <row r="858" spans="1:1" x14ac:dyDescent="0.35">
      <c r="A858" s="95" t="s">
        <v>6242</v>
      </c>
    </row>
    <row r="859" spans="1:1" x14ac:dyDescent="0.35">
      <c r="A859" s="95" t="s">
        <v>6242</v>
      </c>
    </row>
    <row r="860" spans="1:1" x14ac:dyDescent="0.35">
      <c r="A860" s="95" t="s">
        <v>6242</v>
      </c>
    </row>
    <row r="861" spans="1:1" x14ac:dyDescent="0.35">
      <c r="A861" s="95" t="s">
        <v>6242</v>
      </c>
    </row>
    <row r="862" spans="1:1" x14ac:dyDescent="0.35">
      <c r="A862" s="95" t="s">
        <v>6242</v>
      </c>
    </row>
    <row r="863" spans="1:1" x14ac:dyDescent="0.35">
      <c r="A863" s="95" t="s">
        <v>6242</v>
      </c>
    </row>
    <row r="864" spans="1:1" x14ac:dyDescent="0.35">
      <c r="A864" s="95" t="s">
        <v>6242</v>
      </c>
    </row>
    <row r="865" spans="1:1" x14ac:dyDescent="0.35">
      <c r="A865" s="95" t="s">
        <v>6242</v>
      </c>
    </row>
    <row r="866" spans="1:1" x14ac:dyDescent="0.35">
      <c r="A866" s="95" t="s">
        <v>6242</v>
      </c>
    </row>
    <row r="867" spans="1:1" x14ac:dyDescent="0.35">
      <c r="A867" s="95" t="s">
        <v>6242</v>
      </c>
    </row>
    <row r="868" spans="1:1" x14ac:dyDescent="0.35">
      <c r="A868" s="95" t="s">
        <v>6242</v>
      </c>
    </row>
    <row r="869" spans="1:1" x14ac:dyDescent="0.35">
      <c r="A869" s="95" t="s">
        <v>6242</v>
      </c>
    </row>
    <row r="870" spans="1:1" x14ac:dyDescent="0.35">
      <c r="A870" s="95" t="s">
        <v>6242</v>
      </c>
    </row>
    <row r="871" spans="1:1" x14ac:dyDescent="0.35">
      <c r="A871" s="95" t="s">
        <v>6242</v>
      </c>
    </row>
    <row r="872" spans="1:1" x14ac:dyDescent="0.35">
      <c r="A872" s="95" t="s">
        <v>6242</v>
      </c>
    </row>
    <row r="873" spans="1:1" x14ac:dyDescent="0.35">
      <c r="A873" s="95" t="s">
        <v>6242</v>
      </c>
    </row>
    <row r="874" spans="1:1" x14ac:dyDescent="0.35">
      <c r="A874" s="95" t="s">
        <v>6242</v>
      </c>
    </row>
    <row r="875" spans="1:1" x14ac:dyDescent="0.35">
      <c r="A875" s="95" t="s">
        <v>6242</v>
      </c>
    </row>
    <row r="876" spans="1:1" x14ac:dyDescent="0.35">
      <c r="A876" s="95" t="s">
        <v>6242</v>
      </c>
    </row>
    <row r="877" spans="1:1" x14ac:dyDescent="0.35">
      <c r="A877" s="95" t="s">
        <v>6242</v>
      </c>
    </row>
    <row r="878" spans="1:1" x14ac:dyDescent="0.35">
      <c r="A878" s="95" t="s">
        <v>6242</v>
      </c>
    </row>
    <row r="879" spans="1:1" x14ac:dyDescent="0.35">
      <c r="A879" s="95" t="s">
        <v>6242</v>
      </c>
    </row>
    <row r="880" spans="1:1" x14ac:dyDescent="0.35">
      <c r="A880" s="95" t="s">
        <v>6242</v>
      </c>
    </row>
    <row r="881" spans="1:1" x14ac:dyDescent="0.35">
      <c r="A881" s="95" t="s">
        <v>6242</v>
      </c>
    </row>
    <row r="882" spans="1:1" x14ac:dyDescent="0.35">
      <c r="A882" s="95" t="s">
        <v>6242</v>
      </c>
    </row>
    <row r="883" spans="1:1" x14ac:dyDescent="0.35">
      <c r="A883" s="95" t="s">
        <v>6242</v>
      </c>
    </row>
    <row r="884" spans="1:1" x14ac:dyDescent="0.35">
      <c r="A884" s="95" t="s">
        <v>6242</v>
      </c>
    </row>
    <row r="885" spans="1:1" x14ac:dyDescent="0.35">
      <c r="A885" s="95" t="s">
        <v>6242</v>
      </c>
    </row>
    <row r="886" spans="1:1" x14ac:dyDescent="0.35">
      <c r="A886" s="95" t="s">
        <v>6242</v>
      </c>
    </row>
    <row r="887" spans="1:1" x14ac:dyDescent="0.35">
      <c r="A887" s="95" t="s">
        <v>6242</v>
      </c>
    </row>
    <row r="888" spans="1:1" x14ac:dyDescent="0.35">
      <c r="A888" s="95" t="s">
        <v>6242</v>
      </c>
    </row>
    <row r="889" spans="1:1" x14ac:dyDescent="0.35">
      <c r="A889" s="95" t="s">
        <v>6242</v>
      </c>
    </row>
    <row r="890" spans="1:1" x14ac:dyDescent="0.35">
      <c r="A890" s="95" t="s">
        <v>6242</v>
      </c>
    </row>
    <row r="891" spans="1:1" x14ac:dyDescent="0.35">
      <c r="A891" s="95" t="s">
        <v>6242</v>
      </c>
    </row>
    <row r="892" spans="1:1" x14ac:dyDescent="0.35">
      <c r="A892" s="95" t="s">
        <v>6242</v>
      </c>
    </row>
    <row r="893" spans="1:1" x14ac:dyDescent="0.35">
      <c r="A893" s="95" t="s">
        <v>6242</v>
      </c>
    </row>
    <row r="894" spans="1:1" x14ac:dyDescent="0.35">
      <c r="A894" s="95" t="s">
        <v>6242</v>
      </c>
    </row>
    <row r="895" spans="1:1" x14ac:dyDescent="0.35">
      <c r="A895" s="95" t="s">
        <v>6242</v>
      </c>
    </row>
    <row r="896" spans="1:1" x14ac:dyDescent="0.35">
      <c r="A896" s="95" t="s">
        <v>6242</v>
      </c>
    </row>
    <row r="897" spans="1:1" x14ac:dyDescent="0.35">
      <c r="A897" s="95" t="s">
        <v>6242</v>
      </c>
    </row>
    <row r="898" spans="1:1" x14ac:dyDescent="0.35">
      <c r="A898" s="95" t="s">
        <v>6242</v>
      </c>
    </row>
    <row r="899" spans="1:1" x14ac:dyDescent="0.35">
      <c r="A899" s="95" t="s">
        <v>6242</v>
      </c>
    </row>
    <row r="900" spans="1:1" x14ac:dyDescent="0.35">
      <c r="A900" s="95" t="s">
        <v>6242</v>
      </c>
    </row>
    <row r="901" spans="1:1" x14ac:dyDescent="0.35">
      <c r="A901" s="95" t="s">
        <v>6242</v>
      </c>
    </row>
    <row r="902" spans="1:1" x14ac:dyDescent="0.35">
      <c r="A902" s="95" t="s">
        <v>6242</v>
      </c>
    </row>
    <row r="903" spans="1:1" x14ac:dyDescent="0.35">
      <c r="A903" s="95" t="s">
        <v>6242</v>
      </c>
    </row>
    <row r="904" spans="1:1" x14ac:dyDescent="0.35">
      <c r="A904" s="95" t="s">
        <v>6242</v>
      </c>
    </row>
    <row r="905" spans="1:1" x14ac:dyDescent="0.35">
      <c r="A905" s="95" t="s">
        <v>6242</v>
      </c>
    </row>
    <row r="906" spans="1:1" x14ac:dyDescent="0.35">
      <c r="A906" s="95" t="s">
        <v>6242</v>
      </c>
    </row>
    <row r="907" spans="1:1" x14ac:dyDescent="0.35">
      <c r="A907" s="95" t="s">
        <v>6242</v>
      </c>
    </row>
    <row r="908" spans="1:1" x14ac:dyDescent="0.35">
      <c r="A908" s="95" t="s">
        <v>6242</v>
      </c>
    </row>
    <row r="909" spans="1:1" x14ac:dyDescent="0.35">
      <c r="A909" s="95" t="s">
        <v>6242</v>
      </c>
    </row>
    <row r="910" spans="1:1" x14ac:dyDescent="0.35">
      <c r="A910" s="95" t="s">
        <v>6242</v>
      </c>
    </row>
    <row r="911" spans="1:1" x14ac:dyDescent="0.35">
      <c r="A911" s="95" t="s">
        <v>6242</v>
      </c>
    </row>
    <row r="912" spans="1:1" x14ac:dyDescent="0.35">
      <c r="A912" s="95" t="s">
        <v>6242</v>
      </c>
    </row>
    <row r="913" spans="1:1" x14ac:dyDescent="0.35">
      <c r="A913" s="95" t="s">
        <v>6242</v>
      </c>
    </row>
    <row r="914" spans="1:1" x14ac:dyDescent="0.35">
      <c r="A914" s="95" t="s">
        <v>6242</v>
      </c>
    </row>
    <row r="915" spans="1:1" x14ac:dyDescent="0.35">
      <c r="A915" s="95" t="s">
        <v>6242</v>
      </c>
    </row>
    <row r="916" spans="1:1" x14ac:dyDescent="0.35">
      <c r="A916" s="95" t="s">
        <v>6242</v>
      </c>
    </row>
    <row r="917" spans="1:1" x14ac:dyDescent="0.35">
      <c r="A917" s="95" t="s">
        <v>6242</v>
      </c>
    </row>
    <row r="918" spans="1:1" x14ac:dyDescent="0.35">
      <c r="A918" s="95" t="s">
        <v>6242</v>
      </c>
    </row>
    <row r="919" spans="1:1" x14ac:dyDescent="0.35">
      <c r="A919" s="95" t="s">
        <v>6242</v>
      </c>
    </row>
    <row r="920" spans="1:1" x14ac:dyDescent="0.35">
      <c r="A920" s="95" t="s">
        <v>6242</v>
      </c>
    </row>
    <row r="921" spans="1:1" x14ac:dyDescent="0.35">
      <c r="A921" s="95" t="s">
        <v>6242</v>
      </c>
    </row>
    <row r="922" spans="1:1" x14ac:dyDescent="0.35">
      <c r="A922" s="95" t="s">
        <v>6242</v>
      </c>
    </row>
    <row r="923" spans="1:1" x14ac:dyDescent="0.35">
      <c r="A923" s="95" t="s">
        <v>6242</v>
      </c>
    </row>
    <row r="924" spans="1:1" x14ac:dyDescent="0.35">
      <c r="A924" s="95" t="s">
        <v>6242</v>
      </c>
    </row>
    <row r="925" spans="1:1" x14ac:dyDescent="0.35">
      <c r="A925" s="95" t="s">
        <v>6242</v>
      </c>
    </row>
    <row r="926" spans="1:1" x14ac:dyDescent="0.35">
      <c r="A926" s="95" t="s">
        <v>6242</v>
      </c>
    </row>
    <row r="927" spans="1:1" x14ac:dyDescent="0.35">
      <c r="A927" s="95" t="s">
        <v>6242</v>
      </c>
    </row>
    <row r="928" spans="1:1" x14ac:dyDescent="0.35">
      <c r="A928" s="95" t="s">
        <v>6242</v>
      </c>
    </row>
    <row r="929" spans="1:1" x14ac:dyDescent="0.35">
      <c r="A929" s="95" t="s">
        <v>6242</v>
      </c>
    </row>
    <row r="930" spans="1:1" x14ac:dyDescent="0.35">
      <c r="A930" s="95" t="s">
        <v>6242</v>
      </c>
    </row>
    <row r="931" spans="1:1" x14ac:dyDescent="0.35">
      <c r="A931" s="95" t="s">
        <v>6242</v>
      </c>
    </row>
    <row r="932" spans="1:1" x14ac:dyDescent="0.35">
      <c r="A932" s="95" t="s">
        <v>6242</v>
      </c>
    </row>
    <row r="933" spans="1:1" x14ac:dyDescent="0.35">
      <c r="A933" s="95" t="s">
        <v>6242</v>
      </c>
    </row>
    <row r="934" spans="1:1" x14ac:dyDescent="0.35">
      <c r="A934" s="95" t="s">
        <v>6242</v>
      </c>
    </row>
    <row r="935" spans="1:1" x14ac:dyDescent="0.35">
      <c r="A935" s="95" t="s">
        <v>6242</v>
      </c>
    </row>
    <row r="936" spans="1:1" x14ac:dyDescent="0.35">
      <c r="A936" s="95" t="s">
        <v>6242</v>
      </c>
    </row>
    <row r="937" spans="1:1" x14ac:dyDescent="0.35">
      <c r="A937" s="95" t="s">
        <v>6242</v>
      </c>
    </row>
    <row r="938" spans="1:1" x14ac:dyDescent="0.35">
      <c r="A938" s="95" t="s">
        <v>6242</v>
      </c>
    </row>
    <row r="939" spans="1:1" x14ac:dyDescent="0.35">
      <c r="A939" s="95" t="s">
        <v>6242</v>
      </c>
    </row>
    <row r="940" spans="1:1" x14ac:dyDescent="0.35">
      <c r="A940" s="95" t="s">
        <v>6242</v>
      </c>
    </row>
    <row r="941" spans="1:1" x14ac:dyDescent="0.35">
      <c r="A941" s="95" t="s">
        <v>6242</v>
      </c>
    </row>
    <row r="942" spans="1:1" x14ac:dyDescent="0.35">
      <c r="A942" s="95" t="s">
        <v>6242</v>
      </c>
    </row>
    <row r="943" spans="1:1" x14ac:dyDescent="0.35">
      <c r="A943" s="95" t="s">
        <v>6242</v>
      </c>
    </row>
    <row r="944" spans="1:1" x14ac:dyDescent="0.35">
      <c r="A944" s="95" t="s">
        <v>6242</v>
      </c>
    </row>
    <row r="945" spans="1:1" x14ac:dyDescent="0.35">
      <c r="A945" s="95" t="s">
        <v>6242</v>
      </c>
    </row>
    <row r="946" spans="1:1" x14ac:dyDescent="0.35">
      <c r="A946" s="95" t="s">
        <v>6242</v>
      </c>
    </row>
    <row r="947" spans="1:1" x14ac:dyDescent="0.35">
      <c r="A947" s="95" t="s">
        <v>6242</v>
      </c>
    </row>
    <row r="948" spans="1:1" x14ac:dyDescent="0.35">
      <c r="A948" s="95" t="s">
        <v>6242</v>
      </c>
    </row>
    <row r="949" spans="1:1" x14ac:dyDescent="0.35">
      <c r="A949" s="95" t="s">
        <v>6242</v>
      </c>
    </row>
    <row r="950" spans="1:1" x14ac:dyDescent="0.35">
      <c r="A950" s="95" t="s">
        <v>6242</v>
      </c>
    </row>
    <row r="951" spans="1:1" x14ac:dyDescent="0.35">
      <c r="A951" s="95" t="s">
        <v>6242</v>
      </c>
    </row>
    <row r="952" spans="1:1" x14ac:dyDescent="0.35">
      <c r="A952" s="95" t="s">
        <v>6242</v>
      </c>
    </row>
    <row r="953" spans="1:1" x14ac:dyDescent="0.35">
      <c r="A953" s="95" t="s">
        <v>6242</v>
      </c>
    </row>
    <row r="954" spans="1:1" x14ac:dyDescent="0.35">
      <c r="A954" s="95" t="s">
        <v>6242</v>
      </c>
    </row>
    <row r="955" spans="1:1" x14ac:dyDescent="0.35">
      <c r="A955" s="95" t="s">
        <v>6242</v>
      </c>
    </row>
    <row r="956" spans="1:1" x14ac:dyDescent="0.35">
      <c r="A956" s="95" t="s">
        <v>6242</v>
      </c>
    </row>
    <row r="957" spans="1:1" x14ac:dyDescent="0.35">
      <c r="A957" s="95" t="s">
        <v>6242</v>
      </c>
    </row>
    <row r="958" spans="1:1" x14ac:dyDescent="0.35">
      <c r="A958" s="95" t="s">
        <v>6242</v>
      </c>
    </row>
    <row r="959" spans="1:1" x14ac:dyDescent="0.35">
      <c r="A959" s="95" t="s">
        <v>6242</v>
      </c>
    </row>
    <row r="960" spans="1:1" x14ac:dyDescent="0.35">
      <c r="A960" s="95" t="s">
        <v>6242</v>
      </c>
    </row>
    <row r="961" spans="1:1" x14ac:dyDescent="0.35">
      <c r="A961" s="95" t="s">
        <v>6242</v>
      </c>
    </row>
    <row r="962" spans="1:1" x14ac:dyDescent="0.35">
      <c r="A962" s="95" t="s">
        <v>6242</v>
      </c>
    </row>
    <row r="963" spans="1:1" x14ac:dyDescent="0.35">
      <c r="A963" s="95" t="s">
        <v>6242</v>
      </c>
    </row>
    <row r="964" spans="1:1" x14ac:dyDescent="0.35">
      <c r="A964" s="95" t="s">
        <v>6242</v>
      </c>
    </row>
    <row r="965" spans="1:1" x14ac:dyDescent="0.35">
      <c r="A965" s="95" t="s">
        <v>6242</v>
      </c>
    </row>
    <row r="966" spans="1:1" x14ac:dyDescent="0.35">
      <c r="A966" s="95" t="s">
        <v>6242</v>
      </c>
    </row>
    <row r="967" spans="1:1" x14ac:dyDescent="0.35">
      <c r="A967" s="95" t="s">
        <v>6242</v>
      </c>
    </row>
    <row r="968" spans="1:1" x14ac:dyDescent="0.35">
      <c r="A968" s="95" t="s">
        <v>6242</v>
      </c>
    </row>
    <row r="969" spans="1:1" x14ac:dyDescent="0.35">
      <c r="A969" s="95" t="s">
        <v>6242</v>
      </c>
    </row>
    <row r="970" spans="1:1" x14ac:dyDescent="0.35">
      <c r="A970" s="95" t="s">
        <v>6242</v>
      </c>
    </row>
    <row r="971" spans="1:1" x14ac:dyDescent="0.35">
      <c r="A971" s="95" t="s">
        <v>6242</v>
      </c>
    </row>
    <row r="972" spans="1:1" x14ac:dyDescent="0.35">
      <c r="A972" s="95" t="s">
        <v>6242</v>
      </c>
    </row>
    <row r="973" spans="1:1" x14ac:dyDescent="0.35">
      <c r="A973" s="95" t="s">
        <v>6242</v>
      </c>
    </row>
    <row r="974" spans="1:1" x14ac:dyDescent="0.35">
      <c r="A974" s="95" t="s">
        <v>6242</v>
      </c>
    </row>
    <row r="975" spans="1:1" x14ac:dyDescent="0.35">
      <c r="A975" s="95" t="s">
        <v>6242</v>
      </c>
    </row>
    <row r="976" spans="1:1" x14ac:dyDescent="0.35">
      <c r="A976" s="95" t="s">
        <v>6242</v>
      </c>
    </row>
    <row r="977" spans="1:1" x14ac:dyDescent="0.35">
      <c r="A977" s="95" t="s">
        <v>6242</v>
      </c>
    </row>
    <row r="978" spans="1:1" x14ac:dyDescent="0.35">
      <c r="A978" s="95" t="s">
        <v>6242</v>
      </c>
    </row>
    <row r="979" spans="1:1" x14ac:dyDescent="0.35">
      <c r="A979" s="95" t="s">
        <v>6242</v>
      </c>
    </row>
    <row r="980" spans="1:1" x14ac:dyDescent="0.35">
      <c r="A980" s="95" t="s">
        <v>6242</v>
      </c>
    </row>
    <row r="981" spans="1:1" x14ac:dyDescent="0.35">
      <c r="A981" s="95" t="s">
        <v>6242</v>
      </c>
    </row>
    <row r="982" spans="1:1" x14ac:dyDescent="0.35">
      <c r="A982" s="95" t="s">
        <v>6242</v>
      </c>
    </row>
    <row r="983" spans="1:1" x14ac:dyDescent="0.35">
      <c r="A983" s="95" t="s">
        <v>6242</v>
      </c>
    </row>
    <row r="984" spans="1:1" x14ac:dyDescent="0.35">
      <c r="A984" s="95" t="s">
        <v>6242</v>
      </c>
    </row>
    <row r="985" spans="1:1" x14ac:dyDescent="0.35">
      <c r="A985" s="95" t="s">
        <v>6242</v>
      </c>
    </row>
    <row r="986" spans="1:1" x14ac:dyDescent="0.35">
      <c r="A986" s="95" t="s">
        <v>6242</v>
      </c>
    </row>
    <row r="987" spans="1:1" x14ac:dyDescent="0.35">
      <c r="A987" s="95" t="s">
        <v>6242</v>
      </c>
    </row>
    <row r="988" spans="1:1" x14ac:dyDescent="0.35">
      <c r="A988" s="95" t="s">
        <v>6242</v>
      </c>
    </row>
    <row r="989" spans="1:1" x14ac:dyDescent="0.35">
      <c r="A989" s="95" t="s">
        <v>6242</v>
      </c>
    </row>
    <row r="990" spans="1:1" x14ac:dyDescent="0.35">
      <c r="A990" s="95" t="s">
        <v>6242</v>
      </c>
    </row>
    <row r="991" spans="1:1" x14ac:dyDescent="0.35">
      <c r="A991" s="95" t="s">
        <v>6242</v>
      </c>
    </row>
    <row r="992" spans="1:1" x14ac:dyDescent="0.35">
      <c r="A992" s="95" t="s">
        <v>6242</v>
      </c>
    </row>
    <row r="993" spans="1:1" x14ac:dyDescent="0.35">
      <c r="A993" s="95" t="s">
        <v>6242</v>
      </c>
    </row>
    <row r="994" spans="1:1" x14ac:dyDescent="0.35">
      <c r="A994" s="95" t="s">
        <v>6242</v>
      </c>
    </row>
    <row r="995" spans="1:1" x14ac:dyDescent="0.35">
      <c r="A995" s="95" t="s">
        <v>6242</v>
      </c>
    </row>
    <row r="996" spans="1:1" x14ac:dyDescent="0.35">
      <c r="A996" s="95" t="s">
        <v>6242</v>
      </c>
    </row>
    <row r="997" spans="1:1" x14ac:dyDescent="0.35">
      <c r="A997" s="95" t="s">
        <v>6242</v>
      </c>
    </row>
    <row r="998" spans="1:1" x14ac:dyDescent="0.35">
      <c r="A998" s="95" t="s">
        <v>6242</v>
      </c>
    </row>
    <row r="999" spans="1:1" x14ac:dyDescent="0.35">
      <c r="A999" s="95" t="s">
        <v>6242</v>
      </c>
    </row>
    <row r="1000" spans="1:1" x14ac:dyDescent="0.35">
      <c r="A1000" s="95" t="s">
        <v>6242</v>
      </c>
    </row>
    <row r="1001" spans="1:1" x14ac:dyDescent="0.35">
      <c r="A1001" s="95" t="s">
        <v>6242</v>
      </c>
    </row>
    <row r="1002" spans="1:1" x14ac:dyDescent="0.35">
      <c r="A1002" s="95" t="s">
        <v>6242</v>
      </c>
    </row>
    <row r="1003" spans="1:1" x14ac:dyDescent="0.35">
      <c r="A1003" s="95" t="s">
        <v>6242</v>
      </c>
    </row>
    <row r="1004" spans="1:1" x14ac:dyDescent="0.35">
      <c r="A1004" s="95" t="s">
        <v>6242</v>
      </c>
    </row>
    <row r="1005" spans="1:1" x14ac:dyDescent="0.35">
      <c r="A1005" s="95" t="s">
        <v>6242</v>
      </c>
    </row>
    <row r="1006" spans="1:1" x14ac:dyDescent="0.35">
      <c r="A1006" s="95" t="s">
        <v>6242</v>
      </c>
    </row>
    <row r="1007" spans="1:1" x14ac:dyDescent="0.35">
      <c r="A1007" s="95" t="s">
        <v>6242</v>
      </c>
    </row>
    <row r="1008" spans="1:1" x14ac:dyDescent="0.35">
      <c r="A1008" s="95" t="s">
        <v>6242</v>
      </c>
    </row>
    <row r="1009" spans="1:1" x14ac:dyDescent="0.35">
      <c r="A1009" s="95" t="s">
        <v>6242</v>
      </c>
    </row>
    <row r="1010" spans="1:1" x14ac:dyDescent="0.35">
      <c r="A1010" s="95" t="s">
        <v>6242</v>
      </c>
    </row>
    <row r="1011" spans="1:1" x14ac:dyDescent="0.35">
      <c r="A1011" s="95" t="s">
        <v>6242</v>
      </c>
    </row>
    <row r="1012" spans="1:1" x14ac:dyDescent="0.35">
      <c r="A1012" s="95" t="s">
        <v>6242</v>
      </c>
    </row>
    <row r="1013" spans="1:1" x14ac:dyDescent="0.35">
      <c r="A1013" s="95" t="s">
        <v>6242</v>
      </c>
    </row>
    <row r="1014" spans="1:1" x14ac:dyDescent="0.35">
      <c r="A1014" s="95" t="s">
        <v>6242</v>
      </c>
    </row>
    <row r="1015" spans="1:1" x14ac:dyDescent="0.35">
      <c r="A1015" s="95" t="s">
        <v>6242</v>
      </c>
    </row>
    <row r="1016" spans="1:1" x14ac:dyDescent="0.35">
      <c r="A1016" s="95" t="s">
        <v>6242</v>
      </c>
    </row>
    <row r="1017" spans="1:1" x14ac:dyDescent="0.35">
      <c r="A1017" s="95" t="s">
        <v>6242</v>
      </c>
    </row>
    <row r="1018" spans="1:1" x14ac:dyDescent="0.35">
      <c r="A1018" s="95" t="s">
        <v>6242</v>
      </c>
    </row>
    <row r="1019" spans="1:1" x14ac:dyDescent="0.35">
      <c r="A1019" s="95" t="s">
        <v>6242</v>
      </c>
    </row>
    <row r="1020" spans="1:1" x14ac:dyDescent="0.35">
      <c r="A1020" s="95" t="s">
        <v>6242</v>
      </c>
    </row>
    <row r="1021" spans="1:1" x14ac:dyDescent="0.35">
      <c r="A1021" s="95" t="s">
        <v>6242</v>
      </c>
    </row>
    <row r="1022" spans="1:1" x14ac:dyDescent="0.35">
      <c r="A1022" s="95" t="s">
        <v>6242</v>
      </c>
    </row>
    <row r="1023" spans="1:1" x14ac:dyDescent="0.35">
      <c r="A1023" s="95" t="s">
        <v>6242</v>
      </c>
    </row>
    <row r="1024" spans="1:1" x14ac:dyDescent="0.35">
      <c r="A1024" s="95" t="s">
        <v>6242</v>
      </c>
    </row>
    <row r="1025" spans="1:1" x14ac:dyDescent="0.35">
      <c r="A1025" s="95" t="s">
        <v>6242</v>
      </c>
    </row>
    <row r="1026" spans="1:1" x14ac:dyDescent="0.35">
      <c r="A1026" s="95" t="s">
        <v>6242</v>
      </c>
    </row>
    <row r="1027" spans="1:1" x14ac:dyDescent="0.35">
      <c r="A1027" s="95" t="s">
        <v>6242</v>
      </c>
    </row>
    <row r="1028" spans="1:1" x14ac:dyDescent="0.35">
      <c r="A1028" s="95" t="s">
        <v>6242</v>
      </c>
    </row>
    <row r="1029" spans="1:1" x14ac:dyDescent="0.35">
      <c r="A1029" s="95" t="s">
        <v>6242</v>
      </c>
    </row>
    <row r="1030" spans="1:1" x14ac:dyDescent="0.35">
      <c r="A1030" s="95" t="s">
        <v>6242</v>
      </c>
    </row>
    <row r="1031" spans="1:1" x14ac:dyDescent="0.35">
      <c r="A1031" s="95" t="s">
        <v>6242</v>
      </c>
    </row>
    <row r="1032" spans="1:1" x14ac:dyDescent="0.35">
      <c r="A1032" s="95" t="s">
        <v>6242</v>
      </c>
    </row>
    <row r="1033" spans="1:1" x14ac:dyDescent="0.35">
      <c r="A1033" s="95" t="s">
        <v>6242</v>
      </c>
    </row>
    <row r="1034" spans="1:1" x14ac:dyDescent="0.35">
      <c r="A1034" s="95" t="s">
        <v>6242</v>
      </c>
    </row>
    <row r="1035" spans="1:1" x14ac:dyDescent="0.35">
      <c r="A1035" s="95" t="s">
        <v>6242</v>
      </c>
    </row>
    <row r="1036" spans="1:1" x14ac:dyDescent="0.35">
      <c r="A1036" s="95" t="s">
        <v>6242</v>
      </c>
    </row>
    <row r="1037" spans="1:1" x14ac:dyDescent="0.35">
      <c r="A1037" s="95" t="s">
        <v>6242</v>
      </c>
    </row>
    <row r="1038" spans="1:1" x14ac:dyDescent="0.35">
      <c r="A1038" s="95" t="s">
        <v>6242</v>
      </c>
    </row>
    <row r="1039" spans="1:1" x14ac:dyDescent="0.35">
      <c r="A1039" s="95" t="s">
        <v>6242</v>
      </c>
    </row>
    <row r="1040" spans="1:1" x14ac:dyDescent="0.35">
      <c r="A1040" s="95" t="s">
        <v>6242</v>
      </c>
    </row>
    <row r="1041" spans="1:1" x14ac:dyDescent="0.35">
      <c r="A1041" s="95" t="s">
        <v>6242</v>
      </c>
    </row>
    <row r="1042" spans="1:1" x14ac:dyDescent="0.35">
      <c r="A1042" s="95" t="s">
        <v>6242</v>
      </c>
    </row>
    <row r="1043" spans="1:1" x14ac:dyDescent="0.35">
      <c r="A1043" s="95" t="s">
        <v>6242</v>
      </c>
    </row>
    <row r="1044" spans="1:1" x14ac:dyDescent="0.35">
      <c r="A1044" s="95" t="s">
        <v>6242</v>
      </c>
    </row>
    <row r="1045" spans="1:1" x14ac:dyDescent="0.35">
      <c r="A1045" s="95" t="s">
        <v>6242</v>
      </c>
    </row>
    <row r="1046" spans="1:1" x14ac:dyDescent="0.35">
      <c r="A1046" s="95" t="s">
        <v>6242</v>
      </c>
    </row>
    <row r="1047" spans="1:1" x14ac:dyDescent="0.35">
      <c r="A1047" s="95" t="s">
        <v>6242</v>
      </c>
    </row>
    <row r="1048" spans="1:1" x14ac:dyDescent="0.35">
      <c r="A1048" s="95" t="s">
        <v>6242</v>
      </c>
    </row>
    <row r="1049" spans="1:1" x14ac:dyDescent="0.35">
      <c r="A1049" s="95" t="s">
        <v>6242</v>
      </c>
    </row>
    <row r="1050" spans="1:1" x14ac:dyDescent="0.35">
      <c r="A1050" s="95" t="s">
        <v>6242</v>
      </c>
    </row>
    <row r="1051" spans="1:1" x14ac:dyDescent="0.35">
      <c r="A1051" s="95" t="s">
        <v>6242</v>
      </c>
    </row>
    <row r="1052" spans="1:1" x14ac:dyDescent="0.35">
      <c r="A1052" s="95" t="s">
        <v>6242</v>
      </c>
    </row>
    <row r="1053" spans="1:1" x14ac:dyDescent="0.35">
      <c r="A1053" s="95" t="s">
        <v>6242</v>
      </c>
    </row>
    <row r="1054" spans="1:1" x14ac:dyDescent="0.35">
      <c r="A1054" s="95" t="s">
        <v>6242</v>
      </c>
    </row>
    <row r="1055" spans="1:1" x14ac:dyDescent="0.35">
      <c r="A1055" s="95" t="s">
        <v>6242</v>
      </c>
    </row>
    <row r="1056" spans="1:1" x14ac:dyDescent="0.35">
      <c r="A1056" s="95" t="s">
        <v>6242</v>
      </c>
    </row>
    <row r="1057" spans="1:1" x14ac:dyDescent="0.35">
      <c r="A1057" s="95" t="s">
        <v>6242</v>
      </c>
    </row>
    <row r="1058" spans="1:1" x14ac:dyDescent="0.35">
      <c r="A1058" s="95" t="s">
        <v>6242</v>
      </c>
    </row>
    <row r="1059" spans="1:1" x14ac:dyDescent="0.35">
      <c r="A1059" s="95" t="s">
        <v>6242</v>
      </c>
    </row>
    <row r="1060" spans="1:1" x14ac:dyDescent="0.35">
      <c r="A1060" s="95" t="s">
        <v>6242</v>
      </c>
    </row>
    <row r="1061" spans="1:1" x14ac:dyDescent="0.35">
      <c r="A1061" s="95" t="s">
        <v>6242</v>
      </c>
    </row>
    <row r="1062" spans="1:1" x14ac:dyDescent="0.35">
      <c r="A1062" s="95" t="s">
        <v>6242</v>
      </c>
    </row>
    <row r="1063" spans="1:1" x14ac:dyDescent="0.35">
      <c r="A1063" s="95" t="s">
        <v>6242</v>
      </c>
    </row>
    <row r="1064" spans="1:1" x14ac:dyDescent="0.35">
      <c r="A1064" s="95" t="s">
        <v>6242</v>
      </c>
    </row>
    <row r="1065" spans="1:1" x14ac:dyDescent="0.35">
      <c r="A1065" s="95" t="s">
        <v>6242</v>
      </c>
    </row>
    <row r="1066" spans="1:1" x14ac:dyDescent="0.35">
      <c r="A1066" s="95" t="s">
        <v>6242</v>
      </c>
    </row>
    <row r="1067" spans="1:1" x14ac:dyDescent="0.35">
      <c r="A1067" s="95" t="s">
        <v>6242</v>
      </c>
    </row>
    <row r="1068" spans="1:1" x14ac:dyDescent="0.35">
      <c r="A1068" s="95" t="s">
        <v>6242</v>
      </c>
    </row>
    <row r="1069" spans="1:1" x14ac:dyDescent="0.35">
      <c r="A1069" s="95" t="s">
        <v>6242</v>
      </c>
    </row>
    <row r="1070" spans="1:1" x14ac:dyDescent="0.35">
      <c r="A1070" s="95" t="s">
        <v>6242</v>
      </c>
    </row>
    <row r="1071" spans="1:1" x14ac:dyDescent="0.35">
      <c r="A1071" s="95" t="s">
        <v>6242</v>
      </c>
    </row>
    <row r="1072" spans="1:1" x14ac:dyDescent="0.35">
      <c r="A1072" s="95" t="s">
        <v>6242</v>
      </c>
    </row>
    <row r="1073" spans="1:1" x14ac:dyDescent="0.35">
      <c r="A1073" s="95" t="s">
        <v>6242</v>
      </c>
    </row>
    <row r="1074" spans="1:1" x14ac:dyDescent="0.35">
      <c r="A1074" s="95" t="s">
        <v>6242</v>
      </c>
    </row>
    <row r="1075" spans="1:1" x14ac:dyDescent="0.35">
      <c r="A1075" s="95" t="s">
        <v>6242</v>
      </c>
    </row>
    <row r="1076" spans="1:1" x14ac:dyDescent="0.35">
      <c r="A1076" s="95" t="s">
        <v>6242</v>
      </c>
    </row>
    <row r="1077" spans="1:1" x14ac:dyDescent="0.35">
      <c r="A1077" s="95" t="s">
        <v>6242</v>
      </c>
    </row>
    <row r="1078" spans="1:1" x14ac:dyDescent="0.35">
      <c r="A1078" s="95" t="s">
        <v>6242</v>
      </c>
    </row>
    <row r="1079" spans="1:1" x14ac:dyDescent="0.35">
      <c r="A1079" s="95" t="s">
        <v>6242</v>
      </c>
    </row>
    <row r="1080" spans="1:1" x14ac:dyDescent="0.35">
      <c r="A1080" s="95" t="s">
        <v>6242</v>
      </c>
    </row>
    <row r="1081" spans="1:1" x14ac:dyDescent="0.35">
      <c r="A1081" s="95" t="s">
        <v>6242</v>
      </c>
    </row>
    <row r="1082" spans="1:1" x14ac:dyDescent="0.35">
      <c r="A1082" s="95" t="s">
        <v>6242</v>
      </c>
    </row>
    <row r="1083" spans="1:1" x14ac:dyDescent="0.35">
      <c r="A1083" s="95" t="s">
        <v>6242</v>
      </c>
    </row>
    <row r="1084" spans="1:1" x14ac:dyDescent="0.35">
      <c r="A1084" s="95" t="s">
        <v>6242</v>
      </c>
    </row>
    <row r="1085" spans="1:1" x14ac:dyDescent="0.35">
      <c r="A1085" s="95" t="s">
        <v>6242</v>
      </c>
    </row>
    <row r="1086" spans="1:1" x14ac:dyDescent="0.35">
      <c r="A1086" s="95" t="s">
        <v>6242</v>
      </c>
    </row>
    <row r="1087" spans="1:1" x14ac:dyDescent="0.35">
      <c r="A1087" s="95" t="s">
        <v>6242</v>
      </c>
    </row>
    <row r="1088" spans="1:1" x14ac:dyDescent="0.35">
      <c r="A1088" s="95" t="s">
        <v>6242</v>
      </c>
    </row>
    <row r="1089" spans="1:1" x14ac:dyDescent="0.35">
      <c r="A1089" s="95" t="s">
        <v>6242</v>
      </c>
    </row>
    <row r="1090" spans="1:1" x14ac:dyDescent="0.35">
      <c r="A1090" s="95" t="s">
        <v>6242</v>
      </c>
    </row>
    <row r="1091" spans="1:1" x14ac:dyDescent="0.35">
      <c r="A1091" s="95" t="s">
        <v>6242</v>
      </c>
    </row>
    <row r="1092" spans="1:1" x14ac:dyDescent="0.35">
      <c r="A1092" s="95" t="s">
        <v>6242</v>
      </c>
    </row>
    <row r="1093" spans="1:1" x14ac:dyDescent="0.35">
      <c r="A1093" s="95" t="s">
        <v>6242</v>
      </c>
    </row>
    <row r="1094" spans="1:1" x14ac:dyDescent="0.35">
      <c r="A1094" s="95" t="s">
        <v>6242</v>
      </c>
    </row>
    <row r="1095" spans="1:1" x14ac:dyDescent="0.35">
      <c r="A1095" s="95" t="s">
        <v>6242</v>
      </c>
    </row>
    <row r="1096" spans="1:1" x14ac:dyDescent="0.35">
      <c r="A1096" s="95" t="s">
        <v>6242</v>
      </c>
    </row>
    <row r="1097" spans="1:1" x14ac:dyDescent="0.35">
      <c r="A1097" s="95" t="s">
        <v>6242</v>
      </c>
    </row>
    <row r="1098" spans="1:1" x14ac:dyDescent="0.35">
      <c r="A1098" s="95" t="s">
        <v>6242</v>
      </c>
    </row>
    <row r="1099" spans="1:1" x14ac:dyDescent="0.35">
      <c r="A1099" s="95" t="s">
        <v>6242</v>
      </c>
    </row>
    <row r="1100" spans="1:1" x14ac:dyDescent="0.35">
      <c r="A1100" s="95" t="s">
        <v>6242</v>
      </c>
    </row>
    <row r="1101" spans="1:1" x14ac:dyDescent="0.35">
      <c r="A1101" s="95" t="s">
        <v>6242</v>
      </c>
    </row>
    <row r="1102" spans="1:1" x14ac:dyDescent="0.35">
      <c r="A1102" s="95" t="s">
        <v>6242</v>
      </c>
    </row>
    <row r="1103" spans="1:1" x14ac:dyDescent="0.35">
      <c r="A1103" s="95" t="s">
        <v>6242</v>
      </c>
    </row>
    <row r="1104" spans="1:1" x14ac:dyDescent="0.35">
      <c r="A1104" s="95" t="s">
        <v>6242</v>
      </c>
    </row>
    <row r="1105" spans="1:1" x14ac:dyDescent="0.35">
      <c r="A1105" s="95" t="s">
        <v>6242</v>
      </c>
    </row>
    <row r="1106" spans="1:1" x14ac:dyDescent="0.35">
      <c r="A1106" s="95" t="s">
        <v>6242</v>
      </c>
    </row>
    <row r="1107" spans="1:1" x14ac:dyDescent="0.35">
      <c r="A1107" s="95" t="s">
        <v>6242</v>
      </c>
    </row>
    <row r="1108" spans="1:1" x14ac:dyDescent="0.35">
      <c r="A1108" s="95" t="s">
        <v>6242</v>
      </c>
    </row>
    <row r="1109" spans="1:1" x14ac:dyDescent="0.35">
      <c r="A1109" s="95" t="s">
        <v>6242</v>
      </c>
    </row>
    <row r="1110" spans="1:1" x14ac:dyDescent="0.35">
      <c r="A1110" s="95" t="s">
        <v>6242</v>
      </c>
    </row>
    <row r="1111" spans="1:1" x14ac:dyDescent="0.35">
      <c r="A1111" s="95" t="s">
        <v>6242</v>
      </c>
    </row>
    <row r="1112" spans="1:1" x14ac:dyDescent="0.35">
      <c r="A1112" s="95" t="s">
        <v>6242</v>
      </c>
    </row>
    <row r="1113" spans="1:1" x14ac:dyDescent="0.35">
      <c r="A1113" s="95" t="s">
        <v>6242</v>
      </c>
    </row>
    <row r="1114" spans="1:1" x14ac:dyDescent="0.35">
      <c r="A1114" s="95" t="s">
        <v>6242</v>
      </c>
    </row>
    <row r="1115" spans="1:1" x14ac:dyDescent="0.35">
      <c r="A1115" s="95" t="s">
        <v>6242</v>
      </c>
    </row>
    <row r="1116" spans="1:1" x14ac:dyDescent="0.35">
      <c r="A1116" s="95" t="s">
        <v>6242</v>
      </c>
    </row>
    <row r="1117" spans="1:1" x14ac:dyDescent="0.35">
      <c r="A1117" s="95" t="s">
        <v>6242</v>
      </c>
    </row>
    <row r="1118" spans="1:1" x14ac:dyDescent="0.35">
      <c r="A1118" s="95" t="s">
        <v>6242</v>
      </c>
    </row>
    <row r="1119" spans="1:1" x14ac:dyDescent="0.35">
      <c r="A1119" s="95" t="s">
        <v>6242</v>
      </c>
    </row>
    <row r="1120" spans="1:1" x14ac:dyDescent="0.35">
      <c r="A1120" s="95" t="s">
        <v>6242</v>
      </c>
    </row>
    <row r="1121" spans="1:1" x14ac:dyDescent="0.35">
      <c r="A1121" s="95" t="s">
        <v>6242</v>
      </c>
    </row>
    <row r="1122" spans="1:1" x14ac:dyDescent="0.35">
      <c r="A1122" s="95" t="s">
        <v>6242</v>
      </c>
    </row>
    <row r="1123" spans="1:1" x14ac:dyDescent="0.35">
      <c r="A1123" s="95" t="s">
        <v>6242</v>
      </c>
    </row>
    <row r="1124" spans="1:1" x14ac:dyDescent="0.35">
      <c r="A1124" s="95" t="s">
        <v>6242</v>
      </c>
    </row>
    <row r="1125" spans="1:1" x14ac:dyDescent="0.35">
      <c r="A1125" s="95" t="s">
        <v>6242</v>
      </c>
    </row>
    <row r="1126" spans="1:1" x14ac:dyDescent="0.35">
      <c r="A1126" s="95" t="s">
        <v>6242</v>
      </c>
    </row>
    <row r="1127" spans="1:1" x14ac:dyDescent="0.35">
      <c r="A1127" s="95" t="s">
        <v>6242</v>
      </c>
    </row>
    <row r="1128" spans="1:1" x14ac:dyDescent="0.35">
      <c r="A1128" s="95" t="s">
        <v>6242</v>
      </c>
    </row>
    <row r="1129" spans="1:1" x14ac:dyDescent="0.35">
      <c r="A1129" s="95" t="s">
        <v>6242</v>
      </c>
    </row>
    <row r="1130" spans="1:1" x14ac:dyDescent="0.35">
      <c r="A1130" s="95" t="s">
        <v>6242</v>
      </c>
    </row>
    <row r="1131" spans="1:1" x14ac:dyDescent="0.35">
      <c r="A1131" s="95" t="s">
        <v>6242</v>
      </c>
    </row>
    <row r="1132" spans="1:1" x14ac:dyDescent="0.35">
      <c r="A1132" s="95" t="s">
        <v>6242</v>
      </c>
    </row>
    <row r="1133" spans="1:1" x14ac:dyDescent="0.35">
      <c r="A1133" s="95" t="s">
        <v>6242</v>
      </c>
    </row>
    <row r="1134" spans="1:1" x14ac:dyDescent="0.35">
      <c r="A1134" s="95" t="s">
        <v>6242</v>
      </c>
    </row>
    <row r="1135" spans="1:1" x14ac:dyDescent="0.35">
      <c r="A1135" s="95" t="s">
        <v>6242</v>
      </c>
    </row>
    <row r="1136" spans="1:1" x14ac:dyDescent="0.35">
      <c r="A1136" s="95" t="s">
        <v>6242</v>
      </c>
    </row>
    <row r="1137" spans="1:1" x14ac:dyDescent="0.35">
      <c r="A1137" s="95" t="s">
        <v>6242</v>
      </c>
    </row>
    <row r="1138" spans="1:1" x14ac:dyDescent="0.35">
      <c r="A1138" s="95" t="s">
        <v>6242</v>
      </c>
    </row>
    <row r="1139" spans="1:1" x14ac:dyDescent="0.35">
      <c r="A1139" s="95" t="s">
        <v>6242</v>
      </c>
    </row>
    <row r="1140" spans="1:1" x14ac:dyDescent="0.35">
      <c r="A1140" s="95" t="s">
        <v>6242</v>
      </c>
    </row>
    <row r="1141" spans="1:1" x14ac:dyDescent="0.35">
      <c r="A1141" s="95" t="s">
        <v>6242</v>
      </c>
    </row>
    <row r="1142" spans="1:1" x14ac:dyDescent="0.35">
      <c r="A1142" s="95" t="s">
        <v>6242</v>
      </c>
    </row>
    <row r="1143" spans="1:1" x14ac:dyDescent="0.35">
      <c r="A1143" s="95" t="s">
        <v>6242</v>
      </c>
    </row>
    <row r="1144" spans="1:1" x14ac:dyDescent="0.35">
      <c r="A1144" s="95" t="s">
        <v>6242</v>
      </c>
    </row>
    <row r="1145" spans="1:1" x14ac:dyDescent="0.35">
      <c r="A1145" s="95" t="s">
        <v>6242</v>
      </c>
    </row>
    <row r="1146" spans="1:1" x14ac:dyDescent="0.35">
      <c r="A1146" s="95" t="s">
        <v>6242</v>
      </c>
    </row>
    <row r="1147" spans="1:1" x14ac:dyDescent="0.35">
      <c r="A1147" s="95" t="s">
        <v>6242</v>
      </c>
    </row>
    <row r="1148" spans="1:1" x14ac:dyDescent="0.35">
      <c r="A1148" s="95" t="s">
        <v>6242</v>
      </c>
    </row>
    <row r="1149" spans="1:1" x14ac:dyDescent="0.35">
      <c r="A1149" s="95" t="s">
        <v>6242</v>
      </c>
    </row>
    <row r="1150" spans="1:1" x14ac:dyDescent="0.35">
      <c r="A1150" s="95" t="s">
        <v>6242</v>
      </c>
    </row>
    <row r="1151" spans="1:1" x14ac:dyDescent="0.35">
      <c r="A1151" s="95" t="s">
        <v>6242</v>
      </c>
    </row>
    <row r="1152" spans="1:1" x14ac:dyDescent="0.35">
      <c r="A1152" s="95" t="s">
        <v>6242</v>
      </c>
    </row>
    <row r="1153" spans="1:1" x14ac:dyDescent="0.35">
      <c r="A1153" s="95" t="s">
        <v>6242</v>
      </c>
    </row>
    <row r="1154" spans="1:1" x14ac:dyDescent="0.35">
      <c r="A1154" s="95" t="s">
        <v>6242</v>
      </c>
    </row>
    <row r="1155" spans="1:1" x14ac:dyDescent="0.35">
      <c r="A1155" s="95" t="s">
        <v>6242</v>
      </c>
    </row>
    <row r="1156" spans="1:1" x14ac:dyDescent="0.35">
      <c r="A1156" s="95" t="s">
        <v>6242</v>
      </c>
    </row>
    <row r="1157" spans="1:1" x14ac:dyDescent="0.35">
      <c r="A1157" s="95" t="s">
        <v>6242</v>
      </c>
    </row>
    <row r="1158" spans="1:1" x14ac:dyDescent="0.35">
      <c r="A1158" s="95" t="s">
        <v>6242</v>
      </c>
    </row>
    <row r="1159" spans="1:1" x14ac:dyDescent="0.35">
      <c r="A1159" s="95" t="s">
        <v>6242</v>
      </c>
    </row>
    <row r="1160" spans="1:1" x14ac:dyDescent="0.35">
      <c r="A1160" s="95" t="s">
        <v>6242</v>
      </c>
    </row>
    <row r="1161" spans="1:1" x14ac:dyDescent="0.35">
      <c r="A1161" s="95" t="s">
        <v>6242</v>
      </c>
    </row>
    <row r="1162" spans="1:1" x14ac:dyDescent="0.35">
      <c r="A1162" s="95" t="s">
        <v>6242</v>
      </c>
    </row>
    <row r="1163" spans="1:1" x14ac:dyDescent="0.35">
      <c r="A1163" s="95" t="s">
        <v>6242</v>
      </c>
    </row>
    <row r="1164" spans="1:1" x14ac:dyDescent="0.35">
      <c r="A1164" s="95" t="s">
        <v>6242</v>
      </c>
    </row>
    <row r="1165" spans="1:1" x14ac:dyDescent="0.35">
      <c r="A1165" s="95" t="s">
        <v>6242</v>
      </c>
    </row>
    <row r="1166" spans="1:1" x14ac:dyDescent="0.35">
      <c r="A1166" s="95" t="s">
        <v>6242</v>
      </c>
    </row>
    <row r="1167" spans="1:1" x14ac:dyDescent="0.35">
      <c r="A1167" s="95" t="s">
        <v>6242</v>
      </c>
    </row>
    <row r="1168" spans="1:1" x14ac:dyDescent="0.35">
      <c r="A1168" s="95" t="s">
        <v>6242</v>
      </c>
    </row>
    <row r="1169" spans="1:1" x14ac:dyDescent="0.35">
      <c r="A1169" s="95" t="s">
        <v>6242</v>
      </c>
    </row>
    <row r="1170" spans="1:1" x14ac:dyDescent="0.35">
      <c r="A1170" s="95" t="s">
        <v>6242</v>
      </c>
    </row>
    <row r="1171" spans="1:1" x14ac:dyDescent="0.35">
      <c r="A1171" s="95" t="s">
        <v>6242</v>
      </c>
    </row>
    <row r="1172" spans="1:1" x14ac:dyDescent="0.35">
      <c r="A1172" s="95" t="s">
        <v>6242</v>
      </c>
    </row>
    <row r="1173" spans="1:1" x14ac:dyDescent="0.35">
      <c r="A1173" s="95" t="s">
        <v>6242</v>
      </c>
    </row>
    <row r="1174" spans="1:1" x14ac:dyDescent="0.35">
      <c r="A1174" s="95" t="s">
        <v>6242</v>
      </c>
    </row>
    <row r="1175" spans="1:1" x14ac:dyDescent="0.35">
      <c r="A1175" s="95" t="s">
        <v>6242</v>
      </c>
    </row>
    <row r="1176" spans="1:1" x14ac:dyDescent="0.35">
      <c r="A1176" s="95" t="s">
        <v>6242</v>
      </c>
    </row>
    <row r="1177" spans="1:1" x14ac:dyDescent="0.35">
      <c r="A1177" s="95" t="s">
        <v>6242</v>
      </c>
    </row>
    <row r="1178" spans="1:1" x14ac:dyDescent="0.35">
      <c r="A1178" s="95" t="s">
        <v>6242</v>
      </c>
    </row>
    <row r="1179" spans="1:1" x14ac:dyDescent="0.35">
      <c r="A1179" s="95" t="s">
        <v>6242</v>
      </c>
    </row>
    <row r="1180" spans="1:1" x14ac:dyDescent="0.35">
      <c r="A1180" s="95" t="s">
        <v>6242</v>
      </c>
    </row>
    <row r="1181" spans="1:1" x14ac:dyDescent="0.35">
      <c r="A1181" s="95" t="s">
        <v>6242</v>
      </c>
    </row>
    <row r="1182" spans="1:1" x14ac:dyDescent="0.35">
      <c r="A1182" s="95" t="s">
        <v>6242</v>
      </c>
    </row>
    <row r="1183" spans="1:1" x14ac:dyDescent="0.35">
      <c r="A1183" s="95" t="s">
        <v>6242</v>
      </c>
    </row>
    <row r="1184" spans="1:1" x14ac:dyDescent="0.35">
      <c r="A1184" s="95" t="s">
        <v>6242</v>
      </c>
    </row>
    <row r="1185" spans="1:1" x14ac:dyDescent="0.35">
      <c r="A1185" s="95" t="s">
        <v>6242</v>
      </c>
    </row>
    <row r="1186" spans="1:1" x14ac:dyDescent="0.35">
      <c r="A1186" s="95" t="s">
        <v>6242</v>
      </c>
    </row>
    <row r="1187" spans="1:1" x14ac:dyDescent="0.35">
      <c r="A1187" s="95" t="s">
        <v>6242</v>
      </c>
    </row>
    <row r="1188" spans="1:1" x14ac:dyDescent="0.35">
      <c r="A1188" s="95" t="s">
        <v>6242</v>
      </c>
    </row>
    <row r="1189" spans="1:1" x14ac:dyDescent="0.35">
      <c r="A1189" s="95" t="s">
        <v>6242</v>
      </c>
    </row>
    <row r="1190" spans="1:1" x14ac:dyDescent="0.35">
      <c r="A1190" s="95" t="s">
        <v>6242</v>
      </c>
    </row>
    <row r="1191" spans="1:1" x14ac:dyDescent="0.35">
      <c r="A1191" s="95" t="s">
        <v>6242</v>
      </c>
    </row>
    <row r="1192" spans="1:1" x14ac:dyDescent="0.35">
      <c r="A1192" s="95" t="s">
        <v>6242</v>
      </c>
    </row>
    <row r="1193" spans="1:1" x14ac:dyDescent="0.35">
      <c r="A1193" s="95" t="s">
        <v>6242</v>
      </c>
    </row>
    <row r="1194" spans="1:1" x14ac:dyDescent="0.35">
      <c r="A1194" s="95" t="s">
        <v>6242</v>
      </c>
    </row>
    <row r="1195" spans="1:1" x14ac:dyDescent="0.35">
      <c r="A1195" s="95" t="s">
        <v>6242</v>
      </c>
    </row>
    <row r="1196" spans="1:1" x14ac:dyDescent="0.35">
      <c r="A1196" s="95" t="s">
        <v>6242</v>
      </c>
    </row>
    <row r="1197" spans="1:1" x14ac:dyDescent="0.35">
      <c r="A1197" s="95" t="s">
        <v>6242</v>
      </c>
    </row>
    <row r="1198" spans="1:1" x14ac:dyDescent="0.35">
      <c r="A1198" s="95" t="s">
        <v>6242</v>
      </c>
    </row>
    <row r="1199" spans="1:1" x14ac:dyDescent="0.35">
      <c r="A1199" s="95" t="s">
        <v>6242</v>
      </c>
    </row>
    <row r="1200" spans="1:1" x14ac:dyDescent="0.35">
      <c r="A1200" s="95" t="s">
        <v>6242</v>
      </c>
    </row>
    <row r="1201" spans="1:1" x14ac:dyDescent="0.35">
      <c r="A1201" s="95" t="s">
        <v>6242</v>
      </c>
    </row>
    <row r="1202" spans="1:1" x14ac:dyDescent="0.35">
      <c r="A1202" s="95" t="s">
        <v>6242</v>
      </c>
    </row>
    <row r="1203" spans="1:1" x14ac:dyDescent="0.35">
      <c r="A1203" s="95" t="s">
        <v>6242</v>
      </c>
    </row>
    <row r="1204" spans="1:1" x14ac:dyDescent="0.35">
      <c r="A1204" s="95" t="s">
        <v>6242</v>
      </c>
    </row>
    <row r="1205" spans="1:1" x14ac:dyDescent="0.35">
      <c r="A1205" s="95" t="s">
        <v>6242</v>
      </c>
    </row>
    <row r="1206" spans="1:1" x14ac:dyDescent="0.35">
      <c r="A1206" s="95" t="s">
        <v>6242</v>
      </c>
    </row>
    <row r="1207" spans="1:1" x14ac:dyDescent="0.35">
      <c r="A1207" s="95" t="s">
        <v>6242</v>
      </c>
    </row>
    <row r="1208" spans="1:1" x14ac:dyDescent="0.35">
      <c r="A1208" s="95" t="s">
        <v>6242</v>
      </c>
    </row>
    <row r="1209" spans="1:1" x14ac:dyDescent="0.35">
      <c r="A1209" s="95" t="s">
        <v>6242</v>
      </c>
    </row>
    <row r="1210" spans="1:1" x14ac:dyDescent="0.35">
      <c r="A1210" s="95" t="s">
        <v>6242</v>
      </c>
    </row>
    <row r="1211" spans="1:1" x14ac:dyDescent="0.35">
      <c r="A1211" s="95" t="s">
        <v>6242</v>
      </c>
    </row>
    <row r="1212" spans="1:1" x14ac:dyDescent="0.35">
      <c r="A1212" s="95" t="s">
        <v>6242</v>
      </c>
    </row>
    <row r="1213" spans="1:1" x14ac:dyDescent="0.35">
      <c r="A1213" s="95" t="s">
        <v>6242</v>
      </c>
    </row>
    <row r="1214" spans="1:1" x14ac:dyDescent="0.35">
      <c r="A1214" s="95" t="s">
        <v>6242</v>
      </c>
    </row>
    <row r="1215" spans="1:1" x14ac:dyDescent="0.35">
      <c r="A1215" s="95" t="s">
        <v>6242</v>
      </c>
    </row>
    <row r="1216" spans="1:1" x14ac:dyDescent="0.35">
      <c r="A1216" s="95" t="s">
        <v>6242</v>
      </c>
    </row>
    <row r="1217" spans="1:1" x14ac:dyDescent="0.35">
      <c r="A1217" s="95" t="s">
        <v>6242</v>
      </c>
    </row>
    <row r="1218" spans="1:1" x14ac:dyDescent="0.35">
      <c r="A1218" s="95" t="s">
        <v>6242</v>
      </c>
    </row>
    <row r="1219" spans="1:1" x14ac:dyDescent="0.35">
      <c r="A1219" s="95" t="s">
        <v>6242</v>
      </c>
    </row>
    <row r="1220" spans="1:1" x14ac:dyDescent="0.35">
      <c r="A1220" s="95" t="s">
        <v>6242</v>
      </c>
    </row>
    <row r="1221" spans="1:1" x14ac:dyDescent="0.35">
      <c r="A1221" s="95" t="s">
        <v>6242</v>
      </c>
    </row>
    <row r="1222" spans="1:1" x14ac:dyDescent="0.35">
      <c r="A1222" s="95" t="s">
        <v>6242</v>
      </c>
    </row>
    <row r="1223" spans="1:1" x14ac:dyDescent="0.35">
      <c r="A1223" s="95" t="s">
        <v>6242</v>
      </c>
    </row>
    <row r="1224" spans="1:1" x14ac:dyDescent="0.35">
      <c r="A1224" s="95" t="s">
        <v>6242</v>
      </c>
    </row>
    <row r="1225" spans="1:1" x14ac:dyDescent="0.35">
      <c r="A1225" s="95" t="s">
        <v>6242</v>
      </c>
    </row>
    <row r="1226" spans="1:1" x14ac:dyDescent="0.35">
      <c r="A1226" s="95" t="s">
        <v>6242</v>
      </c>
    </row>
    <row r="1227" spans="1:1" x14ac:dyDescent="0.35">
      <c r="A1227" s="95" t="s">
        <v>6242</v>
      </c>
    </row>
    <row r="1228" spans="1:1" x14ac:dyDescent="0.35">
      <c r="A1228" s="95" t="s">
        <v>6242</v>
      </c>
    </row>
    <row r="1229" spans="1:1" x14ac:dyDescent="0.35">
      <c r="A1229" s="95" t="s">
        <v>6242</v>
      </c>
    </row>
    <row r="1230" spans="1:1" x14ac:dyDescent="0.35">
      <c r="A1230" s="95" t="s">
        <v>6242</v>
      </c>
    </row>
    <row r="1231" spans="1:1" x14ac:dyDescent="0.35">
      <c r="A1231" s="95" t="s">
        <v>6242</v>
      </c>
    </row>
    <row r="1232" spans="1:1" x14ac:dyDescent="0.35">
      <c r="A1232" s="95" t="s">
        <v>6242</v>
      </c>
    </row>
    <row r="1233" spans="1:1" x14ac:dyDescent="0.35">
      <c r="A1233" s="95" t="s">
        <v>6242</v>
      </c>
    </row>
    <row r="1234" spans="1:1" x14ac:dyDescent="0.35">
      <c r="A1234" s="95" t="s">
        <v>6242</v>
      </c>
    </row>
    <row r="1235" spans="1:1" x14ac:dyDescent="0.35">
      <c r="A1235" s="95" t="s">
        <v>6242</v>
      </c>
    </row>
    <row r="1236" spans="1:1" x14ac:dyDescent="0.35">
      <c r="A1236" s="95" t="s">
        <v>6242</v>
      </c>
    </row>
    <row r="1237" spans="1:1" x14ac:dyDescent="0.35">
      <c r="A1237" s="95" t="s">
        <v>6242</v>
      </c>
    </row>
    <row r="1238" spans="1:1" x14ac:dyDescent="0.35">
      <c r="A1238" s="95" t="s">
        <v>6242</v>
      </c>
    </row>
    <row r="1239" spans="1:1" x14ac:dyDescent="0.35">
      <c r="A1239" s="95" t="s">
        <v>6242</v>
      </c>
    </row>
    <row r="1240" spans="1:1" x14ac:dyDescent="0.35">
      <c r="A1240" s="95" t="s">
        <v>6242</v>
      </c>
    </row>
    <row r="1241" spans="1:1" x14ac:dyDescent="0.35">
      <c r="A1241" s="95" t="s">
        <v>6242</v>
      </c>
    </row>
    <row r="1242" spans="1:1" x14ac:dyDescent="0.35">
      <c r="A1242" s="95" t="s">
        <v>6242</v>
      </c>
    </row>
    <row r="1243" spans="1:1" x14ac:dyDescent="0.35">
      <c r="A1243" s="95" t="s">
        <v>6242</v>
      </c>
    </row>
    <row r="1244" spans="1:1" x14ac:dyDescent="0.35">
      <c r="A1244" s="95" t="s">
        <v>6242</v>
      </c>
    </row>
    <row r="1245" spans="1:1" x14ac:dyDescent="0.35">
      <c r="A1245" s="95" t="s">
        <v>6242</v>
      </c>
    </row>
    <row r="1246" spans="1:1" x14ac:dyDescent="0.35">
      <c r="A1246" s="95" t="s">
        <v>6242</v>
      </c>
    </row>
    <row r="1247" spans="1:1" x14ac:dyDescent="0.35">
      <c r="A1247" s="95" t="s">
        <v>6242</v>
      </c>
    </row>
    <row r="1248" spans="1:1" x14ac:dyDescent="0.35">
      <c r="A1248" s="95" t="s">
        <v>6242</v>
      </c>
    </row>
    <row r="1249" spans="1:1" x14ac:dyDescent="0.35">
      <c r="A1249" s="95" t="s">
        <v>6242</v>
      </c>
    </row>
    <row r="1250" spans="1:1" x14ac:dyDescent="0.35">
      <c r="A1250" s="95" t="s">
        <v>6242</v>
      </c>
    </row>
    <row r="1251" spans="1:1" x14ac:dyDescent="0.35">
      <c r="A1251" s="95" t="s">
        <v>6242</v>
      </c>
    </row>
    <row r="1252" spans="1:1" x14ac:dyDescent="0.35">
      <c r="A1252" s="95" t="s">
        <v>6242</v>
      </c>
    </row>
    <row r="1253" spans="1:1" x14ac:dyDescent="0.35">
      <c r="A1253" s="95" t="s">
        <v>6242</v>
      </c>
    </row>
    <row r="1254" spans="1:1" x14ac:dyDescent="0.35">
      <c r="A1254" s="95" t="s">
        <v>6242</v>
      </c>
    </row>
    <row r="1255" spans="1:1" x14ac:dyDescent="0.35">
      <c r="A1255" s="95" t="s">
        <v>6242</v>
      </c>
    </row>
    <row r="1256" spans="1:1" x14ac:dyDescent="0.35">
      <c r="A1256" s="95" t="s">
        <v>6242</v>
      </c>
    </row>
    <row r="1257" spans="1:1" x14ac:dyDescent="0.35">
      <c r="A1257" s="95" t="s">
        <v>6242</v>
      </c>
    </row>
    <row r="1258" spans="1:1" x14ac:dyDescent="0.35">
      <c r="A1258" s="95" t="s">
        <v>6242</v>
      </c>
    </row>
    <row r="1259" spans="1:1" x14ac:dyDescent="0.35">
      <c r="A1259" s="95" t="s">
        <v>6242</v>
      </c>
    </row>
    <row r="1260" spans="1:1" x14ac:dyDescent="0.35">
      <c r="A1260" s="95" t="s">
        <v>6242</v>
      </c>
    </row>
    <row r="1261" spans="1:1" x14ac:dyDescent="0.35">
      <c r="A1261" s="95" t="s">
        <v>6242</v>
      </c>
    </row>
    <row r="1262" spans="1:1" x14ac:dyDescent="0.35">
      <c r="A1262" s="95" t="s">
        <v>6242</v>
      </c>
    </row>
    <row r="1263" spans="1:1" x14ac:dyDescent="0.35">
      <c r="A1263" s="95" t="s">
        <v>6242</v>
      </c>
    </row>
    <row r="1264" spans="1:1" x14ac:dyDescent="0.35">
      <c r="A1264" s="95" t="s">
        <v>6242</v>
      </c>
    </row>
    <row r="1265" spans="1:1" x14ac:dyDescent="0.35">
      <c r="A1265" s="95" t="s">
        <v>6242</v>
      </c>
    </row>
    <row r="1266" spans="1:1" x14ac:dyDescent="0.35">
      <c r="A1266" s="95" t="s">
        <v>6242</v>
      </c>
    </row>
    <row r="1267" spans="1:1" x14ac:dyDescent="0.35">
      <c r="A1267" s="95" t="s">
        <v>6242</v>
      </c>
    </row>
    <row r="1268" spans="1:1" x14ac:dyDescent="0.35">
      <c r="A1268" s="95" t="s">
        <v>6242</v>
      </c>
    </row>
    <row r="1269" spans="1:1" x14ac:dyDescent="0.35">
      <c r="A1269" s="95" t="s">
        <v>6242</v>
      </c>
    </row>
    <row r="1270" spans="1:1" x14ac:dyDescent="0.35">
      <c r="A1270" s="95" t="s">
        <v>6242</v>
      </c>
    </row>
    <row r="1271" spans="1:1" x14ac:dyDescent="0.35">
      <c r="A1271" s="95" t="s">
        <v>6242</v>
      </c>
    </row>
    <row r="1272" spans="1:1" x14ac:dyDescent="0.35">
      <c r="A1272" s="95" t="s">
        <v>6242</v>
      </c>
    </row>
    <row r="1273" spans="1:1" x14ac:dyDescent="0.35">
      <c r="A1273" s="95" t="s">
        <v>6242</v>
      </c>
    </row>
    <row r="1274" spans="1:1" x14ac:dyDescent="0.35">
      <c r="A1274" s="95" t="s">
        <v>6242</v>
      </c>
    </row>
    <row r="1275" spans="1:1" x14ac:dyDescent="0.35">
      <c r="A1275" s="95" t="s">
        <v>6242</v>
      </c>
    </row>
    <row r="1276" spans="1:1" x14ac:dyDescent="0.35">
      <c r="A1276" s="95" t="s">
        <v>6242</v>
      </c>
    </row>
    <row r="1277" spans="1:1" x14ac:dyDescent="0.35">
      <c r="A1277" s="95" t="s">
        <v>6242</v>
      </c>
    </row>
    <row r="1278" spans="1:1" x14ac:dyDescent="0.35">
      <c r="A1278" s="95" t="s">
        <v>6242</v>
      </c>
    </row>
    <row r="1279" spans="1:1" x14ac:dyDescent="0.35">
      <c r="A1279" s="95" t="s">
        <v>6242</v>
      </c>
    </row>
    <row r="1280" spans="1:1" x14ac:dyDescent="0.35">
      <c r="A1280" s="95" t="s">
        <v>6242</v>
      </c>
    </row>
    <row r="1281" spans="1:1" x14ac:dyDescent="0.35">
      <c r="A1281" s="95" t="s">
        <v>6242</v>
      </c>
    </row>
    <row r="1282" spans="1:1" x14ac:dyDescent="0.35">
      <c r="A1282" s="95" t="s">
        <v>6242</v>
      </c>
    </row>
    <row r="1283" spans="1:1" x14ac:dyDescent="0.35">
      <c r="A1283" s="95" t="s">
        <v>6242</v>
      </c>
    </row>
    <row r="1284" spans="1:1" x14ac:dyDescent="0.35">
      <c r="A1284" s="95" t="s">
        <v>6242</v>
      </c>
    </row>
    <row r="1285" spans="1:1" x14ac:dyDescent="0.35">
      <c r="A1285" s="95" t="s">
        <v>6242</v>
      </c>
    </row>
    <row r="1286" spans="1:1" x14ac:dyDescent="0.35">
      <c r="A1286" s="95" t="s">
        <v>6242</v>
      </c>
    </row>
    <row r="1287" spans="1:1" x14ac:dyDescent="0.35">
      <c r="A1287" s="95" t="s">
        <v>6242</v>
      </c>
    </row>
    <row r="1288" spans="1:1" x14ac:dyDescent="0.35">
      <c r="A1288" s="95" t="s">
        <v>6242</v>
      </c>
    </row>
    <row r="1289" spans="1:1" x14ac:dyDescent="0.35">
      <c r="A1289" s="95" t="s">
        <v>6242</v>
      </c>
    </row>
    <row r="1290" spans="1:1" x14ac:dyDescent="0.35">
      <c r="A1290" s="95" t="s">
        <v>6242</v>
      </c>
    </row>
    <row r="1291" spans="1:1" x14ac:dyDescent="0.35">
      <c r="A1291" s="95" t="s">
        <v>6242</v>
      </c>
    </row>
    <row r="1292" spans="1:1" x14ac:dyDescent="0.35">
      <c r="A1292" s="95" t="s">
        <v>6242</v>
      </c>
    </row>
    <row r="1293" spans="1:1" x14ac:dyDescent="0.35">
      <c r="A1293" s="95" t="s">
        <v>6242</v>
      </c>
    </row>
    <row r="1294" spans="1:1" x14ac:dyDescent="0.35">
      <c r="A1294" s="95" t="s">
        <v>6242</v>
      </c>
    </row>
    <row r="1295" spans="1:1" x14ac:dyDescent="0.35">
      <c r="A1295" s="95" t="s">
        <v>6242</v>
      </c>
    </row>
    <row r="1296" spans="1:1" x14ac:dyDescent="0.35">
      <c r="A1296" s="95" t="s">
        <v>6242</v>
      </c>
    </row>
    <row r="1297" spans="1:1" x14ac:dyDescent="0.35">
      <c r="A1297" s="95" t="s">
        <v>6242</v>
      </c>
    </row>
    <row r="1298" spans="1:1" x14ac:dyDescent="0.35">
      <c r="A1298" s="95" t="s">
        <v>6242</v>
      </c>
    </row>
    <row r="1299" spans="1:1" x14ac:dyDescent="0.35">
      <c r="A1299" s="95" t="s">
        <v>6242</v>
      </c>
    </row>
    <row r="1300" spans="1:1" x14ac:dyDescent="0.35">
      <c r="A1300" s="95" t="s">
        <v>6242</v>
      </c>
    </row>
    <row r="1301" spans="1:1" x14ac:dyDescent="0.35">
      <c r="A1301" s="95" t="s">
        <v>6242</v>
      </c>
    </row>
    <row r="1302" spans="1:1" x14ac:dyDescent="0.35">
      <c r="A1302" s="95" t="s">
        <v>6242</v>
      </c>
    </row>
    <row r="1303" spans="1:1" x14ac:dyDescent="0.35">
      <c r="A1303" s="95" t="s">
        <v>6242</v>
      </c>
    </row>
    <row r="1304" spans="1:1" x14ac:dyDescent="0.35">
      <c r="A1304" s="95" t="s">
        <v>6242</v>
      </c>
    </row>
    <row r="1305" spans="1:1" x14ac:dyDescent="0.35">
      <c r="A1305" s="95" t="s">
        <v>6242</v>
      </c>
    </row>
    <row r="1306" spans="1:1" x14ac:dyDescent="0.35">
      <c r="A1306" s="95" t="s">
        <v>6242</v>
      </c>
    </row>
    <row r="1307" spans="1:1" x14ac:dyDescent="0.35">
      <c r="A1307" s="95" t="s">
        <v>6242</v>
      </c>
    </row>
    <row r="1308" spans="1:1" x14ac:dyDescent="0.35">
      <c r="A1308" s="95" t="s">
        <v>6242</v>
      </c>
    </row>
    <row r="1309" spans="1:1" x14ac:dyDescent="0.35">
      <c r="A1309" s="95" t="s">
        <v>6242</v>
      </c>
    </row>
    <row r="1310" spans="1:1" x14ac:dyDescent="0.35">
      <c r="A1310" s="95" t="s">
        <v>6242</v>
      </c>
    </row>
    <row r="1311" spans="1:1" x14ac:dyDescent="0.35">
      <c r="A1311" s="95" t="s">
        <v>6242</v>
      </c>
    </row>
    <row r="1312" spans="1:1" x14ac:dyDescent="0.35">
      <c r="A1312" s="95" t="s">
        <v>6242</v>
      </c>
    </row>
    <row r="1313" spans="1:1" x14ac:dyDescent="0.35">
      <c r="A1313" s="95" t="s">
        <v>6242</v>
      </c>
    </row>
    <row r="1314" spans="1:1" x14ac:dyDescent="0.35">
      <c r="A1314" s="95" t="s">
        <v>6242</v>
      </c>
    </row>
    <row r="1315" spans="1:1" x14ac:dyDescent="0.35">
      <c r="A1315" s="95" t="s">
        <v>6242</v>
      </c>
    </row>
    <row r="1316" spans="1:1" x14ac:dyDescent="0.35">
      <c r="A1316" s="95" t="s">
        <v>6242</v>
      </c>
    </row>
    <row r="1317" spans="1:1" x14ac:dyDescent="0.35">
      <c r="A1317" s="95" t="s">
        <v>6242</v>
      </c>
    </row>
    <row r="1318" spans="1:1" x14ac:dyDescent="0.35">
      <c r="A1318" s="95" t="s">
        <v>6242</v>
      </c>
    </row>
    <row r="1319" spans="1:1" x14ac:dyDescent="0.35">
      <c r="A1319" s="95" t="s">
        <v>6242</v>
      </c>
    </row>
    <row r="1320" spans="1:1" x14ac:dyDescent="0.35">
      <c r="A1320" s="95" t="s">
        <v>6242</v>
      </c>
    </row>
    <row r="1321" spans="1:1" x14ac:dyDescent="0.35">
      <c r="A1321" s="95" t="s">
        <v>6242</v>
      </c>
    </row>
    <row r="1322" spans="1:1" x14ac:dyDescent="0.35">
      <c r="A1322" s="95" t="s">
        <v>6242</v>
      </c>
    </row>
    <row r="1323" spans="1:1" x14ac:dyDescent="0.35">
      <c r="A1323" s="95" t="s">
        <v>6242</v>
      </c>
    </row>
    <row r="1324" spans="1:1" x14ac:dyDescent="0.35">
      <c r="A1324" s="95" t="s">
        <v>6242</v>
      </c>
    </row>
    <row r="1325" spans="1:1" x14ac:dyDescent="0.35">
      <c r="A1325" s="95" t="s">
        <v>6242</v>
      </c>
    </row>
    <row r="1326" spans="1:1" x14ac:dyDescent="0.35">
      <c r="A1326" s="95" t="s">
        <v>6242</v>
      </c>
    </row>
    <row r="1327" spans="1:1" x14ac:dyDescent="0.35">
      <c r="A1327" s="95" t="s">
        <v>6242</v>
      </c>
    </row>
    <row r="1328" spans="1:1" x14ac:dyDescent="0.35">
      <c r="A1328" s="95" t="s">
        <v>6242</v>
      </c>
    </row>
    <row r="1329" spans="1:1" x14ac:dyDescent="0.35">
      <c r="A1329" s="95" t="s">
        <v>6242</v>
      </c>
    </row>
    <row r="1330" spans="1:1" x14ac:dyDescent="0.35">
      <c r="A1330" s="95" t="s">
        <v>6242</v>
      </c>
    </row>
    <row r="1331" spans="1:1" x14ac:dyDescent="0.35">
      <c r="A1331" s="95" t="s">
        <v>6242</v>
      </c>
    </row>
    <row r="1332" spans="1:1" x14ac:dyDescent="0.35">
      <c r="A1332" s="95" t="s">
        <v>6242</v>
      </c>
    </row>
    <row r="1333" spans="1:1" x14ac:dyDescent="0.35">
      <c r="A1333" s="95" t="s">
        <v>6242</v>
      </c>
    </row>
    <row r="1334" spans="1:1" x14ac:dyDescent="0.35">
      <c r="A1334" s="95" t="s">
        <v>6242</v>
      </c>
    </row>
    <row r="1335" spans="1:1" x14ac:dyDescent="0.35">
      <c r="A1335" s="95" t="s">
        <v>6242</v>
      </c>
    </row>
    <row r="1336" spans="1:1" x14ac:dyDescent="0.35">
      <c r="A1336" s="95" t="s">
        <v>6242</v>
      </c>
    </row>
    <row r="1337" spans="1:1" x14ac:dyDescent="0.35">
      <c r="A1337" s="95" t="s">
        <v>6242</v>
      </c>
    </row>
    <row r="1338" spans="1:1" x14ac:dyDescent="0.35">
      <c r="A1338" s="95" t="s">
        <v>6242</v>
      </c>
    </row>
    <row r="1339" spans="1:1" x14ac:dyDescent="0.35">
      <c r="A1339" s="95" t="s">
        <v>6242</v>
      </c>
    </row>
    <row r="1340" spans="1:1" x14ac:dyDescent="0.35">
      <c r="A1340" s="95" t="s">
        <v>6242</v>
      </c>
    </row>
    <row r="1341" spans="1:1" x14ac:dyDescent="0.35">
      <c r="A1341" s="95" t="s">
        <v>6242</v>
      </c>
    </row>
    <row r="1342" spans="1:1" x14ac:dyDescent="0.35">
      <c r="A1342" s="95" t="s">
        <v>6242</v>
      </c>
    </row>
    <row r="1343" spans="1:1" x14ac:dyDescent="0.35">
      <c r="A1343" s="95" t="s">
        <v>6242</v>
      </c>
    </row>
    <row r="1344" spans="1:1" x14ac:dyDescent="0.35">
      <c r="A1344" s="95" t="s">
        <v>6242</v>
      </c>
    </row>
    <row r="1345" spans="1:1" x14ac:dyDescent="0.35">
      <c r="A1345" s="95" t="s">
        <v>6242</v>
      </c>
    </row>
    <row r="1346" spans="1:1" x14ac:dyDescent="0.35">
      <c r="A1346" s="95" t="s">
        <v>6242</v>
      </c>
    </row>
    <row r="1347" spans="1:1" x14ac:dyDescent="0.35">
      <c r="A1347" s="95" t="s">
        <v>6242</v>
      </c>
    </row>
    <row r="1348" spans="1:1" x14ac:dyDescent="0.35">
      <c r="A1348" s="95" t="s">
        <v>6242</v>
      </c>
    </row>
    <row r="1349" spans="1:1" x14ac:dyDescent="0.35">
      <c r="A1349" s="95" t="s">
        <v>6242</v>
      </c>
    </row>
    <row r="1350" spans="1:1" x14ac:dyDescent="0.35">
      <c r="A1350" s="95" t="s">
        <v>6242</v>
      </c>
    </row>
    <row r="1351" spans="1:1" x14ac:dyDescent="0.35">
      <c r="A1351" s="95" t="s">
        <v>6242</v>
      </c>
    </row>
    <row r="1352" spans="1:1" x14ac:dyDescent="0.35">
      <c r="A1352" s="95" t="s">
        <v>6242</v>
      </c>
    </row>
    <row r="1353" spans="1:1" x14ac:dyDescent="0.35">
      <c r="A1353" s="95" t="s">
        <v>6242</v>
      </c>
    </row>
    <row r="1354" spans="1:1" x14ac:dyDescent="0.35">
      <c r="A1354" s="95" t="s">
        <v>6242</v>
      </c>
    </row>
    <row r="1355" spans="1:1" x14ac:dyDescent="0.35">
      <c r="A1355" s="95" t="s">
        <v>6242</v>
      </c>
    </row>
    <row r="1356" spans="1:1" x14ac:dyDescent="0.35">
      <c r="A1356" s="95" t="s">
        <v>6242</v>
      </c>
    </row>
    <row r="1357" spans="1:1" x14ac:dyDescent="0.35">
      <c r="A1357" s="95" t="s">
        <v>6242</v>
      </c>
    </row>
    <row r="1358" spans="1:1" x14ac:dyDescent="0.35">
      <c r="A1358" s="95" t="s">
        <v>6242</v>
      </c>
    </row>
    <row r="1359" spans="1:1" x14ac:dyDescent="0.35">
      <c r="A1359" s="95" t="s">
        <v>6242</v>
      </c>
    </row>
    <row r="1360" spans="1:1" x14ac:dyDescent="0.35">
      <c r="A1360" s="95" t="s">
        <v>6242</v>
      </c>
    </row>
    <row r="1361" spans="1:1" x14ac:dyDescent="0.35">
      <c r="A1361" s="95" t="s">
        <v>6242</v>
      </c>
    </row>
    <row r="1362" spans="1:1" x14ac:dyDescent="0.35">
      <c r="A1362" s="95" t="s">
        <v>6242</v>
      </c>
    </row>
    <row r="1363" spans="1:1" x14ac:dyDescent="0.35">
      <c r="A1363" s="95" t="s">
        <v>6242</v>
      </c>
    </row>
    <row r="1364" spans="1:1" x14ac:dyDescent="0.35">
      <c r="A1364" s="95" t="s">
        <v>6242</v>
      </c>
    </row>
    <row r="1365" spans="1:1" x14ac:dyDescent="0.35">
      <c r="A1365" s="95" t="s">
        <v>6242</v>
      </c>
    </row>
    <row r="1366" spans="1:1" x14ac:dyDescent="0.35">
      <c r="A1366" s="95" t="s">
        <v>6242</v>
      </c>
    </row>
    <row r="1367" spans="1:1" x14ac:dyDescent="0.35">
      <c r="A1367" s="95" t="s">
        <v>6242</v>
      </c>
    </row>
    <row r="1368" spans="1:1" x14ac:dyDescent="0.35">
      <c r="A1368" s="95" t="s">
        <v>6242</v>
      </c>
    </row>
    <row r="1369" spans="1:1" x14ac:dyDescent="0.35">
      <c r="A1369" s="95" t="s">
        <v>6242</v>
      </c>
    </row>
    <row r="1370" spans="1:1" x14ac:dyDescent="0.35">
      <c r="A1370" s="95" t="s">
        <v>6242</v>
      </c>
    </row>
    <row r="1371" spans="1:1" x14ac:dyDescent="0.35">
      <c r="A1371" s="95" t="s">
        <v>6242</v>
      </c>
    </row>
    <row r="1372" spans="1:1" x14ac:dyDescent="0.35">
      <c r="A1372" s="95" t="s">
        <v>6242</v>
      </c>
    </row>
    <row r="1373" spans="1:1" x14ac:dyDescent="0.35">
      <c r="A1373" s="95" t="s">
        <v>6242</v>
      </c>
    </row>
    <row r="1374" spans="1:1" x14ac:dyDescent="0.35">
      <c r="A1374" s="95" t="s">
        <v>6242</v>
      </c>
    </row>
    <row r="1375" spans="1:1" x14ac:dyDescent="0.35">
      <c r="A1375" s="95" t="s">
        <v>6242</v>
      </c>
    </row>
    <row r="1376" spans="1:1" x14ac:dyDescent="0.35">
      <c r="A1376" s="95" t="s">
        <v>6242</v>
      </c>
    </row>
    <row r="1377" spans="1:1" x14ac:dyDescent="0.35">
      <c r="A1377" s="95" t="s">
        <v>6242</v>
      </c>
    </row>
    <row r="1378" spans="1:1" x14ac:dyDescent="0.35">
      <c r="A1378" s="95" t="s">
        <v>6242</v>
      </c>
    </row>
    <row r="1379" spans="1:1" x14ac:dyDescent="0.35">
      <c r="A1379" s="95" t="s">
        <v>6242</v>
      </c>
    </row>
    <row r="1380" spans="1:1" x14ac:dyDescent="0.35">
      <c r="A1380" s="95" t="s">
        <v>6242</v>
      </c>
    </row>
    <row r="1381" spans="1:1" x14ac:dyDescent="0.35">
      <c r="A1381" s="95" t="s">
        <v>6242</v>
      </c>
    </row>
    <row r="1382" spans="1:1" x14ac:dyDescent="0.35">
      <c r="A1382" s="95" t="s">
        <v>6242</v>
      </c>
    </row>
    <row r="1383" spans="1:1" x14ac:dyDescent="0.35">
      <c r="A1383" s="95" t="s">
        <v>6242</v>
      </c>
    </row>
    <row r="1384" spans="1:1" x14ac:dyDescent="0.35">
      <c r="A1384" s="95" t="s">
        <v>6242</v>
      </c>
    </row>
    <row r="1385" spans="1:1" x14ac:dyDescent="0.35">
      <c r="A1385" s="95" t="s">
        <v>6242</v>
      </c>
    </row>
    <row r="1386" spans="1:1" x14ac:dyDescent="0.35">
      <c r="A1386" s="95" t="s">
        <v>6242</v>
      </c>
    </row>
    <row r="1387" spans="1:1" x14ac:dyDescent="0.35">
      <c r="A1387" s="95" t="s">
        <v>6242</v>
      </c>
    </row>
    <row r="1388" spans="1:1" x14ac:dyDescent="0.35">
      <c r="A1388" s="95" t="s">
        <v>6242</v>
      </c>
    </row>
    <row r="1389" spans="1:1" x14ac:dyDescent="0.35">
      <c r="A1389" s="95" t="s">
        <v>6242</v>
      </c>
    </row>
    <row r="1390" spans="1:1" x14ac:dyDescent="0.35">
      <c r="A1390" s="95" t="s">
        <v>6242</v>
      </c>
    </row>
    <row r="1391" spans="1:1" x14ac:dyDescent="0.35">
      <c r="A1391" s="95" t="s">
        <v>6242</v>
      </c>
    </row>
    <row r="1392" spans="1:1" x14ac:dyDescent="0.35">
      <c r="A1392" s="95" t="s">
        <v>6242</v>
      </c>
    </row>
    <row r="1393" spans="1:1" x14ac:dyDescent="0.35">
      <c r="A1393" s="95" t="s">
        <v>6242</v>
      </c>
    </row>
    <row r="1394" spans="1:1" x14ac:dyDescent="0.35">
      <c r="A1394" s="95" t="s">
        <v>6242</v>
      </c>
    </row>
    <row r="1395" spans="1:1" x14ac:dyDescent="0.35">
      <c r="A1395" s="95" t="s">
        <v>6242</v>
      </c>
    </row>
    <row r="1396" spans="1:1" x14ac:dyDescent="0.35">
      <c r="A1396" s="95" t="s">
        <v>6242</v>
      </c>
    </row>
    <row r="1397" spans="1:1" x14ac:dyDescent="0.35">
      <c r="A1397" s="95" t="s">
        <v>6242</v>
      </c>
    </row>
    <row r="1398" spans="1:1" x14ac:dyDescent="0.35">
      <c r="A1398" s="95" t="s">
        <v>6242</v>
      </c>
    </row>
    <row r="1399" spans="1:1" x14ac:dyDescent="0.35">
      <c r="A1399" s="95" t="s">
        <v>6242</v>
      </c>
    </row>
    <row r="1400" spans="1:1" x14ac:dyDescent="0.35">
      <c r="A1400" s="95" t="s">
        <v>6242</v>
      </c>
    </row>
    <row r="1401" spans="1:1" x14ac:dyDescent="0.35">
      <c r="A1401" s="95" t="s">
        <v>6242</v>
      </c>
    </row>
    <row r="1402" spans="1:1" x14ac:dyDescent="0.35">
      <c r="A1402" s="95" t="s">
        <v>6242</v>
      </c>
    </row>
    <row r="1403" spans="1:1" x14ac:dyDescent="0.35">
      <c r="A1403" s="95" t="s">
        <v>6242</v>
      </c>
    </row>
    <row r="1404" spans="1:1" x14ac:dyDescent="0.35">
      <c r="A1404" s="95" t="s">
        <v>6242</v>
      </c>
    </row>
    <row r="1405" spans="1:1" x14ac:dyDescent="0.35">
      <c r="A1405" s="95" t="s">
        <v>6242</v>
      </c>
    </row>
    <row r="1406" spans="1:1" x14ac:dyDescent="0.35">
      <c r="A1406" s="95" t="s">
        <v>6242</v>
      </c>
    </row>
    <row r="1407" spans="1:1" x14ac:dyDescent="0.35">
      <c r="A1407" s="95" t="s">
        <v>6242</v>
      </c>
    </row>
    <row r="1408" spans="1:1" x14ac:dyDescent="0.35">
      <c r="A1408" s="95" t="s">
        <v>6242</v>
      </c>
    </row>
    <row r="1409" spans="1:1" x14ac:dyDescent="0.35">
      <c r="A1409" s="95" t="s">
        <v>6242</v>
      </c>
    </row>
    <row r="1410" spans="1:1" x14ac:dyDescent="0.35">
      <c r="A1410" s="95" t="s">
        <v>6242</v>
      </c>
    </row>
    <row r="1411" spans="1:1" x14ac:dyDescent="0.35">
      <c r="A1411" s="95" t="s">
        <v>6242</v>
      </c>
    </row>
    <row r="1412" spans="1:1" x14ac:dyDescent="0.35">
      <c r="A1412" s="95" t="s">
        <v>6242</v>
      </c>
    </row>
    <row r="1413" spans="1:1" x14ac:dyDescent="0.35">
      <c r="A1413" s="95" t="s">
        <v>6242</v>
      </c>
    </row>
    <row r="1414" spans="1:1" x14ac:dyDescent="0.35">
      <c r="A1414" s="95" t="s">
        <v>6242</v>
      </c>
    </row>
    <row r="1415" spans="1:1" x14ac:dyDescent="0.35">
      <c r="A1415" s="95" t="s">
        <v>6242</v>
      </c>
    </row>
    <row r="1416" spans="1:1" x14ac:dyDescent="0.35">
      <c r="A1416" s="95" t="s">
        <v>6242</v>
      </c>
    </row>
    <row r="1417" spans="1:1" x14ac:dyDescent="0.35">
      <c r="A1417" s="95" t="s">
        <v>6242</v>
      </c>
    </row>
    <row r="1418" spans="1:1" x14ac:dyDescent="0.35">
      <c r="A1418" s="95" t="s">
        <v>6242</v>
      </c>
    </row>
    <row r="1419" spans="1:1" x14ac:dyDescent="0.35">
      <c r="A1419" s="95" t="s">
        <v>6242</v>
      </c>
    </row>
    <row r="1420" spans="1:1" x14ac:dyDescent="0.35">
      <c r="A1420" s="95" t="s">
        <v>6242</v>
      </c>
    </row>
    <row r="1421" spans="1:1" x14ac:dyDescent="0.35">
      <c r="A1421" s="95" t="s">
        <v>6242</v>
      </c>
    </row>
    <row r="1422" spans="1:1" x14ac:dyDescent="0.35">
      <c r="A1422" s="95" t="s">
        <v>6242</v>
      </c>
    </row>
    <row r="1423" spans="1:1" x14ac:dyDescent="0.35">
      <c r="A1423" s="95" t="s">
        <v>6242</v>
      </c>
    </row>
    <row r="1424" spans="1:1" x14ac:dyDescent="0.35">
      <c r="A1424" s="95" t="s">
        <v>6242</v>
      </c>
    </row>
    <row r="1425" spans="1:1" x14ac:dyDescent="0.35">
      <c r="A1425" s="95" t="s">
        <v>6242</v>
      </c>
    </row>
    <row r="1426" spans="1:1" x14ac:dyDescent="0.35">
      <c r="A1426" s="95" t="s">
        <v>6242</v>
      </c>
    </row>
    <row r="1427" spans="1:1" x14ac:dyDescent="0.35">
      <c r="A1427" s="95" t="s">
        <v>6242</v>
      </c>
    </row>
    <row r="1428" spans="1:1" x14ac:dyDescent="0.35">
      <c r="A1428" s="95" t="s">
        <v>6242</v>
      </c>
    </row>
    <row r="1429" spans="1:1" x14ac:dyDescent="0.35">
      <c r="A1429" s="95" t="s">
        <v>6242</v>
      </c>
    </row>
    <row r="1430" spans="1:1" x14ac:dyDescent="0.35">
      <c r="A1430" s="95" t="s">
        <v>6242</v>
      </c>
    </row>
    <row r="1431" spans="1:1" x14ac:dyDescent="0.35">
      <c r="A1431" s="95" t="s">
        <v>6242</v>
      </c>
    </row>
    <row r="1432" spans="1:1" x14ac:dyDescent="0.35">
      <c r="A1432" s="95" t="s">
        <v>6242</v>
      </c>
    </row>
    <row r="1433" spans="1:1" x14ac:dyDescent="0.35">
      <c r="A1433" s="95" t="s">
        <v>6242</v>
      </c>
    </row>
    <row r="1434" spans="1:1" x14ac:dyDescent="0.35">
      <c r="A1434" s="95" t="s">
        <v>6242</v>
      </c>
    </row>
    <row r="1435" spans="1:1" x14ac:dyDescent="0.35">
      <c r="A1435" s="95" t="s">
        <v>6242</v>
      </c>
    </row>
    <row r="1436" spans="1:1" x14ac:dyDescent="0.35">
      <c r="A1436" s="95" t="s">
        <v>6242</v>
      </c>
    </row>
    <row r="1437" spans="1:1" x14ac:dyDescent="0.35">
      <c r="A1437" s="95" t="s">
        <v>6242</v>
      </c>
    </row>
    <row r="1438" spans="1:1" x14ac:dyDescent="0.35">
      <c r="A1438" s="95" t="s">
        <v>6242</v>
      </c>
    </row>
    <row r="1439" spans="1:1" x14ac:dyDescent="0.35">
      <c r="A1439" s="95" t="s">
        <v>6242</v>
      </c>
    </row>
    <row r="1440" spans="1:1" x14ac:dyDescent="0.35">
      <c r="A1440" s="95" t="s">
        <v>6242</v>
      </c>
    </row>
    <row r="1441" spans="1:1" x14ac:dyDescent="0.35">
      <c r="A1441" s="95" t="s">
        <v>6242</v>
      </c>
    </row>
    <row r="1442" spans="1:1" x14ac:dyDescent="0.35">
      <c r="A1442" s="95" t="s">
        <v>6242</v>
      </c>
    </row>
    <row r="1443" spans="1:1" x14ac:dyDescent="0.35">
      <c r="A1443" s="95" t="s">
        <v>6242</v>
      </c>
    </row>
    <row r="1444" spans="1:1" x14ac:dyDescent="0.35">
      <c r="A1444" s="95" t="s">
        <v>6242</v>
      </c>
    </row>
    <row r="1445" spans="1:1" x14ac:dyDescent="0.35">
      <c r="A1445" s="95" t="s">
        <v>6242</v>
      </c>
    </row>
    <row r="1446" spans="1:1" x14ac:dyDescent="0.35">
      <c r="A1446" s="95" t="s">
        <v>6242</v>
      </c>
    </row>
    <row r="1447" spans="1:1" x14ac:dyDescent="0.35">
      <c r="A1447" s="95" t="s">
        <v>6242</v>
      </c>
    </row>
    <row r="1448" spans="1:1" x14ac:dyDescent="0.35">
      <c r="A1448" s="95" t="s">
        <v>6242</v>
      </c>
    </row>
    <row r="1449" spans="1:1" x14ac:dyDescent="0.35">
      <c r="A1449" s="95" t="s">
        <v>6242</v>
      </c>
    </row>
    <row r="1450" spans="1:1" x14ac:dyDescent="0.35">
      <c r="A1450" s="95" t="s">
        <v>6242</v>
      </c>
    </row>
    <row r="1451" spans="1:1" x14ac:dyDescent="0.35">
      <c r="A1451" s="95" t="s">
        <v>6242</v>
      </c>
    </row>
    <row r="1452" spans="1:1" x14ac:dyDescent="0.35">
      <c r="A1452" s="95" t="s">
        <v>6242</v>
      </c>
    </row>
    <row r="1453" spans="1:1" x14ac:dyDescent="0.35">
      <c r="A1453" s="95" t="s">
        <v>6242</v>
      </c>
    </row>
    <row r="1454" spans="1:1" x14ac:dyDescent="0.35">
      <c r="A1454" s="95" t="s">
        <v>6242</v>
      </c>
    </row>
    <row r="1455" spans="1:1" x14ac:dyDescent="0.35">
      <c r="A1455" s="95" t="s">
        <v>6242</v>
      </c>
    </row>
    <row r="1456" spans="1:1" x14ac:dyDescent="0.35">
      <c r="A1456" s="95" t="s">
        <v>6242</v>
      </c>
    </row>
    <row r="1457" spans="1:1" x14ac:dyDescent="0.35">
      <c r="A1457" s="95" t="s">
        <v>6242</v>
      </c>
    </row>
    <row r="1458" spans="1:1" x14ac:dyDescent="0.35">
      <c r="A1458" s="95" t="s">
        <v>6242</v>
      </c>
    </row>
    <row r="1459" spans="1:1" x14ac:dyDescent="0.35">
      <c r="A1459" s="95" t="s">
        <v>6242</v>
      </c>
    </row>
    <row r="1460" spans="1:1" x14ac:dyDescent="0.35">
      <c r="A1460" s="95" t="s">
        <v>6242</v>
      </c>
    </row>
    <row r="1461" spans="1:1" x14ac:dyDescent="0.35">
      <c r="A1461" s="95" t="s">
        <v>6242</v>
      </c>
    </row>
    <row r="1462" spans="1:1" x14ac:dyDescent="0.35">
      <c r="A1462" s="95" t="s">
        <v>6242</v>
      </c>
    </row>
    <row r="1463" spans="1:1" x14ac:dyDescent="0.35">
      <c r="A1463" s="95" t="s">
        <v>6242</v>
      </c>
    </row>
    <row r="1464" spans="1:1" x14ac:dyDescent="0.35">
      <c r="A1464" s="95" t="s">
        <v>6242</v>
      </c>
    </row>
    <row r="1465" spans="1:1" x14ac:dyDescent="0.35">
      <c r="A1465" s="95" t="s">
        <v>6242</v>
      </c>
    </row>
    <row r="1466" spans="1:1" x14ac:dyDescent="0.35">
      <c r="A1466" s="95" t="s">
        <v>6242</v>
      </c>
    </row>
    <row r="1467" spans="1:1" x14ac:dyDescent="0.35">
      <c r="A1467" s="95" t="s">
        <v>6242</v>
      </c>
    </row>
    <row r="1468" spans="1:1" x14ac:dyDescent="0.35">
      <c r="A1468" s="95" t="s">
        <v>6242</v>
      </c>
    </row>
    <row r="1469" spans="1:1" x14ac:dyDescent="0.35">
      <c r="A1469" s="95" t="s">
        <v>6242</v>
      </c>
    </row>
    <row r="1470" spans="1:1" x14ac:dyDescent="0.35">
      <c r="A1470" s="95" t="s">
        <v>6242</v>
      </c>
    </row>
    <row r="1471" spans="1:1" x14ac:dyDescent="0.35">
      <c r="A1471" s="95" t="s">
        <v>6242</v>
      </c>
    </row>
    <row r="1472" spans="1:1" x14ac:dyDescent="0.35">
      <c r="A1472" s="95" t="s">
        <v>6242</v>
      </c>
    </row>
    <row r="1473" spans="1:1" x14ac:dyDescent="0.35">
      <c r="A1473" s="95" t="s">
        <v>6242</v>
      </c>
    </row>
    <row r="1474" spans="1:1" x14ac:dyDescent="0.35">
      <c r="A1474" s="95" t="s">
        <v>6242</v>
      </c>
    </row>
    <row r="1475" spans="1:1" x14ac:dyDescent="0.35">
      <c r="A1475" s="95" t="s">
        <v>6242</v>
      </c>
    </row>
    <row r="1476" spans="1:1" x14ac:dyDescent="0.35">
      <c r="A1476" s="95" t="s">
        <v>6242</v>
      </c>
    </row>
    <row r="1477" spans="1:1" x14ac:dyDescent="0.35">
      <c r="A1477" s="95" t="s">
        <v>6242</v>
      </c>
    </row>
    <row r="1478" spans="1:1" x14ac:dyDescent="0.35">
      <c r="A1478" s="95" t="s">
        <v>6242</v>
      </c>
    </row>
    <row r="1479" spans="1:1" x14ac:dyDescent="0.35">
      <c r="A1479" s="95" t="s">
        <v>6242</v>
      </c>
    </row>
    <row r="1480" spans="1:1" x14ac:dyDescent="0.35">
      <c r="A1480" s="95" t="s">
        <v>6242</v>
      </c>
    </row>
    <row r="1481" spans="1:1" x14ac:dyDescent="0.35">
      <c r="A1481" s="95" t="s">
        <v>6242</v>
      </c>
    </row>
    <row r="1482" spans="1:1" x14ac:dyDescent="0.35">
      <c r="A1482" s="95" t="s">
        <v>6242</v>
      </c>
    </row>
    <row r="1483" spans="1:1" x14ac:dyDescent="0.35">
      <c r="A1483" s="95" t="s">
        <v>6242</v>
      </c>
    </row>
    <row r="1484" spans="1:1" x14ac:dyDescent="0.35">
      <c r="A1484" s="95" t="s">
        <v>6242</v>
      </c>
    </row>
    <row r="1485" spans="1:1" x14ac:dyDescent="0.35">
      <c r="A1485" s="95" t="s">
        <v>6242</v>
      </c>
    </row>
    <row r="1486" spans="1:1" x14ac:dyDescent="0.35">
      <c r="A1486" s="95" t="s">
        <v>6242</v>
      </c>
    </row>
    <row r="1487" spans="1:1" x14ac:dyDescent="0.35">
      <c r="A1487" s="95" t="s">
        <v>6242</v>
      </c>
    </row>
    <row r="1488" spans="1:1" x14ac:dyDescent="0.35">
      <c r="A1488" s="95" t="s">
        <v>6242</v>
      </c>
    </row>
    <row r="1489" spans="1:1" x14ac:dyDescent="0.35">
      <c r="A1489" s="95" t="s">
        <v>6242</v>
      </c>
    </row>
    <row r="1490" spans="1:1" x14ac:dyDescent="0.35">
      <c r="A1490" s="95" t="s">
        <v>6242</v>
      </c>
    </row>
    <row r="1491" spans="1:1" x14ac:dyDescent="0.35">
      <c r="A1491" s="95" t="s">
        <v>6242</v>
      </c>
    </row>
    <row r="1492" spans="1:1" x14ac:dyDescent="0.35">
      <c r="A1492" s="95" t="s">
        <v>6242</v>
      </c>
    </row>
    <row r="1493" spans="1:1" x14ac:dyDescent="0.35">
      <c r="A1493" s="95" t="s">
        <v>6242</v>
      </c>
    </row>
    <row r="1494" spans="1:1" x14ac:dyDescent="0.35">
      <c r="A1494" s="95" t="s">
        <v>6242</v>
      </c>
    </row>
    <row r="1495" spans="1:1" x14ac:dyDescent="0.35">
      <c r="A1495" s="95" t="s">
        <v>6242</v>
      </c>
    </row>
    <row r="1496" spans="1:1" x14ac:dyDescent="0.35">
      <c r="A1496" s="95" t="s">
        <v>6242</v>
      </c>
    </row>
    <row r="1497" spans="1:1" x14ac:dyDescent="0.35">
      <c r="A1497" s="95" t="s">
        <v>6242</v>
      </c>
    </row>
    <row r="1498" spans="1:1" x14ac:dyDescent="0.35">
      <c r="A1498" s="95" t="s">
        <v>6242</v>
      </c>
    </row>
    <row r="1499" spans="1:1" x14ac:dyDescent="0.35">
      <c r="A1499" s="95" t="s">
        <v>6242</v>
      </c>
    </row>
    <row r="1500" spans="1:1" x14ac:dyDescent="0.35">
      <c r="A1500" s="95" t="s">
        <v>6242</v>
      </c>
    </row>
    <row r="1501" spans="1:1" x14ac:dyDescent="0.35">
      <c r="A1501" s="95" t="s">
        <v>6242</v>
      </c>
    </row>
    <row r="1502" spans="1:1" x14ac:dyDescent="0.35">
      <c r="A1502" s="95" t="s">
        <v>6242</v>
      </c>
    </row>
    <row r="1503" spans="1:1" x14ac:dyDescent="0.35">
      <c r="A1503" s="95" t="s">
        <v>6242</v>
      </c>
    </row>
    <row r="1504" spans="1:1" x14ac:dyDescent="0.35">
      <c r="A1504" s="95" t="s">
        <v>6242</v>
      </c>
    </row>
    <row r="1505" spans="1:1" x14ac:dyDescent="0.35">
      <c r="A1505" s="95" t="s">
        <v>6242</v>
      </c>
    </row>
    <row r="1506" spans="1:1" x14ac:dyDescent="0.35">
      <c r="A1506" s="95" t="s">
        <v>6242</v>
      </c>
    </row>
    <row r="1507" spans="1:1" x14ac:dyDescent="0.35">
      <c r="A1507" s="95" t="s">
        <v>6242</v>
      </c>
    </row>
    <row r="1508" spans="1:1" x14ac:dyDescent="0.35">
      <c r="A1508" s="95" t="s">
        <v>6242</v>
      </c>
    </row>
    <row r="1509" spans="1:1" x14ac:dyDescent="0.35">
      <c r="A1509" s="95" t="s">
        <v>6242</v>
      </c>
    </row>
    <row r="1510" spans="1:1" x14ac:dyDescent="0.35">
      <c r="A1510" s="95" t="s">
        <v>6242</v>
      </c>
    </row>
    <row r="1511" spans="1:1" x14ac:dyDescent="0.35">
      <c r="A1511" s="95" t="s">
        <v>6242</v>
      </c>
    </row>
    <row r="1512" spans="1:1" x14ac:dyDescent="0.35">
      <c r="A1512" s="95" t="s">
        <v>6242</v>
      </c>
    </row>
    <row r="1513" spans="1:1" x14ac:dyDescent="0.35">
      <c r="A1513" s="95" t="s">
        <v>6242</v>
      </c>
    </row>
    <row r="1514" spans="1:1" x14ac:dyDescent="0.35">
      <c r="A1514" s="95" t="s">
        <v>6242</v>
      </c>
    </row>
    <row r="1515" spans="1:1" x14ac:dyDescent="0.35">
      <c r="A1515" s="95" t="s">
        <v>6242</v>
      </c>
    </row>
    <row r="1516" spans="1:1" x14ac:dyDescent="0.35">
      <c r="A1516" s="95" t="s">
        <v>6242</v>
      </c>
    </row>
    <row r="1517" spans="1:1" x14ac:dyDescent="0.35">
      <c r="A1517" s="95" t="s">
        <v>6242</v>
      </c>
    </row>
    <row r="1518" spans="1:1" x14ac:dyDescent="0.35">
      <c r="A1518" s="95" t="s">
        <v>6242</v>
      </c>
    </row>
    <row r="1519" spans="1:1" x14ac:dyDescent="0.35">
      <c r="A1519" s="95" t="s">
        <v>6242</v>
      </c>
    </row>
    <row r="1520" spans="1:1" x14ac:dyDescent="0.35">
      <c r="A1520" s="95" t="s">
        <v>6242</v>
      </c>
    </row>
    <row r="1521" spans="1:1" x14ac:dyDescent="0.35">
      <c r="A1521" s="95" t="s">
        <v>6242</v>
      </c>
    </row>
    <row r="1522" spans="1:1" x14ac:dyDescent="0.35">
      <c r="A1522" s="95" t="s">
        <v>6242</v>
      </c>
    </row>
    <row r="1523" spans="1:1" x14ac:dyDescent="0.35">
      <c r="A1523" s="95" t="s">
        <v>6242</v>
      </c>
    </row>
    <row r="1524" spans="1:1" x14ac:dyDescent="0.35">
      <c r="A1524" s="95" t="s">
        <v>6242</v>
      </c>
    </row>
    <row r="1525" spans="1:1" x14ac:dyDescent="0.35">
      <c r="A1525" s="95" t="s">
        <v>6242</v>
      </c>
    </row>
    <row r="1526" spans="1:1" x14ac:dyDescent="0.35">
      <c r="A1526" s="95" t="s">
        <v>6242</v>
      </c>
    </row>
    <row r="1527" spans="1:1" x14ac:dyDescent="0.35">
      <c r="A1527" s="95" t="s">
        <v>6242</v>
      </c>
    </row>
    <row r="1528" spans="1:1" x14ac:dyDescent="0.35">
      <c r="A1528" s="95" t="s">
        <v>6242</v>
      </c>
    </row>
    <row r="1529" spans="1:1" x14ac:dyDescent="0.35">
      <c r="A1529" s="95" t="s">
        <v>6242</v>
      </c>
    </row>
    <row r="1530" spans="1:1" x14ac:dyDescent="0.35">
      <c r="A1530" s="95" t="s">
        <v>6242</v>
      </c>
    </row>
    <row r="1531" spans="1:1" x14ac:dyDescent="0.35">
      <c r="A1531" s="95" t="s">
        <v>6242</v>
      </c>
    </row>
    <row r="1532" spans="1:1" x14ac:dyDescent="0.35">
      <c r="A1532" s="95" t="s">
        <v>6242</v>
      </c>
    </row>
    <row r="1533" spans="1:1" x14ac:dyDescent="0.35">
      <c r="A1533" s="95" t="s">
        <v>6242</v>
      </c>
    </row>
    <row r="1534" spans="1:1" x14ac:dyDescent="0.35">
      <c r="A1534" s="95" t="s">
        <v>6242</v>
      </c>
    </row>
    <row r="1535" spans="1:1" x14ac:dyDescent="0.35">
      <c r="A1535" s="95" t="s">
        <v>6242</v>
      </c>
    </row>
    <row r="1536" spans="1:1" x14ac:dyDescent="0.35">
      <c r="A1536" s="95" t="s">
        <v>6242</v>
      </c>
    </row>
    <row r="1537" spans="1:1" x14ac:dyDescent="0.35">
      <c r="A1537" s="95" t="s">
        <v>6242</v>
      </c>
    </row>
    <row r="1538" spans="1:1" x14ac:dyDescent="0.35">
      <c r="A1538" s="95" t="s">
        <v>6242</v>
      </c>
    </row>
    <row r="1539" spans="1:1" x14ac:dyDescent="0.35">
      <c r="A1539" s="95" t="s">
        <v>6242</v>
      </c>
    </row>
    <row r="1540" spans="1:1" x14ac:dyDescent="0.35">
      <c r="A1540" s="95" t="s">
        <v>6242</v>
      </c>
    </row>
    <row r="1541" spans="1:1" x14ac:dyDescent="0.35">
      <c r="A1541" s="95" t="s">
        <v>6242</v>
      </c>
    </row>
    <row r="1542" spans="1:1" x14ac:dyDescent="0.35">
      <c r="A1542" s="95" t="s">
        <v>6242</v>
      </c>
    </row>
    <row r="1543" spans="1:1" x14ac:dyDescent="0.35">
      <c r="A1543" s="95" t="s">
        <v>6242</v>
      </c>
    </row>
    <row r="1544" spans="1:1" x14ac:dyDescent="0.35">
      <c r="A1544" s="95" t="s">
        <v>6242</v>
      </c>
    </row>
    <row r="1545" spans="1:1" x14ac:dyDescent="0.35">
      <c r="A1545" s="95" t="s">
        <v>6242</v>
      </c>
    </row>
    <row r="1546" spans="1:1" x14ac:dyDescent="0.35">
      <c r="A1546" s="95" t="s">
        <v>6242</v>
      </c>
    </row>
    <row r="1547" spans="1:1" x14ac:dyDescent="0.35">
      <c r="A1547" s="95" t="s">
        <v>6242</v>
      </c>
    </row>
    <row r="1548" spans="1:1" x14ac:dyDescent="0.35">
      <c r="A1548" s="95" t="s">
        <v>6242</v>
      </c>
    </row>
    <row r="1549" spans="1:1" x14ac:dyDescent="0.35">
      <c r="A1549" s="95" t="s">
        <v>6242</v>
      </c>
    </row>
    <row r="1550" spans="1:1" x14ac:dyDescent="0.35">
      <c r="A1550" s="95" t="s">
        <v>6242</v>
      </c>
    </row>
    <row r="1551" spans="1:1" x14ac:dyDescent="0.35">
      <c r="A1551" s="95" t="s">
        <v>6242</v>
      </c>
    </row>
    <row r="1552" spans="1:1" x14ac:dyDescent="0.35">
      <c r="A1552" s="95" t="s">
        <v>6242</v>
      </c>
    </row>
    <row r="1553" spans="1:1" x14ac:dyDescent="0.35">
      <c r="A1553" s="95" t="s">
        <v>6242</v>
      </c>
    </row>
    <row r="1554" spans="1:1" x14ac:dyDescent="0.35">
      <c r="A1554" s="95" t="s">
        <v>6242</v>
      </c>
    </row>
    <row r="1555" spans="1:1" x14ac:dyDescent="0.35">
      <c r="A1555" s="95" t="s">
        <v>6242</v>
      </c>
    </row>
    <row r="1556" spans="1:1" x14ac:dyDescent="0.35">
      <c r="A1556" s="95" t="s">
        <v>6242</v>
      </c>
    </row>
    <row r="1557" spans="1:1" x14ac:dyDescent="0.35">
      <c r="A1557" s="95" t="s">
        <v>6242</v>
      </c>
    </row>
    <row r="1558" spans="1:1" x14ac:dyDescent="0.35">
      <c r="A1558" s="95" t="s">
        <v>6242</v>
      </c>
    </row>
    <row r="1559" spans="1:1" x14ac:dyDescent="0.35">
      <c r="A1559" s="95" t="s">
        <v>6242</v>
      </c>
    </row>
    <row r="1560" spans="1:1" x14ac:dyDescent="0.35">
      <c r="A1560" s="95" t="s">
        <v>6242</v>
      </c>
    </row>
    <row r="1561" spans="1:1" x14ac:dyDescent="0.35">
      <c r="A1561" s="95" t="s">
        <v>6242</v>
      </c>
    </row>
    <row r="1562" spans="1:1" x14ac:dyDescent="0.35">
      <c r="A1562" s="95" t="s">
        <v>6242</v>
      </c>
    </row>
    <row r="1563" spans="1:1" x14ac:dyDescent="0.35">
      <c r="A1563" s="95" t="s">
        <v>6242</v>
      </c>
    </row>
    <row r="1564" spans="1:1" x14ac:dyDescent="0.35">
      <c r="A1564" s="95" t="s">
        <v>6242</v>
      </c>
    </row>
    <row r="1565" spans="1:1" x14ac:dyDescent="0.35">
      <c r="A1565" s="95" t="s">
        <v>6242</v>
      </c>
    </row>
    <row r="1566" spans="1:1" x14ac:dyDescent="0.35">
      <c r="A1566" s="95" t="s">
        <v>6242</v>
      </c>
    </row>
    <row r="1567" spans="1:1" x14ac:dyDescent="0.35">
      <c r="A1567" s="95" t="s">
        <v>6242</v>
      </c>
    </row>
    <row r="1568" spans="1:1" x14ac:dyDescent="0.35">
      <c r="A1568" s="95" t="s">
        <v>6242</v>
      </c>
    </row>
    <row r="1569" spans="1:1" x14ac:dyDescent="0.35">
      <c r="A1569" s="95" t="s">
        <v>6242</v>
      </c>
    </row>
    <row r="1570" spans="1:1" x14ac:dyDescent="0.35">
      <c r="A1570" s="95" t="s">
        <v>6242</v>
      </c>
    </row>
    <row r="1571" spans="1:1" x14ac:dyDescent="0.35">
      <c r="A1571" s="95" t="s">
        <v>6242</v>
      </c>
    </row>
    <row r="1572" spans="1:1" x14ac:dyDescent="0.35">
      <c r="A1572" s="95" t="s">
        <v>6242</v>
      </c>
    </row>
    <row r="1573" spans="1:1" x14ac:dyDescent="0.35">
      <c r="A1573" s="95" t="s">
        <v>6242</v>
      </c>
    </row>
    <row r="1574" spans="1:1" x14ac:dyDescent="0.35">
      <c r="A1574" s="95" t="s">
        <v>6242</v>
      </c>
    </row>
    <row r="1575" spans="1:1" x14ac:dyDescent="0.35">
      <c r="A1575" s="95" t="s">
        <v>6242</v>
      </c>
    </row>
    <row r="1576" spans="1:1" x14ac:dyDescent="0.35">
      <c r="A1576" s="95" t="s">
        <v>6242</v>
      </c>
    </row>
    <row r="1577" spans="1:1" x14ac:dyDescent="0.35">
      <c r="A1577" s="95" t="s">
        <v>6242</v>
      </c>
    </row>
    <row r="1578" spans="1:1" x14ac:dyDescent="0.35">
      <c r="A1578" s="95" t="s">
        <v>6242</v>
      </c>
    </row>
    <row r="1579" spans="1:1" x14ac:dyDescent="0.35">
      <c r="A1579" s="95" t="s">
        <v>6242</v>
      </c>
    </row>
    <row r="1580" spans="1:1" x14ac:dyDescent="0.35">
      <c r="A1580" s="95" t="s">
        <v>6242</v>
      </c>
    </row>
    <row r="1581" spans="1:1" x14ac:dyDescent="0.35">
      <c r="A1581" s="95" t="s">
        <v>6242</v>
      </c>
    </row>
    <row r="1582" spans="1:1" x14ac:dyDescent="0.35">
      <c r="A1582" s="95" t="s">
        <v>6242</v>
      </c>
    </row>
    <row r="1583" spans="1:1" x14ac:dyDescent="0.35">
      <c r="A1583" s="95" t="s">
        <v>6242</v>
      </c>
    </row>
    <row r="1584" spans="1:1" x14ac:dyDescent="0.35">
      <c r="A1584" s="95" t="s">
        <v>6242</v>
      </c>
    </row>
    <row r="1585" spans="1:1" x14ac:dyDescent="0.35">
      <c r="A1585" s="95" t="s">
        <v>6242</v>
      </c>
    </row>
    <row r="1586" spans="1:1" x14ac:dyDescent="0.35">
      <c r="A1586" s="95" t="s">
        <v>6242</v>
      </c>
    </row>
    <row r="1587" spans="1:1" x14ac:dyDescent="0.35">
      <c r="A1587" s="95" t="s">
        <v>6242</v>
      </c>
    </row>
    <row r="1588" spans="1:1" x14ac:dyDescent="0.35">
      <c r="A1588" s="95" t="s">
        <v>6242</v>
      </c>
    </row>
    <row r="1589" spans="1:1" x14ac:dyDescent="0.35">
      <c r="A1589" s="95" t="s">
        <v>6242</v>
      </c>
    </row>
    <row r="1590" spans="1:1" x14ac:dyDescent="0.35">
      <c r="A1590" s="95" t="s">
        <v>6242</v>
      </c>
    </row>
    <row r="1591" spans="1:1" x14ac:dyDescent="0.35">
      <c r="A1591" s="95" t="s">
        <v>6242</v>
      </c>
    </row>
    <row r="1592" spans="1:1" x14ac:dyDescent="0.35">
      <c r="A1592" s="95" t="s">
        <v>6242</v>
      </c>
    </row>
    <row r="1593" spans="1:1" x14ac:dyDescent="0.35">
      <c r="A1593" s="95" t="s">
        <v>6242</v>
      </c>
    </row>
    <row r="1594" spans="1:1" x14ac:dyDescent="0.35">
      <c r="A1594" s="95" t="s">
        <v>6242</v>
      </c>
    </row>
    <row r="1595" spans="1:1" x14ac:dyDescent="0.35">
      <c r="A1595" s="95" t="s">
        <v>6242</v>
      </c>
    </row>
    <row r="1596" spans="1:1" x14ac:dyDescent="0.35">
      <c r="A1596" s="95" t="s">
        <v>6242</v>
      </c>
    </row>
    <row r="1597" spans="1:1" x14ac:dyDescent="0.35">
      <c r="A1597" s="95" t="s">
        <v>6242</v>
      </c>
    </row>
    <row r="1598" spans="1:1" x14ac:dyDescent="0.35">
      <c r="A1598" s="95" t="s">
        <v>6242</v>
      </c>
    </row>
    <row r="1599" spans="1:1" x14ac:dyDescent="0.35">
      <c r="A1599" s="95" t="s">
        <v>6242</v>
      </c>
    </row>
    <row r="1600" spans="1:1" x14ac:dyDescent="0.35">
      <c r="A1600" s="95" t="s">
        <v>6242</v>
      </c>
    </row>
    <row r="1601" spans="1:1" x14ac:dyDescent="0.35">
      <c r="A1601" s="95" t="s">
        <v>6242</v>
      </c>
    </row>
    <row r="1602" spans="1:1" x14ac:dyDescent="0.35">
      <c r="A1602" s="95" t="s">
        <v>6242</v>
      </c>
    </row>
    <row r="1603" spans="1:1" x14ac:dyDescent="0.35">
      <c r="A1603" s="95" t="s">
        <v>6242</v>
      </c>
    </row>
    <row r="1604" spans="1:1" x14ac:dyDescent="0.35">
      <c r="A1604" s="95" t="s">
        <v>6242</v>
      </c>
    </row>
    <row r="1605" spans="1:1" x14ac:dyDescent="0.35">
      <c r="A1605" s="95" t="s">
        <v>6242</v>
      </c>
    </row>
    <row r="1606" spans="1:1" x14ac:dyDescent="0.35">
      <c r="A1606" s="95" t="s">
        <v>6242</v>
      </c>
    </row>
    <row r="1607" spans="1:1" x14ac:dyDescent="0.35">
      <c r="A1607" s="95" t="s">
        <v>6242</v>
      </c>
    </row>
    <row r="1608" spans="1:1" x14ac:dyDescent="0.35">
      <c r="A1608" s="95" t="s">
        <v>6242</v>
      </c>
    </row>
    <row r="1609" spans="1:1" x14ac:dyDescent="0.35">
      <c r="A1609" s="95" t="s">
        <v>6242</v>
      </c>
    </row>
    <row r="1610" spans="1:1" x14ac:dyDescent="0.35">
      <c r="A1610" s="95" t="s">
        <v>6242</v>
      </c>
    </row>
    <row r="1611" spans="1:1" x14ac:dyDescent="0.35">
      <c r="A1611" s="95" t="s">
        <v>6242</v>
      </c>
    </row>
    <row r="1612" spans="1:1" x14ac:dyDescent="0.35">
      <c r="A1612" s="95" t="s">
        <v>6242</v>
      </c>
    </row>
    <row r="1613" spans="1:1" x14ac:dyDescent="0.35">
      <c r="A1613" s="95" t="s">
        <v>6242</v>
      </c>
    </row>
    <row r="1614" spans="1:1" x14ac:dyDescent="0.35">
      <c r="A1614" s="95" t="s">
        <v>6242</v>
      </c>
    </row>
    <row r="1615" spans="1:1" x14ac:dyDescent="0.35">
      <c r="A1615" s="95" t="s">
        <v>6242</v>
      </c>
    </row>
    <row r="1616" spans="1:1" x14ac:dyDescent="0.35">
      <c r="A1616" s="95" t="s">
        <v>6242</v>
      </c>
    </row>
    <row r="1617" spans="1:1" x14ac:dyDescent="0.35">
      <c r="A1617" s="95" t="s">
        <v>6242</v>
      </c>
    </row>
    <row r="1618" spans="1:1" x14ac:dyDescent="0.35">
      <c r="A1618" s="95" t="s">
        <v>6242</v>
      </c>
    </row>
    <row r="1619" spans="1:1" x14ac:dyDescent="0.35">
      <c r="A1619" s="95" t="s">
        <v>6242</v>
      </c>
    </row>
    <row r="1620" spans="1:1" x14ac:dyDescent="0.35">
      <c r="A1620" s="95" t="s">
        <v>6242</v>
      </c>
    </row>
    <row r="1621" spans="1:1" x14ac:dyDescent="0.35">
      <c r="A1621" s="95" t="s">
        <v>6242</v>
      </c>
    </row>
    <row r="1622" spans="1:1" x14ac:dyDescent="0.35">
      <c r="A1622" s="95" t="s">
        <v>6242</v>
      </c>
    </row>
    <row r="1623" spans="1:1" x14ac:dyDescent="0.35">
      <c r="A1623" s="95" t="s">
        <v>6242</v>
      </c>
    </row>
    <row r="1624" spans="1:1" x14ac:dyDescent="0.35">
      <c r="A1624" s="95" t="s">
        <v>6242</v>
      </c>
    </row>
    <row r="1625" spans="1:1" x14ac:dyDescent="0.35">
      <c r="A1625" s="95" t="s">
        <v>6242</v>
      </c>
    </row>
    <row r="1626" spans="1:1" x14ac:dyDescent="0.35">
      <c r="A1626" s="95" t="s">
        <v>6242</v>
      </c>
    </row>
    <row r="1627" spans="1:1" x14ac:dyDescent="0.35">
      <c r="A1627" s="95" t="s">
        <v>6242</v>
      </c>
    </row>
    <row r="1628" spans="1:1" x14ac:dyDescent="0.35">
      <c r="A1628" s="95" t="s">
        <v>6242</v>
      </c>
    </row>
    <row r="1629" spans="1:1" x14ac:dyDescent="0.35">
      <c r="A1629" s="95" t="s">
        <v>6242</v>
      </c>
    </row>
    <row r="1630" spans="1:1" x14ac:dyDescent="0.35">
      <c r="A1630" s="95" t="s">
        <v>6242</v>
      </c>
    </row>
    <row r="1631" spans="1:1" x14ac:dyDescent="0.35">
      <c r="A1631" s="95" t="s">
        <v>6242</v>
      </c>
    </row>
    <row r="1632" spans="1:1" x14ac:dyDescent="0.35">
      <c r="A1632" s="95" t="s">
        <v>6242</v>
      </c>
    </row>
    <row r="1633" spans="1:1" x14ac:dyDescent="0.35">
      <c r="A1633" s="95" t="s">
        <v>6242</v>
      </c>
    </row>
    <row r="1634" spans="1:1" x14ac:dyDescent="0.35">
      <c r="A1634" s="95" t="s">
        <v>6242</v>
      </c>
    </row>
    <row r="1635" spans="1:1" x14ac:dyDescent="0.35">
      <c r="A1635" s="95" t="s">
        <v>6242</v>
      </c>
    </row>
    <row r="1636" spans="1:1" x14ac:dyDescent="0.35">
      <c r="A1636" s="95" t="s">
        <v>6242</v>
      </c>
    </row>
    <row r="1637" spans="1:1" x14ac:dyDescent="0.35">
      <c r="A1637" s="95" t="s">
        <v>6242</v>
      </c>
    </row>
    <row r="1638" spans="1:1" x14ac:dyDescent="0.35">
      <c r="A1638" s="95" t="s">
        <v>6242</v>
      </c>
    </row>
    <row r="1639" spans="1:1" x14ac:dyDescent="0.35">
      <c r="A1639" s="95" t="s">
        <v>6242</v>
      </c>
    </row>
    <row r="1640" spans="1:1" x14ac:dyDescent="0.35">
      <c r="A1640" s="95" t="s">
        <v>6242</v>
      </c>
    </row>
    <row r="1641" spans="1:1" x14ac:dyDescent="0.35">
      <c r="A1641" s="95" t="s">
        <v>6242</v>
      </c>
    </row>
    <row r="1642" spans="1:1" x14ac:dyDescent="0.35">
      <c r="A1642" s="95" t="s">
        <v>6242</v>
      </c>
    </row>
    <row r="1643" spans="1:1" x14ac:dyDescent="0.35">
      <c r="A1643" s="95" t="s">
        <v>6242</v>
      </c>
    </row>
    <row r="1644" spans="1:1" x14ac:dyDescent="0.35">
      <c r="A1644" s="95" t="s">
        <v>6242</v>
      </c>
    </row>
    <row r="1645" spans="1:1" x14ac:dyDescent="0.35">
      <c r="A1645" s="95" t="s">
        <v>6242</v>
      </c>
    </row>
    <row r="1646" spans="1:1" x14ac:dyDescent="0.35">
      <c r="A1646" s="95" t="s">
        <v>6242</v>
      </c>
    </row>
    <row r="1647" spans="1:1" x14ac:dyDescent="0.35">
      <c r="A1647" s="95" t="s">
        <v>6242</v>
      </c>
    </row>
    <row r="1648" spans="1:1" x14ac:dyDescent="0.35">
      <c r="A1648" s="95" t="s">
        <v>6242</v>
      </c>
    </row>
    <row r="1649" spans="1:1" x14ac:dyDescent="0.35">
      <c r="A1649" s="95" t="s">
        <v>6242</v>
      </c>
    </row>
    <row r="1650" spans="1:1" x14ac:dyDescent="0.35">
      <c r="A1650" s="95" t="s">
        <v>6242</v>
      </c>
    </row>
    <row r="1651" spans="1:1" x14ac:dyDescent="0.35">
      <c r="A1651" s="95" t="s">
        <v>6242</v>
      </c>
    </row>
    <row r="1652" spans="1:1" x14ac:dyDescent="0.35">
      <c r="A1652" s="95" t="s">
        <v>6242</v>
      </c>
    </row>
    <row r="1653" spans="1:1" x14ac:dyDescent="0.35">
      <c r="A1653" s="95" t="s">
        <v>6242</v>
      </c>
    </row>
    <row r="1654" spans="1:1" x14ac:dyDescent="0.35">
      <c r="A1654" s="95" t="s">
        <v>6242</v>
      </c>
    </row>
    <row r="1655" spans="1:1" x14ac:dyDescent="0.35">
      <c r="A1655" s="95" t="s">
        <v>6242</v>
      </c>
    </row>
    <row r="1656" spans="1:1" x14ac:dyDescent="0.35">
      <c r="A1656" s="95" t="s">
        <v>6242</v>
      </c>
    </row>
    <row r="1657" spans="1:1" x14ac:dyDescent="0.35">
      <c r="A1657" s="95" t="s">
        <v>6242</v>
      </c>
    </row>
    <row r="1658" spans="1:1" x14ac:dyDescent="0.35">
      <c r="A1658" s="95" t="s">
        <v>6242</v>
      </c>
    </row>
    <row r="1659" spans="1:1" x14ac:dyDescent="0.35">
      <c r="A1659" s="95" t="s">
        <v>6242</v>
      </c>
    </row>
    <row r="1660" spans="1:1" x14ac:dyDescent="0.35">
      <c r="A1660" s="95" t="s">
        <v>6242</v>
      </c>
    </row>
    <row r="1661" spans="1:1" x14ac:dyDescent="0.35">
      <c r="A1661" s="95" t="s">
        <v>6242</v>
      </c>
    </row>
    <row r="1662" spans="1:1" x14ac:dyDescent="0.35">
      <c r="A1662" s="95" t="s">
        <v>6242</v>
      </c>
    </row>
    <row r="1663" spans="1:1" x14ac:dyDescent="0.35">
      <c r="A1663" s="95" t="s">
        <v>6242</v>
      </c>
    </row>
    <row r="1664" spans="1:1" x14ac:dyDescent="0.35">
      <c r="A1664" s="95" t="s">
        <v>6242</v>
      </c>
    </row>
    <row r="1665" spans="1:1" x14ac:dyDescent="0.35">
      <c r="A1665" s="95" t="s">
        <v>6242</v>
      </c>
    </row>
    <row r="1666" spans="1:1" x14ac:dyDescent="0.35">
      <c r="A1666" s="95" t="s">
        <v>6242</v>
      </c>
    </row>
    <row r="1667" spans="1:1" x14ac:dyDescent="0.35">
      <c r="A1667" s="95" t="s">
        <v>6242</v>
      </c>
    </row>
    <row r="1668" spans="1:1" x14ac:dyDescent="0.35">
      <c r="A1668" s="95" t="s">
        <v>6242</v>
      </c>
    </row>
    <row r="1669" spans="1:1" x14ac:dyDescent="0.35">
      <c r="A1669" s="95" t="s">
        <v>6242</v>
      </c>
    </row>
    <row r="1670" spans="1:1" x14ac:dyDescent="0.35">
      <c r="A1670" s="95" t="s">
        <v>6242</v>
      </c>
    </row>
    <row r="1671" spans="1:1" x14ac:dyDescent="0.35">
      <c r="A1671" s="95" t="s">
        <v>6242</v>
      </c>
    </row>
    <row r="1672" spans="1:1" x14ac:dyDescent="0.35">
      <c r="A1672" s="95" t="s">
        <v>6242</v>
      </c>
    </row>
    <row r="1673" spans="1:1" x14ac:dyDescent="0.35">
      <c r="A1673" s="95" t="s">
        <v>6242</v>
      </c>
    </row>
    <row r="1674" spans="1:1" x14ac:dyDescent="0.35">
      <c r="A1674" s="95" t="s">
        <v>6242</v>
      </c>
    </row>
    <row r="1675" spans="1:1" x14ac:dyDescent="0.35">
      <c r="A1675" s="95" t="s">
        <v>6242</v>
      </c>
    </row>
    <row r="1676" spans="1:1" x14ac:dyDescent="0.35">
      <c r="A1676" s="95" t="s">
        <v>6242</v>
      </c>
    </row>
    <row r="1677" spans="1:1" x14ac:dyDescent="0.35">
      <c r="A1677" s="95" t="s">
        <v>6242</v>
      </c>
    </row>
    <row r="1678" spans="1:1" x14ac:dyDescent="0.35">
      <c r="A1678" s="95" t="s">
        <v>6242</v>
      </c>
    </row>
    <row r="1679" spans="1:1" x14ac:dyDescent="0.35">
      <c r="A1679" s="95" t="s">
        <v>6242</v>
      </c>
    </row>
    <row r="1680" spans="1:1" x14ac:dyDescent="0.35">
      <c r="A1680" s="95" t="s">
        <v>6242</v>
      </c>
    </row>
    <row r="1681" spans="1:1" x14ac:dyDescent="0.35">
      <c r="A1681" s="95" t="s">
        <v>6242</v>
      </c>
    </row>
    <row r="1682" spans="1:1" x14ac:dyDescent="0.35">
      <c r="A1682" s="95" t="s">
        <v>6242</v>
      </c>
    </row>
    <row r="1683" spans="1:1" x14ac:dyDescent="0.35">
      <c r="A1683" s="95" t="s">
        <v>6242</v>
      </c>
    </row>
    <row r="1684" spans="1:1" x14ac:dyDescent="0.35">
      <c r="A1684" s="95" t="s">
        <v>6242</v>
      </c>
    </row>
    <row r="1685" spans="1:1" x14ac:dyDescent="0.35">
      <c r="A1685" s="95" t="s">
        <v>6242</v>
      </c>
    </row>
    <row r="1686" spans="1:1" x14ac:dyDescent="0.35">
      <c r="A1686" s="95" t="s">
        <v>6242</v>
      </c>
    </row>
    <row r="1687" spans="1:1" x14ac:dyDescent="0.35">
      <c r="A1687" s="95" t="s">
        <v>6242</v>
      </c>
    </row>
    <row r="1688" spans="1:1" x14ac:dyDescent="0.35">
      <c r="A1688" s="95" t="s">
        <v>6242</v>
      </c>
    </row>
    <row r="1689" spans="1:1" x14ac:dyDescent="0.35">
      <c r="A1689" s="95" t="s">
        <v>6242</v>
      </c>
    </row>
    <row r="1690" spans="1:1" x14ac:dyDescent="0.35">
      <c r="A1690" s="95" t="s">
        <v>6242</v>
      </c>
    </row>
    <row r="1691" spans="1:1" x14ac:dyDescent="0.35">
      <c r="A1691" s="95" t="s">
        <v>6242</v>
      </c>
    </row>
    <row r="1692" spans="1:1" x14ac:dyDescent="0.35">
      <c r="A1692" s="95" t="s">
        <v>6242</v>
      </c>
    </row>
    <row r="1693" spans="1:1" x14ac:dyDescent="0.35">
      <c r="A1693" s="95" t="s">
        <v>6242</v>
      </c>
    </row>
    <row r="1694" spans="1:1" x14ac:dyDescent="0.35">
      <c r="A1694" s="95" t="s">
        <v>6242</v>
      </c>
    </row>
    <row r="1695" spans="1:1" x14ac:dyDescent="0.35">
      <c r="A1695" s="95" t="s">
        <v>6242</v>
      </c>
    </row>
    <row r="1696" spans="1:1" x14ac:dyDescent="0.35">
      <c r="A1696" s="95" t="s">
        <v>6242</v>
      </c>
    </row>
    <row r="1697" spans="1:1" x14ac:dyDescent="0.35">
      <c r="A1697" s="95" t="s">
        <v>6242</v>
      </c>
    </row>
    <row r="1698" spans="1:1" x14ac:dyDescent="0.35">
      <c r="A1698" s="95" t="s">
        <v>6242</v>
      </c>
    </row>
    <row r="1699" spans="1:1" x14ac:dyDescent="0.35">
      <c r="A1699" s="95" t="s">
        <v>6242</v>
      </c>
    </row>
    <row r="1700" spans="1:1" x14ac:dyDescent="0.35">
      <c r="A1700" s="95" t="s">
        <v>6242</v>
      </c>
    </row>
    <row r="1701" spans="1:1" x14ac:dyDescent="0.35">
      <c r="A1701" s="95" t="s">
        <v>6242</v>
      </c>
    </row>
    <row r="1702" spans="1:1" x14ac:dyDescent="0.35">
      <c r="A1702" s="95" t="s">
        <v>6242</v>
      </c>
    </row>
    <row r="1703" spans="1:1" x14ac:dyDescent="0.35">
      <c r="A1703" s="95" t="s">
        <v>6242</v>
      </c>
    </row>
    <row r="1704" spans="1:1" x14ac:dyDescent="0.35">
      <c r="A1704" s="95" t="s">
        <v>6242</v>
      </c>
    </row>
    <row r="1705" spans="1:1" x14ac:dyDescent="0.35">
      <c r="A1705" s="95" t="s">
        <v>6242</v>
      </c>
    </row>
    <row r="1706" spans="1:1" x14ac:dyDescent="0.35">
      <c r="A1706" s="95" t="s">
        <v>6242</v>
      </c>
    </row>
    <row r="1707" spans="1:1" x14ac:dyDescent="0.35">
      <c r="A1707" s="95" t="s">
        <v>6242</v>
      </c>
    </row>
    <row r="1708" spans="1:1" x14ac:dyDescent="0.35">
      <c r="A1708" s="95" t="s">
        <v>6242</v>
      </c>
    </row>
    <row r="1709" spans="1:1" x14ac:dyDescent="0.35">
      <c r="A1709" s="95" t="s">
        <v>6242</v>
      </c>
    </row>
    <row r="1710" spans="1:1" x14ac:dyDescent="0.35">
      <c r="A1710" s="95" t="s">
        <v>6242</v>
      </c>
    </row>
    <row r="1711" spans="1:1" x14ac:dyDescent="0.35">
      <c r="A1711" s="95" t="s">
        <v>6242</v>
      </c>
    </row>
    <row r="1712" spans="1:1" x14ac:dyDescent="0.35">
      <c r="A1712" s="95" t="s">
        <v>6242</v>
      </c>
    </row>
    <row r="1713" spans="1:1" x14ac:dyDescent="0.35">
      <c r="A1713" s="95" t="s">
        <v>6242</v>
      </c>
    </row>
    <row r="1714" spans="1:1" x14ac:dyDescent="0.35">
      <c r="A1714" s="95" t="s">
        <v>6242</v>
      </c>
    </row>
    <row r="1715" spans="1:1" x14ac:dyDescent="0.35">
      <c r="A1715" s="95" t="s">
        <v>6242</v>
      </c>
    </row>
    <row r="1716" spans="1:1" x14ac:dyDescent="0.35">
      <c r="A1716" s="95" t="s">
        <v>6242</v>
      </c>
    </row>
    <row r="1717" spans="1:1" x14ac:dyDescent="0.35">
      <c r="A1717" s="95" t="s">
        <v>6242</v>
      </c>
    </row>
    <row r="1718" spans="1:1" x14ac:dyDescent="0.35">
      <c r="A1718" s="95" t="s">
        <v>6242</v>
      </c>
    </row>
    <row r="1719" spans="1:1" x14ac:dyDescent="0.35">
      <c r="A1719" s="95" t="s">
        <v>6242</v>
      </c>
    </row>
    <row r="1720" spans="1:1" x14ac:dyDescent="0.35">
      <c r="A1720" s="95" t="s">
        <v>6242</v>
      </c>
    </row>
    <row r="1721" spans="1:1" x14ac:dyDescent="0.35">
      <c r="A1721" s="95" t="s">
        <v>6242</v>
      </c>
    </row>
    <row r="1722" spans="1:1" x14ac:dyDescent="0.35">
      <c r="A1722" s="95" t="s">
        <v>6242</v>
      </c>
    </row>
    <row r="1723" spans="1:1" x14ac:dyDescent="0.35">
      <c r="A1723" s="95" t="s">
        <v>6242</v>
      </c>
    </row>
    <row r="1724" spans="1:1" x14ac:dyDescent="0.35">
      <c r="A1724" s="95" t="s">
        <v>6242</v>
      </c>
    </row>
    <row r="1725" spans="1:1" x14ac:dyDescent="0.35">
      <c r="A1725" s="95" t="s">
        <v>6242</v>
      </c>
    </row>
    <row r="1726" spans="1:1" x14ac:dyDescent="0.35">
      <c r="A1726" s="95" t="s">
        <v>6242</v>
      </c>
    </row>
    <row r="1727" spans="1:1" x14ac:dyDescent="0.35">
      <c r="A1727" s="95" t="s">
        <v>6242</v>
      </c>
    </row>
    <row r="1728" spans="1:1" x14ac:dyDescent="0.35">
      <c r="A1728" s="95" t="s">
        <v>6242</v>
      </c>
    </row>
    <row r="1729" spans="1:1" x14ac:dyDescent="0.35">
      <c r="A1729" s="95" t="s">
        <v>6242</v>
      </c>
    </row>
    <row r="1730" spans="1:1" x14ac:dyDescent="0.35">
      <c r="A1730" s="95" t="s">
        <v>6242</v>
      </c>
    </row>
    <row r="1731" spans="1:1" x14ac:dyDescent="0.35">
      <c r="A1731" s="95" t="s">
        <v>6242</v>
      </c>
    </row>
    <row r="1732" spans="1:1" x14ac:dyDescent="0.35">
      <c r="A1732" s="95" t="s">
        <v>6242</v>
      </c>
    </row>
    <row r="1733" spans="1:1" x14ac:dyDescent="0.35">
      <c r="A1733" s="95" t="s">
        <v>6242</v>
      </c>
    </row>
    <row r="1734" spans="1:1" x14ac:dyDescent="0.35">
      <c r="A1734" s="95" t="s">
        <v>6242</v>
      </c>
    </row>
    <row r="1735" spans="1:1" x14ac:dyDescent="0.35">
      <c r="A1735" s="95" t="s">
        <v>6242</v>
      </c>
    </row>
    <row r="1736" spans="1:1" x14ac:dyDescent="0.35">
      <c r="A1736" s="95" t="s">
        <v>6242</v>
      </c>
    </row>
    <row r="1737" spans="1:1" x14ac:dyDescent="0.35">
      <c r="A1737" s="95" t="s">
        <v>6242</v>
      </c>
    </row>
    <row r="1738" spans="1:1" x14ac:dyDescent="0.35">
      <c r="A1738" s="95" t="s">
        <v>6242</v>
      </c>
    </row>
    <row r="1739" spans="1:1" x14ac:dyDescent="0.35">
      <c r="A1739" s="95" t="s">
        <v>6242</v>
      </c>
    </row>
    <row r="1740" spans="1:1" x14ac:dyDescent="0.35">
      <c r="A1740" s="95" t="s">
        <v>6242</v>
      </c>
    </row>
    <row r="1741" spans="1:1" x14ac:dyDescent="0.35">
      <c r="A1741" s="95" t="s">
        <v>6242</v>
      </c>
    </row>
    <row r="1742" spans="1:1" x14ac:dyDescent="0.35">
      <c r="A1742" s="95" t="s">
        <v>6242</v>
      </c>
    </row>
    <row r="1743" spans="1:1" x14ac:dyDescent="0.35">
      <c r="A1743" s="95" t="s">
        <v>6242</v>
      </c>
    </row>
    <row r="1744" spans="1:1" x14ac:dyDescent="0.35">
      <c r="A1744" s="95" t="s">
        <v>6242</v>
      </c>
    </row>
    <row r="1745" spans="1:1" x14ac:dyDescent="0.35">
      <c r="A1745" s="95" t="s">
        <v>6242</v>
      </c>
    </row>
    <row r="1746" spans="1:1" x14ac:dyDescent="0.35">
      <c r="A1746" s="95" t="s">
        <v>6242</v>
      </c>
    </row>
    <row r="1747" spans="1:1" x14ac:dyDescent="0.35">
      <c r="A1747" s="95" t="s">
        <v>6242</v>
      </c>
    </row>
    <row r="1748" spans="1:1" x14ac:dyDescent="0.35">
      <c r="A1748" s="95" t="s">
        <v>6242</v>
      </c>
    </row>
    <row r="1749" spans="1:1" x14ac:dyDescent="0.35">
      <c r="A1749" s="95" t="s">
        <v>6242</v>
      </c>
    </row>
    <row r="1750" spans="1:1" x14ac:dyDescent="0.35">
      <c r="A1750" s="95" t="s">
        <v>6242</v>
      </c>
    </row>
    <row r="1751" spans="1:1" x14ac:dyDescent="0.35">
      <c r="A1751" s="95" t="s">
        <v>6242</v>
      </c>
    </row>
    <row r="1752" spans="1:1" x14ac:dyDescent="0.35">
      <c r="A1752" s="95" t="s">
        <v>6242</v>
      </c>
    </row>
    <row r="1753" spans="1:1" x14ac:dyDescent="0.35">
      <c r="A1753" s="95" t="s">
        <v>6242</v>
      </c>
    </row>
    <row r="1754" spans="1:1" x14ac:dyDescent="0.35">
      <c r="A1754" s="95" t="s">
        <v>6242</v>
      </c>
    </row>
    <row r="1755" spans="1:1" x14ac:dyDescent="0.35">
      <c r="A1755" s="95" t="s">
        <v>6242</v>
      </c>
    </row>
    <row r="1756" spans="1:1" x14ac:dyDescent="0.35">
      <c r="A1756" s="95" t="s">
        <v>6242</v>
      </c>
    </row>
    <row r="1757" spans="1:1" x14ac:dyDescent="0.35">
      <c r="A1757" s="95" t="s">
        <v>6242</v>
      </c>
    </row>
    <row r="1758" spans="1:1" x14ac:dyDescent="0.35">
      <c r="A1758" s="95" t="s">
        <v>6242</v>
      </c>
    </row>
    <row r="1759" spans="1:1" x14ac:dyDescent="0.35">
      <c r="A1759" s="95" t="s">
        <v>6242</v>
      </c>
    </row>
    <row r="1760" spans="1:1" x14ac:dyDescent="0.35">
      <c r="A1760" s="95" t="s">
        <v>6242</v>
      </c>
    </row>
    <row r="1761" spans="1:1" x14ac:dyDescent="0.35">
      <c r="A1761" s="95" t="s">
        <v>6242</v>
      </c>
    </row>
    <row r="1762" spans="1:1" x14ac:dyDescent="0.35">
      <c r="A1762" s="95" t="s">
        <v>6242</v>
      </c>
    </row>
    <row r="1763" spans="1:1" x14ac:dyDescent="0.35">
      <c r="A1763" s="95" t="s">
        <v>6242</v>
      </c>
    </row>
    <row r="1764" spans="1:1" x14ac:dyDescent="0.35">
      <c r="A1764" s="95" t="s">
        <v>6242</v>
      </c>
    </row>
    <row r="1765" spans="1:1" x14ac:dyDescent="0.35">
      <c r="A1765" s="95" t="s">
        <v>6242</v>
      </c>
    </row>
    <row r="1766" spans="1:1" x14ac:dyDescent="0.35">
      <c r="A1766" s="95" t="s">
        <v>6242</v>
      </c>
    </row>
    <row r="1767" spans="1:1" x14ac:dyDescent="0.35">
      <c r="A1767" s="95" t="s">
        <v>6242</v>
      </c>
    </row>
    <row r="1768" spans="1:1" x14ac:dyDescent="0.35">
      <c r="A1768" s="95" t="s">
        <v>6242</v>
      </c>
    </row>
    <row r="1769" spans="1:1" x14ac:dyDescent="0.35">
      <c r="A1769" s="95" t="s">
        <v>6242</v>
      </c>
    </row>
    <row r="1770" spans="1:1" x14ac:dyDescent="0.35">
      <c r="A1770" s="95" t="s">
        <v>6242</v>
      </c>
    </row>
    <row r="1771" spans="1:1" x14ac:dyDescent="0.35">
      <c r="A1771" s="95" t="s">
        <v>6242</v>
      </c>
    </row>
    <row r="1772" spans="1:1" x14ac:dyDescent="0.35">
      <c r="A1772" s="95" t="s">
        <v>6242</v>
      </c>
    </row>
    <row r="1773" spans="1:1" x14ac:dyDescent="0.35">
      <c r="A1773" s="95" t="s">
        <v>6242</v>
      </c>
    </row>
    <row r="1774" spans="1:1" x14ac:dyDescent="0.35">
      <c r="A1774" s="95" t="s">
        <v>6242</v>
      </c>
    </row>
    <row r="1775" spans="1:1" x14ac:dyDescent="0.35">
      <c r="A1775" s="95" t="s">
        <v>6242</v>
      </c>
    </row>
    <row r="1776" spans="1:1" x14ac:dyDescent="0.35">
      <c r="A1776" s="95" t="s">
        <v>6242</v>
      </c>
    </row>
    <row r="1777" spans="1:1" x14ac:dyDescent="0.35">
      <c r="A1777" s="95" t="s">
        <v>6242</v>
      </c>
    </row>
    <row r="1778" spans="1:1" x14ac:dyDescent="0.35">
      <c r="A1778" s="95" t="s">
        <v>6242</v>
      </c>
    </row>
    <row r="1779" spans="1:1" x14ac:dyDescent="0.35">
      <c r="A1779" s="95" t="s">
        <v>6242</v>
      </c>
    </row>
    <row r="1780" spans="1:1" x14ac:dyDescent="0.35">
      <c r="A1780" s="95" t="s">
        <v>6242</v>
      </c>
    </row>
    <row r="1781" spans="1:1" x14ac:dyDescent="0.35">
      <c r="A1781" s="95" t="s">
        <v>6242</v>
      </c>
    </row>
    <row r="1782" spans="1:1" x14ac:dyDescent="0.35">
      <c r="A1782" s="95" t="s">
        <v>6242</v>
      </c>
    </row>
    <row r="1783" spans="1:1" x14ac:dyDescent="0.35">
      <c r="A1783" s="95" t="s">
        <v>6242</v>
      </c>
    </row>
    <row r="1784" spans="1:1" x14ac:dyDescent="0.35">
      <c r="A1784" s="95" t="s">
        <v>6242</v>
      </c>
    </row>
    <row r="1785" spans="1:1" x14ac:dyDescent="0.35">
      <c r="A1785" s="95" t="s">
        <v>6242</v>
      </c>
    </row>
    <row r="1786" spans="1:1" x14ac:dyDescent="0.35">
      <c r="A1786" s="95" t="s">
        <v>6242</v>
      </c>
    </row>
    <row r="1787" spans="1:1" x14ac:dyDescent="0.35">
      <c r="A1787" s="95" t="s">
        <v>6242</v>
      </c>
    </row>
    <row r="1788" spans="1:1" x14ac:dyDescent="0.35">
      <c r="A1788" s="95" t="s">
        <v>6242</v>
      </c>
    </row>
    <row r="1789" spans="1:1" x14ac:dyDescent="0.35">
      <c r="A1789" s="95" t="s">
        <v>6242</v>
      </c>
    </row>
    <row r="1790" spans="1:1" x14ac:dyDescent="0.35">
      <c r="A1790" s="95" t="s">
        <v>6242</v>
      </c>
    </row>
    <row r="1791" spans="1:1" x14ac:dyDescent="0.35">
      <c r="A1791" s="95" t="s">
        <v>6242</v>
      </c>
    </row>
    <row r="1792" spans="1:1" x14ac:dyDescent="0.35">
      <c r="A1792" s="95" t="s">
        <v>6242</v>
      </c>
    </row>
    <row r="1793" spans="1:1" x14ac:dyDescent="0.35">
      <c r="A1793" s="95" t="s">
        <v>6242</v>
      </c>
    </row>
    <row r="1794" spans="1:1" x14ac:dyDescent="0.35">
      <c r="A1794" s="95" t="s">
        <v>6242</v>
      </c>
    </row>
    <row r="1795" spans="1:1" x14ac:dyDescent="0.35">
      <c r="A1795" s="95" t="s">
        <v>6242</v>
      </c>
    </row>
    <row r="1796" spans="1:1" x14ac:dyDescent="0.35">
      <c r="A1796" s="95" t="s">
        <v>6242</v>
      </c>
    </row>
    <row r="1797" spans="1:1" x14ac:dyDescent="0.35">
      <c r="A1797" s="95" t="s">
        <v>6242</v>
      </c>
    </row>
    <row r="1798" spans="1:1" x14ac:dyDescent="0.35">
      <c r="A1798" s="95" t="s">
        <v>6242</v>
      </c>
    </row>
    <row r="1799" spans="1:1" x14ac:dyDescent="0.35">
      <c r="A1799" s="95" t="s">
        <v>6242</v>
      </c>
    </row>
    <row r="1800" spans="1:1" x14ac:dyDescent="0.35">
      <c r="A1800" s="95" t="s">
        <v>6242</v>
      </c>
    </row>
    <row r="1801" spans="1:1" x14ac:dyDescent="0.35">
      <c r="A1801" s="95" t="s">
        <v>6242</v>
      </c>
    </row>
    <row r="1802" spans="1:1" x14ac:dyDescent="0.35">
      <c r="A1802" s="95" t="s">
        <v>6242</v>
      </c>
    </row>
    <row r="1803" spans="1:1" x14ac:dyDescent="0.35">
      <c r="A1803" s="95" t="s">
        <v>6242</v>
      </c>
    </row>
    <row r="1804" spans="1:1" x14ac:dyDescent="0.35">
      <c r="A1804" s="95" t="s">
        <v>6242</v>
      </c>
    </row>
    <row r="1805" spans="1:1" x14ac:dyDescent="0.35">
      <c r="A1805" s="95" t="s">
        <v>6242</v>
      </c>
    </row>
    <row r="1806" spans="1:1" x14ac:dyDescent="0.35">
      <c r="A1806" s="95" t="s">
        <v>6242</v>
      </c>
    </row>
    <row r="1807" spans="1:1" x14ac:dyDescent="0.35">
      <c r="A1807" s="95" t="s">
        <v>6242</v>
      </c>
    </row>
    <row r="1808" spans="1:1" x14ac:dyDescent="0.35">
      <c r="A1808" s="95" t="s">
        <v>6242</v>
      </c>
    </row>
    <row r="1809" spans="1:1" x14ac:dyDescent="0.35">
      <c r="A1809" s="95" t="s">
        <v>6242</v>
      </c>
    </row>
    <row r="1810" spans="1:1" x14ac:dyDescent="0.35">
      <c r="A1810" s="95" t="s">
        <v>6242</v>
      </c>
    </row>
    <row r="1811" spans="1:1" x14ac:dyDescent="0.35">
      <c r="A1811" s="95" t="s">
        <v>6242</v>
      </c>
    </row>
    <row r="1812" spans="1:1" x14ac:dyDescent="0.35">
      <c r="A1812" s="95" t="s">
        <v>6242</v>
      </c>
    </row>
    <row r="1813" spans="1:1" x14ac:dyDescent="0.35">
      <c r="A1813" s="95" t="s">
        <v>6242</v>
      </c>
    </row>
    <row r="1814" spans="1:1" x14ac:dyDescent="0.35">
      <c r="A1814" s="95" t="s">
        <v>6242</v>
      </c>
    </row>
    <row r="1815" spans="1:1" x14ac:dyDescent="0.35">
      <c r="A1815" s="95" t="s">
        <v>6242</v>
      </c>
    </row>
    <row r="1816" spans="1:1" x14ac:dyDescent="0.35">
      <c r="A1816" s="95" t="s">
        <v>6242</v>
      </c>
    </row>
    <row r="1817" spans="1:1" x14ac:dyDescent="0.35">
      <c r="A1817" s="95" t="s">
        <v>6242</v>
      </c>
    </row>
    <row r="1818" spans="1:1" x14ac:dyDescent="0.35">
      <c r="A1818" s="95" t="s">
        <v>6242</v>
      </c>
    </row>
    <row r="1819" spans="1:1" x14ac:dyDescent="0.35">
      <c r="A1819" s="95" t="s">
        <v>6242</v>
      </c>
    </row>
    <row r="1820" spans="1:1" x14ac:dyDescent="0.35">
      <c r="A1820" s="95" t="s">
        <v>6242</v>
      </c>
    </row>
    <row r="1821" spans="1:1" x14ac:dyDescent="0.35">
      <c r="A1821" s="95" t="s">
        <v>6242</v>
      </c>
    </row>
    <row r="1822" spans="1:1" x14ac:dyDescent="0.35">
      <c r="A1822" s="95" t="s">
        <v>6242</v>
      </c>
    </row>
    <row r="1823" spans="1:1" x14ac:dyDescent="0.35">
      <c r="A1823" s="95" t="s">
        <v>6242</v>
      </c>
    </row>
    <row r="1824" spans="1:1" x14ac:dyDescent="0.35">
      <c r="A1824" s="95" t="s">
        <v>6242</v>
      </c>
    </row>
    <row r="1825" spans="1:1" x14ac:dyDescent="0.35">
      <c r="A1825" s="95" t="s">
        <v>6242</v>
      </c>
    </row>
    <row r="1826" spans="1:1" x14ac:dyDescent="0.35">
      <c r="A1826" s="95" t="s">
        <v>6242</v>
      </c>
    </row>
    <row r="1827" spans="1:1" x14ac:dyDescent="0.35">
      <c r="A1827" s="95" t="s">
        <v>6242</v>
      </c>
    </row>
    <row r="1828" spans="1:1" x14ac:dyDescent="0.35">
      <c r="A1828" s="95" t="s">
        <v>6242</v>
      </c>
    </row>
    <row r="1829" spans="1:1" x14ac:dyDescent="0.35">
      <c r="A1829" s="95" t="s">
        <v>6242</v>
      </c>
    </row>
    <row r="1830" spans="1:1" x14ac:dyDescent="0.35">
      <c r="A1830" s="95" t="s">
        <v>6242</v>
      </c>
    </row>
    <row r="1831" spans="1:1" x14ac:dyDescent="0.35">
      <c r="A1831" s="95" t="s">
        <v>6242</v>
      </c>
    </row>
    <row r="1832" spans="1:1" x14ac:dyDescent="0.35">
      <c r="A1832" s="95" t="s">
        <v>6242</v>
      </c>
    </row>
    <row r="1833" spans="1:1" x14ac:dyDescent="0.35">
      <c r="A1833" s="95" t="s">
        <v>6242</v>
      </c>
    </row>
    <row r="1834" spans="1:1" x14ac:dyDescent="0.35">
      <c r="A1834" s="95" t="s">
        <v>6242</v>
      </c>
    </row>
    <row r="1835" spans="1:1" x14ac:dyDescent="0.35">
      <c r="A1835" s="95" t="s">
        <v>6242</v>
      </c>
    </row>
    <row r="1836" spans="1:1" x14ac:dyDescent="0.35">
      <c r="A1836" s="95" t="s">
        <v>6242</v>
      </c>
    </row>
    <row r="1837" spans="1:1" x14ac:dyDescent="0.35">
      <c r="A1837" s="95" t="s">
        <v>6242</v>
      </c>
    </row>
    <row r="1838" spans="1:1" x14ac:dyDescent="0.35">
      <c r="A1838" s="95" t="s">
        <v>6242</v>
      </c>
    </row>
    <row r="1839" spans="1:1" x14ac:dyDescent="0.35">
      <c r="A1839" s="95" t="s">
        <v>6242</v>
      </c>
    </row>
    <row r="1840" spans="1:1" x14ac:dyDescent="0.35">
      <c r="A1840" s="95" t="s">
        <v>6242</v>
      </c>
    </row>
    <row r="1841" spans="1:1" x14ac:dyDescent="0.35">
      <c r="A1841" s="95" t="s">
        <v>6242</v>
      </c>
    </row>
    <row r="1842" spans="1:1" x14ac:dyDescent="0.35">
      <c r="A1842" s="95" t="s">
        <v>6242</v>
      </c>
    </row>
    <row r="1843" spans="1:1" x14ac:dyDescent="0.35">
      <c r="A1843" s="95" t="s">
        <v>6242</v>
      </c>
    </row>
    <row r="1844" spans="1:1" x14ac:dyDescent="0.35">
      <c r="A1844" s="95" t="s">
        <v>6242</v>
      </c>
    </row>
    <row r="1845" spans="1:1" x14ac:dyDescent="0.35">
      <c r="A1845" s="95" t="s">
        <v>6242</v>
      </c>
    </row>
    <row r="1846" spans="1:1" x14ac:dyDescent="0.35">
      <c r="A1846" s="95" t="s">
        <v>6242</v>
      </c>
    </row>
    <row r="1847" spans="1:1" x14ac:dyDescent="0.35">
      <c r="A1847" s="95" t="s">
        <v>6242</v>
      </c>
    </row>
    <row r="1848" spans="1:1" x14ac:dyDescent="0.35">
      <c r="A1848" s="95" t="s">
        <v>6242</v>
      </c>
    </row>
    <row r="1849" spans="1:1" x14ac:dyDescent="0.35">
      <c r="A1849" s="95" t="s">
        <v>6242</v>
      </c>
    </row>
    <row r="1850" spans="1:1" x14ac:dyDescent="0.35">
      <c r="A1850" s="95" t="s">
        <v>6242</v>
      </c>
    </row>
    <row r="1851" spans="1:1" x14ac:dyDescent="0.35">
      <c r="A1851" s="95" t="s">
        <v>6242</v>
      </c>
    </row>
    <row r="1852" spans="1:1" x14ac:dyDescent="0.35">
      <c r="A1852" s="95" t="s">
        <v>6242</v>
      </c>
    </row>
    <row r="1853" spans="1:1" x14ac:dyDescent="0.35">
      <c r="A1853" s="95" t="s">
        <v>6242</v>
      </c>
    </row>
    <row r="1854" spans="1:1" x14ac:dyDescent="0.35">
      <c r="A1854" s="95" t="s">
        <v>6242</v>
      </c>
    </row>
    <row r="1855" spans="1:1" x14ac:dyDescent="0.35">
      <c r="A1855" s="95" t="s">
        <v>6242</v>
      </c>
    </row>
    <row r="1856" spans="1:1" x14ac:dyDescent="0.35">
      <c r="A1856" s="95" t="s">
        <v>6242</v>
      </c>
    </row>
    <row r="1857" spans="1:1" x14ac:dyDescent="0.35">
      <c r="A1857" s="95" t="s">
        <v>6242</v>
      </c>
    </row>
    <row r="1858" spans="1:1" x14ac:dyDescent="0.35">
      <c r="A1858" s="95" t="s">
        <v>6242</v>
      </c>
    </row>
    <row r="1859" spans="1:1" x14ac:dyDescent="0.35">
      <c r="A1859" s="95" t="s">
        <v>6242</v>
      </c>
    </row>
    <row r="1860" spans="1:1" x14ac:dyDescent="0.35">
      <c r="A1860" s="95" t="s">
        <v>6242</v>
      </c>
    </row>
    <row r="1861" spans="1:1" x14ac:dyDescent="0.35">
      <c r="A1861" s="95" t="s">
        <v>6242</v>
      </c>
    </row>
    <row r="1862" spans="1:1" x14ac:dyDescent="0.35">
      <c r="A1862" s="95" t="s">
        <v>6242</v>
      </c>
    </row>
    <row r="1863" spans="1:1" x14ac:dyDescent="0.35">
      <c r="A1863" s="95" t="s">
        <v>6242</v>
      </c>
    </row>
    <row r="1864" spans="1:1" x14ac:dyDescent="0.35">
      <c r="A1864" s="95" t="s">
        <v>6242</v>
      </c>
    </row>
    <row r="1865" spans="1:1" x14ac:dyDescent="0.35">
      <c r="A1865" s="95" t="s">
        <v>6242</v>
      </c>
    </row>
    <row r="1866" spans="1:1" x14ac:dyDescent="0.35">
      <c r="A1866" s="95" t="s">
        <v>6242</v>
      </c>
    </row>
    <row r="1867" spans="1:1" x14ac:dyDescent="0.35">
      <c r="A1867" s="95" t="s">
        <v>6242</v>
      </c>
    </row>
    <row r="1868" spans="1:1" x14ac:dyDescent="0.35">
      <c r="A1868" s="95" t="s">
        <v>6242</v>
      </c>
    </row>
    <row r="1869" spans="1:1" x14ac:dyDescent="0.35">
      <c r="A1869" s="95" t="s">
        <v>6242</v>
      </c>
    </row>
    <row r="1870" spans="1:1" x14ac:dyDescent="0.35">
      <c r="A1870" s="95" t="s">
        <v>6242</v>
      </c>
    </row>
    <row r="1871" spans="1:1" x14ac:dyDescent="0.35">
      <c r="A1871" s="95" t="s">
        <v>6242</v>
      </c>
    </row>
    <row r="1872" spans="1:1" x14ac:dyDescent="0.35">
      <c r="A1872" s="95" t="s">
        <v>6242</v>
      </c>
    </row>
    <row r="1873" spans="1:1" x14ac:dyDescent="0.35">
      <c r="A1873" s="95" t="s">
        <v>6242</v>
      </c>
    </row>
    <row r="1874" spans="1:1" x14ac:dyDescent="0.35">
      <c r="A1874" s="95" t="s">
        <v>6242</v>
      </c>
    </row>
    <row r="1875" spans="1:1" x14ac:dyDescent="0.35">
      <c r="A1875" s="95" t="s">
        <v>6242</v>
      </c>
    </row>
    <row r="1876" spans="1:1" x14ac:dyDescent="0.35">
      <c r="A1876" s="95" t="s">
        <v>6242</v>
      </c>
    </row>
    <row r="1877" spans="1:1" x14ac:dyDescent="0.35">
      <c r="A1877" s="95" t="s">
        <v>6242</v>
      </c>
    </row>
    <row r="1878" spans="1:1" x14ac:dyDescent="0.35">
      <c r="A1878" s="95" t="s">
        <v>6242</v>
      </c>
    </row>
    <row r="1879" spans="1:1" x14ac:dyDescent="0.35">
      <c r="A1879" s="95" t="s">
        <v>6242</v>
      </c>
    </row>
    <row r="1880" spans="1:1" x14ac:dyDescent="0.35">
      <c r="A1880" s="95" t="s">
        <v>6242</v>
      </c>
    </row>
    <row r="1881" spans="1:1" x14ac:dyDescent="0.35">
      <c r="A1881" s="95" t="s">
        <v>6242</v>
      </c>
    </row>
    <row r="1882" spans="1:1" x14ac:dyDescent="0.35">
      <c r="A1882" s="95" t="s">
        <v>6242</v>
      </c>
    </row>
    <row r="1883" spans="1:1" x14ac:dyDescent="0.35">
      <c r="A1883" s="95" t="s">
        <v>6242</v>
      </c>
    </row>
    <row r="1884" spans="1:1" x14ac:dyDescent="0.35">
      <c r="A1884" s="95" t="s">
        <v>6242</v>
      </c>
    </row>
    <row r="1885" spans="1:1" x14ac:dyDescent="0.35">
      <c r="A1885" s="95" t="s">
        <v>6242</v>
      </c>
    </row>
    <row r="1886" spans="1:1" x14ac:dyDescent="0.35">
      <c r="A1886" s="95" t="s">
        <v>6242</v>
      </c>
    </row>
    <row r="1887" spans="1:1" x14ac:dyDescent="0.35">
      <c r="A1887" s="95" t="s">
        <v>6242</v>
      </c>
    </row>
    <row r="1888" spans="1:1" x14ac:dyDescent="0.35">
      <c r="A1888" s="95" t="s">
        <v>6242</v>
      </c>
    </row>
    <row r="1889" spans="1:1" x14ac:dyDescent="0.35">
      <c r="A1889" s="95" t="s">
        <v>6242</v>
      </c>
    </row>
    <row r="1890" spans="1:1" x14ac:dyDescent="0.35">
      <c r="A1890" s="95" t="s">
        <v>6242</v>
      </c>
    </row>
    <row r="1891" spans="1:1" x14ac:dyDescent="0.35">
      <c r="A1891" s="95" t="s">
        <v>6242</v>
      </c>
    </row>
    <row r="1892" spans="1:1" x14ac:dyDescent="0.35">
      <c r="A1892" s="95" t="s">
        <v>6242</v>
      </c>
    </row>
    <row r="1893" spans="1:1" x14ac:dyDescent="0.35">
      <c r="A1893" s="95" t="s">
        <v>6242</v>
      </c>
    </row>
    <row r="1894" spans="1:1" x14ac:dyDescent="0.35">
      <c r="A1894" s="95" t="s">
        <v>6242</v>
      </c>
    </row>
    <row r="1895" spans="1:1" x14ac:dyDescent="0.35">
      <c r="A1895" s="95" t="s">
        <v>6242</v>
      </c>
    </row>
    <row r="1896" spans="1:1" x14ac:dyDescent="0.35">
      <c r="A1896" s="95" t="s">
        <v>6242</v>
      </c>
    </row>
    <row r="1897" spans="1:1" x14ac:dyDescent="0.35">
      <c r="A1897" s="95" t="s">
        <v>6242</v>
      </c>
    </row>
    <row r="1898" spans="1:1" x14ac:dyDescent="0.35">
      <c r="A1898" s="95" t="s">
        <v>6242</v>
      </c>
    </row>
    <row r="1899" spans="1:1" x14ac:dyDescent="0.35">
      <c r="A1899" s="95" t="s">
        <v>6242</v>
      </c>
    </row>
    <row r="1900" spans="1:1" x14ac:dyDescent="0.35">
      <c r="A1900" s="95" t="s">
        <v>6242</v>
      </c>
    </row>
    <row r="1901" spans="1:1" x14ac:dyDescent="0.35">
      <c r="A1901" s="95" t="s">
        <v>6242</v>
      </c>
    </row>
    <row r="1902" spans="1:1" x14ac:dyDescent="0.35">
      <c r="A1902" s="95" t="s">
        <v>6242</v>
      </c>
    </row>
    <row r="1903" spans="1:1" x14ac:dyDescent="0.35">
      <c r="A1903" s="95" t="s">
        <v>6242</v>
      </c>
    </row>
    <row r="1904" spans="1:1" x14ac:dyDescent="0.35">
      <c r="A1904" s="95" t="s">
        <v>6242</v>
      </c>
    </row>
    <row r="1905" spans="1:1" x14ac:dyDescent="0.35">
      <c r="A1905" s="95" t="s">
        <v>6242</v>
      </c>
    </row>
    <row r="1906" spans="1:1" x14ac:dyDescent="0.35">
      <c r="A1906" s="95" t="s">
        <v>6242</v>
      </c>
    </row>
    <row r="1907" spans="1:1" x14ac:dyDescent="0.35">
      <c r="A1907" s="95" t="s">
        <v>6242</v>
      </c>
    </row>
    <row r="1908" spans="1:1" x14ac:dyDescent="0.35">
      <c r="A1908" s="95" t="s">
        <v>6242</v>
      </c>
    </row>
    <row r="1909" spans="1:1" x14ac:dyDescent="0.35">
      <c r="A1909" s="95" t="s">
        <v>6242</v>
      </c>
    </row>
    <row r="1910" spans="1:1" x14ac:dyDescent="0.35">
      <c r="A1910" s="95" t="s">
        <v>6242</v>
      </c>
    </row>
    <row r="1911" spans="1:1" x14ac:dyDescent="0.35">
      <c r="A1911" s="95" t="s">
        <v>6242</v>
      </c>
    </row>
    <row r="1912" spans="1:1" x14ac:dyDescent="0.35">
      <c r="A1912" s="95" t="s">
        <v>6242</v>
      </c>
    </row>
    <row r="1913" spans="1:1" x14ac:dyDescent="0.35">
      <c r="A1913" s="95" t="s">
        <v>6242</v>
      </c>
    </row>
    <row r="1914" spans="1:1" x14ac:dyDescent="0.35">
      <c r="A1914" s="95" t="s">
        <v>6242</v>
      </c>
    </row>
    <row r="1915" spans="1:1" x14ac:dyDescent="0.35">
      <c r="A1915" s="95" t="s">
        <v>6242</v>
      </c>
    </row>
    <row r="1916" spans="1:1" x14ac:dyDescent="0.35">
      <c r="A1916" s="95" t="s">
        <v>6242</v>
      </c>
    </row>
    <row r="1917" spans="1:1" x14ac:dyDescent="0.35">
      <c r="A1917" s="95" t="s">
        <v>6242</v>
      </c>
    </row>
    <row r="1918" spans="1:1" x14ac:dyDescent="0.35">
      <c r="A1918" s="95" t="s">
        <v>6242</v>
      </c>
    </row>
    <row r="1919" spans="1:1" x14ac:dyDescent="0.35">
      <c r="A1919" s="95" t="s">
        <v>6242</v>
      </c>
    </row>
    <row r="1920" spans="1:1" x14ac:dyDescent="0.35">
      <c r="A1920" s="95" t="s">
        <v>6242</v>
      </c>
    </row>
    <row r="1921" spans="1:1" x14ac:dyDescent="0.35">
      <c r="A1921" s="95" t="s">
        <v>6242</v>
      </c>
    </row>
    <row r="1922" spans="1:1" x14ac:dyDescent="0.35">
      <c r="A1922" s="95" t="s">
        <v>6242</v>
      </c>
    </row>
    <row r="1923" spans="1:1" x14ac:dyDescent="0.35">
      <c r="A1923" s="95" t="s">
        <v>6242</v>
      </c>
    </row>
    <row r="1924" spans="1:1" x14ac:dyDescent="0.35">
      <c r="A1924" s="95" t="s">
        <v>6242</v>
      </c>
    </row>
    <row r="1925" spans="1:1" x14ac:dyDescent="0.35">
      <c r="A1925" s="95" t="s">
        <v>6242</v>
      </c>
    </row>
    <row r="1926" spans="1:1" x14ac:dyDescent="0.35">
      <c r="A1926" s="95" t="s">
        <v>6242</v>
      </c>
    </row>
    <row r="1927" spans="1:1" x14ac:dyDescent="0.35">
      <c r="A1927" s="95" t="s">
        <v>6242</v>
      </c>
    </row>
    <row r="1928" spans="1:1" x14ac:dyDescent="0.35">
      <c r="A1928" s="95" t="s">
        <v>6242</v>
      </c>
    </row>
    <row r="1929" spans="1:1" x14ac:dyDescent="0.35">
      <c r="A1929" s="95" t="s">
        <v>6242</v>
      </c>
    </row>
    <row r="1930" spans="1:1" x14ac:dyDescent="0.35">
      <c r="A1930" s="95" t="s">
        <v>6242</v>
      </c>
    </row>
    <row r="1931" spans="1:1" x14ac:dyDescent="0.35">
      <c r="A1931" s="95" t="s">
        <v>6242</v>
      </c>
    </row>
    <row r="1932" spans="1:1" x14ac:dyDescent="0.35">
      <c r="A1932" s="95" t="s">
        <v>6242</v>
      </c>
    </row>
    <row r="1933" spans="1:1" x14ac:dyDescent="0.35">
      <c r="A1933" s="95" t="s">
        <v>6242</v>
      </c>
    </row>
    <row r="1934" spans="1:1" x14ac:dyDescent="0.35">
      <c r="A1934" s="95" t="s">
        <v>6242</v>
      </c>
    </row>
    <row r="1935" spans="1:1" x14ac:dyDescent="0.35">
      <c r="A1935" s="95" t="s">
        <v>6242</v>
      </c>
    </row>
    <row r="1936" spans="1:1" x14ac:dyDescent="0.35">
      <c r="A1936" s="95" t="s">
        <v>6242</v>
      </c>
    </row>
    <row r="1937" spans="1:1" x14ac:dyDescent="0.35">
      <c r="A1937" s="95" t="s">
        <v>6242</v>
      </c>
    </row>
    <row r="1938" spans="1:1" x14ac:dyDescent="0.35">
      <c r="A1938" s="95" t="s">
        <v>6242</v>
      </c>
    </row>
    <row r="1939" spans="1:1" x14ac:dyDescent="0.35">
      <c r="A1939" s="95" t="s">
        <v>6242</v>
      </c>
    </row>
    <row r="1940" spans="1:1" x14ac:dyDescent="0.35">
      <c r="A1940" s="95" t="s">
        <v>6242</v>
      </c>
    </row>
    <row r="1941" spans="1:1" x14ac:dyDescent="0.35">
      <c r="A1941" s="95" t="s">
        <v>6242</v>
      </c>
    </row>
    <row r="1942" spans="1:1" x14ac:dyDescent="0.35">
      <c r="A1942" s="95" t="s">
        <v>6242</v>
      </c>
    </row>
    <row r="1943" spans="1:1" x14ac:dyDescent="0.35">
      <c r="A1943" s="95" t="s">
        <v>6242</v>
      </c>
    </row>
    <row r="1944" spans="1:1" x14ac:dyDescent="0.35">
      <c r="A1944" s="95" t="s">
        <v>6242</v>
      </c>
    </row>
    <row r="1945" spans="1:1" x14ac:dyDescent="0.35">
      <c r="A1945" s="95" t="s">
        <v>6242</v>
      </c>
    </row>
    <row r="1946" spans="1:1" x14ac:dyDescent="0.35">
      <c r="A1946" s="95" t="s">
        <v>6242</v>
      </c>
    </row>
    <row r="1947" spans="1:1" x14ac:dyDescent="0.35">
      <c r="A1947" s="95" t="s">
        <v>6242</v>
      </c>
    </row>
    <row r="1948" spans="1:1" x14ac:dyDescent="0.35">
      <c r="A1948" s="95" t="s">
        <v>6242</v>
      </c>
    </row>
    <row r="1949" spans="1:1" x14ac:dyDescent="0.35">
      <c r="A1949" s="95" t="s">
        <v>6242</v>
      </c>
    </row>
    <row r="1950" spans="1:1" x14ac:dyDescent="0.35">
      <c r="A1950" s="95" t="s">
        <v>6242</v>
      </c>
    </row>
    <row r="1951" spans="1:1" x14ac:dyDescent="0.35">
      <c r="A1951" s="95" t="s">
        <v>6242</v>
      </c>
    </row>
    <row r="1952" spans="1:1" x14ac:dyDescent="0.35">
      <c r="A1952" s="95" t="s">
        <v>6242</v>
      </c>
    </row>
    <row r="1953" spans="1:1" x14ac:dyDescent="0.35">
      <c r="A1953" s="95" t="s">
        <v>6242</v>
      </c>
    </row>
    <row r="1954" spans="1:1" x14ac:dyDescent="0.35">
      <c r="A1954" s="95" t="s">
        <v>6242</v>
      </c>
    </row>
    <row r="1955" spans="1:1" x14ac:dyDescent="0.35">
      <c r="A1955" s="95" t="s">
        <v>6242</v>
      </c>
    </row>
    <row r="1956" spans="1:1" x14ac:dyDescent="0.35">
      <c r="A1956" s="95" t="s">
        <v>6242</v>
      </c>
    </row>
    <row r="1957" spans="1:1" x14ac:dyDescent="0.35">
      <c r="A1957" s="95" t="s">
        <v>6242</v>
      </c>
    </row>
    <row r="1958" spans="1:1" x14ac:dyDescent="0.35">
      <c r="A1958" s="95" t="s">
        <v>6242</v>
      </c>
    </row>
    <row r="1959" spans="1:1" x14ac:dyDescent="0.35">
      <c r="A1959" s="95" t="s">
        <v>6242</v>
      </c>
    </row>
    <row r="1960" spans="1:1" x14ac:dyDescent="0.35">
      <c r="A1960" s="95" t="s">
        <v>6242</v>
      </c>
    </row>
    <row r="1961" spans="1:1" x14ac:dyDescent="0.35">
      <c r="A1961" s="95" t="s">
        <v>6242</v>
      </c>
    </row>
    <row r="1962" spans="1:1" x14ac:dyDescent="0.35">
      <c r="A1962" s="95" t="s">
        <v>6242</v>
      </c>
    </row>
    <row r="1963" spans="1:1" x14ac:dyDescent="0.35">
      <c r="A1963" s="95" t="s">
        <v>6242</v>
      </c>
    </row>
    <row r="1964" spans="1:1" x14ac:dyDescent="0.35">
      <c r="A1964" s="95" t="s">
        <v>6242</v>
      </c>
    </row>
    <row r="1965" spans="1:1" x14ac:dyDescent="0.35">
      <c r="A1965" s="95" t="s">
        <v>6242</v>
      </c>
    </row>
    <row r="1966" spans="1:1" x14ac:dyDescent="0.35">
      <c r="A1966" s="95" t="s">
        <v>6242</v>
      </c>
    </row>
    <row r="1967" spans="1:1" x14ac:dyDescent="0.35">
      <c r="A1967" s="95" t="s">
        <v>6242</v>
      </c>
    </row>
    <row r="1968" spans="1:1" x14ac:dyDescent="0.35">
      <c r="A1968" s="95" t="s">
        <v>6242</v>
      </c>
    </row>
    <row r="1969" spans="1:1" x14ac:dyDescent="0.35">
      <c r="A1969" s="95" t="s">
        <v>6242</v>
      </c>
    </row>
    <row r="1970" spans="1:1" x14ac:dyDescent="0.35">
      <c r="A1970" s="95" t="s">
        <v>6242</v>
      </c>
    </row>
    <row r="1971" spans="1:1" x14ac:dyDescent="0.35">
      <c r="A1971" s="95" t="s">
        <v>6242</v>
      </c>
    </row>
    <row r="1972" spans="1:1" x14ac:dyDescent="0.35">
      <c r="A1972" s="95" t="s">
        <v>6242</v>
      </c>
    </row>
    <row r="1973" spans="1:1" x14ac:dyDescent="0.35">
      <c r="A1973" s="95" t="s">
        <v>6242</v>
      </c>
    </row>
    <row r="1974" spans="1:1" x14ac:dyDescent="0.35">
      <c r="A1974" s="95" t="s">
        <v>6242</v>
      </c>
    </row>
    <row r="1975" spans="1:1" x14ac:dyDescent="0.35">
      <c r="A1975" s="95" t="s">
        <v>6242</v>
      </c>
    </row>
    <row r="1976" spans="1:1" x14ac:dyDescent="0.35">
      <c r="A1976" s="95" t="s">
        <v>6242</v>
      </c>
    </row>
    <row r="1977" spans="1:1" x14ac:dyDescent="0.35">
      <c r="A1977" s="95" t="s">
        <v>6242</v>
      </c>
    </row>
    <row r="1978" spans="1:1" x14ac:dyDescent="0.35">
      <c r="A1978" s="95" t="s">
        <v>6242</v>
      </c>
    </row>
    <row r="1979" spans="1:1" x14ac:dyDescent="0.35">
      <c r="A1979" s="95" t="s">
        <v>6242</v>
      </c>
    </row>
    <row r="1980" spans="1:1" x14ac:dyDescent="0.35">
      <c r="A1980" s="95" t="s">
        <v>6242</v>
      </c>
    </row>
    <row r="1981" spans="1:1" x14ac:dyDescent="0.35">
      <c r="A1981" s="95" t="s">
        <v>6242</v>
      </c>
    </row>
    <row r="1982" spans="1:1" x14ac:dyDescent="0.35">
      <c r="A1982" s="95" t="s">
        <v>6242</v>
      </c>
    </row>
    <row r="1983" spans="1:1" x14ac:dyDescent="0.35">
      <c r="A1983" s="95" t="s">
        <v>6242</v>
      </c>
    </row>
    <row r="1984" spans="1:1" x14ac:dyDescent="0.35">
      <c r="A1984" s="95" t="s">
        <v>6242</v>
      </c>
    </row>
    <row r="1985" spans="1:1" x14ac:dyDescent="0.35">
      <c r="A1985" s="95" t="s">
        <v>6242</v>
      </c>
    </row>
    <row r="1986" spans="1:1" x14ac:dyDescent="0.35">
      <c r="A1986" s="95" t="s">
        <v>6242</v>
      </c>
    </row>
    <row r="1987" spans="1:1" x14ac:dyDescent="0.35">
      <c r="A1987" s="95" t="s">
        <v>6242</v>
      </c>
    </row>
    <row r="1988" spans="1:1" x14ac:dyDescent="0.35">
      <c r="A1988" s="95" t="s">
        <v>6242</v>
      </c>
    </row>
    <row r="1989" spans="1:1" x14ac:dyDescent="0.35">
      <c r="A1989" s="95" t="s">
        <v>6242</v>
      </c>
    </row>
    <row r="1990" spans="1:1" x14ac:dyDescent="0.35">
      <c r="A1990" s="95" t="s">
        <v>6242</v>
      </c>
    </row>
    <row r="1991" spans="1:1" x14ac:dyDescent="0.35">
      <c r="A1991" s="95" t="s">
        <v>6242</v>
      </c>
    </row>
    <row r="1992" spans="1:1" x14ac:dyDescent="0.35">
      <c r="A1992" s="95" t="s">
        <v>6242</v>
      </c>
    </row>
    <row r="1993" spans="1:1" x14ac:dyDescent="0.35">
      <c r="A1993" s="95" t="s">
        <v>6242</v>
      </c>
    </row>
    <row r="1994" spans="1:1" x14ac:dyDescent="0.35">
      <c r="A1994" s="95" t="s">
        <v>6242</v>
      </c>
    </row>
    <row r="1995" spans="1:1" x14ac:dyDescent="0.35">
      <c r="A1995" s="95" t="s">
        <v>6242</v>
      </c>
    </row>
    <row r="1996" spans="1:1" x14ac:dyDescent="0.35">
      <c r="A1996" s="95" t="s">
        <v>6242</v>
      </c>
    </row>
    <row r="1997" spans="1:1" x14ac:dyDescent="0.35">
      <c r="A1997" s="95" t="s">
        <v>6242</v>
      </c>
    </row>
    <row r="1998" spans="1:1" x14ac:dyDescent="0.35">
      <c r="A1998" s="95" t="s">
        <v>6242</v>
      </c>
    </row>
    <row r="1999" spans="1:1" x14ac:dyDescent="0.35">
      <c r="A1999" s="95" t="s">
        <v>6242</v>
      </c>
    </row>
    <row r="2000" spans="1:1" x14ac:dyDescent="0.35">
      <c r="A2000" s="95" t="s">
        <v>6242</v>
      </c>
    </row>
    <row r="2001" spans="1:1" x14ac:dyDescent="0.35">
      <c r="A2001" s="95" t="s">
        <v>6242</v>
      </c>
    </row>
    <row r="2002" spans="1:1" x14ac:dyDescent="0.35">
      <c r="A2002" s="95" t="s">
        <v>6242</v>
      </c>
    </row>
    <row r="2003" spans="1:1" x14ac:dyDescent="0.35">
      <c r="A2003" s="95" t="s">
        <v>6242</v>
      </c>
    </row>
    <row r="2004" spans="1:1" x14ac:dyDescent="0.35">
      <c r="A2004" s="95" t="s">
        <v>6242</v>
      </c>
    </row>
    <row r="2005" spans="1:1" x14ac:dyDescent="0.35">
      <c r="A2005" s="95" t="s">
        <v>6242</v>
      </c>
    </row>
    <row r="2006" spans="1:1" x14ac:dyDescent="0.35">
      <c r="A2006" s="95" t="s">
        <v>6242</v>
      </c>
    </row>
    <row r="2007" spans="1:1" x14ac:dyDescent="0.35">
      <c r="A2007" s="95" t="s">
        <v>6242</v>
      </c>
    </row>
    <row r="2008" spans="1:1" x14ac:dyDescent="0.35">
      <c r="A2008" s="95" t="s">
        <v>6242</v>
      </c>
    </row>
    <row r="2009" spans="1:1" x14ac:dyDescent="0.35">
      <c r="A2009" s="95" t="s">
        <v>6242</v>
      </c>
    </row>
    <row r="2010" spans="1:1" x14ac:dyDescent="0.35">
      <c r="A2010" s="95" t="s">
        <v>6242</v>
      </c>
    </row>
    <row r="2011" spans="1:1" x14ac:dyDescent="0.35">
      <c r="A2011" s="95" t="s">
        <v>6242</v>
      </c>
    </row>
    <row r="2012" spans="1:1" x14ac:dyDescent="0.35">
      <c r="A2012" s="95" t="s">
        <v>6242</v>
      </c>
    </row>
    <row r="2013" spans="1:1" x14ac:dyDescent="0.35">
      <c r="A2013" s="95" t="s">
        <v>6242</v>
      </c>
    </row>
    <row r="2014" spans="1:1" x14ac:dyDescent="0.35">
      <c r="A2014" s="95" t="s">
        <v>6242</v>
      </c>
    </row>
    <row r="2015" spans="1:1" x14ac:dyDescent="0.35">
      <c r="A2015" s="95" t="s">
        <v>6242</v>
      </c>
    </row>
    <row r="2016" spans="1:1" x14ac:dyDescent="0.35">
      <c r="A2016" s="95" t="s">
        <v>6242</v>
      </c>
    </row>
    <row r="2017" spans="1:1" x14ac:dyDescent="0.35">
      <c r="A2017" s="95" t="s">
        <v>6242</v>
      </c>
    </row>
    <row r="2018" spans="1:1" x14ac:dyDescent="0.35">
      <c r="A2018" s="95" t="s">
        <v>6242</v>
      </c>
    </row>
    <row r="2019" spans="1:1" x14ac:dyDescent="0.35">
      <c r="A2019" s="95" t="s">
        <v>6242</v>
      </c>
    </row>
    <row r="2020" spans="1:1" x14ac:dyDescent="0.35">
      <c r="A2020" s="95" t="s">
        <v>6242</v>
      </c>
    </row>
    <row r="2021" spans="1:1" x14ac:dyDescent="0.35">
      <c r="A2021" s="95" t="s">
        <v>6242</v>
      </c>
    </row>
    <row r="2022" spans="1:1" x14ac:dyDescent="0.35">
      <c r="A2022" s="95" t="s">
        <v>6242</v>
      </c>
    </row>
    <row r="2023" spans="1:1" x14ac:dyDescent="0.35">
      <c r="A2023" s="95" t="s">
        <v>6242</v>
      </c>
    </row>
    <row r="2024" spans="1:1" x14ac:dyDescent="0.35">
      <c r="A2024" s="95" t="s">
        <v>6242</v>
      </c>
    </row>
    <row r="2025" spans="1:1" x14ac:dyDescent="0.35">
      <c r="A2025" s="95" t="s">
        <v>6242</v>
      </c>
    </row>
    <row r="2026" spans="1:1" x14ac:dyDescent="0.35">
      <c r="A2026" s="95" t="s">
        <v>6242</v>
      </c>
    </row>
    <row r="2027" spans="1:1" x14ac:dyDescent="0.35">
      <c r="A2027" s="95" t="s">
        <v>6242</v>
      </c>
    </row>
    <row r="2028" spans="1:1" x14ac:dyDescent="0.35">
      <c r="A2028" s="95" t="s">
        <v>6242</v>
      </c>
    </row>
    <row r="2029" spans="1:1" x14ac:dyDescent="0.35">
      <c r="A2029" s="95" t="s">
        <v>6242</v>
      </c>
    </row>
    <row r="2030" spans="1:1" x14ac:dyDescent="0.35">
      <c r="A2030" s="95" t="s">
        <v>6242</v>
      </c>
    </row>
    <row r="2031" spans="1:1" x14ac:dyDescent="0.35">
      <c r="A2031" s="95" t="s">
        <v>6242</v>
      </c>
    </row>
    <row r="2032" spans="1:1" x14ac:dyDescent="0.35">
      <c r="A2032" s="95" t="s">
        <v>6242</v>
      </c>
    </row>
    <row r="2033" spans="1:1" x14ac:dyDescent="0.35">
      <c r="A2033" s="95" t="s">
        <v>6242</v>
      </c>
    </row>
    <row r="2034" spans="1:1" x14ac:dyDescent="0.35">
      <c r="A2034" s="95" t="s">
        <v>6242</v>
      </c>
    </row>
    <row r="2035" spans="1:1" x14ac:dyDescent="0.35">
      <c r="A2035" s="95" t="s">
        <v>6242</v>
      </c>
    </row>
    <row r="2036" spans="1:1" x14ac:dyDescent="0.35">
      <c r="A2036" s="95" t="s">
        <v>6242</v>
      </c>
    </row>
    <row r="2037" spans="1:1" x14ac:dyDescent="0.35">
      <c r="A2037" s="95" t="s">
        <v>6242</v>
      </c>
    </row>
    <row r="2038" spans="1:1" x14ac:dyDescent="0.35">
      <c r="A2038" s="95" t="s">
        <v>6242</v>
      </c>
    </row>
    <row r="2039" spans="1:1" x14ac:dyDescent="0.35">
      <c r="A2039" s="95" t="s">
        <v>6242</v>
      </c>
    </row>
    <row r="2040" spans="1:1" x14ac:dyDescent="0.35">
      <c r="A2040" s="95" t="s">
        <v>6242</v>
      </c>
    </row>
    <row r="2041" spans="1:1" x14ac:dyDescent="0.35">
      <c r="A2041" s="95" t="s">
        <v>6242</v>
      </c>
    </row>
    <row r="2042" spans="1:1" x14ac:dyDescent="0.35">
      <c r="A2042" s="95" t="s">
        <v>6242</v>
      </c>
    </row>
    <row r="2043" spans="1:1" x14ac:dyDescent="0.35">
      <c r="A2043" s="95" t="s">
        <v>6242</v>
      </c>
    </row>
    <row r="2044" spans="1:1" x14ac:dyDescent="0.35">
      <c r="A2044" s="95" t="s">
        <v>6242</v>
      </c>
    </row>
    <row r="2045" spans="1:1" x14ac:dyDescent="0.35">
      <c r="A2045" s="95" t="s">
        <v>6242</v>
      </c>
    </row>
    <row r="2046" spans="1:1" x14ac:dyDescent="0.35">
      <c r="A2046" s="95" t="s">
        <v>6242</v>
      </c>
    </row>
    <row r="2047" spans="1:1" x14ac:dyDescent="0.35">
      <c r="A2047" s="95" t="s">
        <v>6242</v>
      </c>
    </row>
    <row r="2048" spans="1:1" x14ac:dyDescent="0.35">
      <c r="A2048" s="95" t="s">
        <v>6242</v>
      </c>
    </row>
    <row r="2049" spans="1:1" x14ac:dyDescent="0.35">
      <c r="A2049" s="95" t="s">
        <v>6242</v>
      </c>
    </row>
    <row r="2050" spans="1:1" x14ac:dyDescent="0.35">
      <c r="A2050" s="95" t="s">
        <v>6242</v>
      </c>
    </row>
    <row r="2051" spans="1:1" x14ac:dyDescent="0.35">
      <c r="A2051" s="95" t="s">
        <v>6242</v>
      </c>
    </row>
    <row r="2052" spans="1:1" x14ac:dyDescent="0.35">
      <c r="A2052" s="95" t="s">
        <v>6242</v>
      </c>
    </row>
    <row r="2053" spans="1:1" x14ac:dyDescent="0.35">
      <c r="A2053" s="95" t="s">
        <v>6242</v>
      </c>
    </row>
    <row r="2054" spans="1:1" x14ac:dyDescent="0.35">
      <c r="A2054" s="95" t="s">
        <v>6242</v>
      </c>
    </row>
    <row r="2055" spans="1:1" x14ac:dyDescent="0.35">
      <c r="A2055" s="95" t="s">
        <v>6242</v>
      </c>
    </row>
    <row r="2056" spans="1:1" x14ac:dyDescent="0.35">
      <c r="A2056" s="95" t="s">
        <v>6242</v>
      </c>
    </row>
    <row r="2057" spans="1:1" x14ac:dyDescent="0.35">
      <c r="A2057" s="95" t="s">
        <v>6242</v>
      </c>
    </row>
    <row r="2058" spans="1:1" x14ac:dyDescent="0.35">
      <c r="A2058" s="95" t="s">
        <v>6242</v>
      </c>
    </row>
    <row r="2059" spans="1:1" x14ac:dyDescent="0.35">
      <c r="A2059" s="95" t="s">
        <v>6242</v>
      </c>
    </row>
    <row r="2060" spans="1:1" x14ac:dyDescent="0.35">
      <c r="A2060" s="95" t="s">
        <v>6242</v>
      </c>
    </row>
    <row r="2061" spans="1:1" x14ac:dyDescent="0.35">
      <c r="A2061" s="95" t="s">
        <v>6242</v>
      </c>
    </row>
    <row r="2062" spans="1:1" x14ac:dyDescent="0.35">
      <c r="A2062" s="95" t="s">
        <v>6242</v>
      </c>
    </row>
    <row r="2063" spans="1:1" x14ac:dyDescent="0.35">
      <c r="A2063" s="95" t="s">
        <v>6242</v>
      </c>
    </row>
    <row r="2064" spans="1:1" x14ac:dyDescent="0.35">
      <c r="A2064" s="95" t="s">
        <v>6242</v>
      </c>
    </row>
    <row r="2065" spans="1:1" x14ac:dyDescent="0.35">
      <c r="A2065" s="95" t="s">
        <v>6242</v>
      </c>
    </row>
    <row r="2066" spans="1:1" x14ac:dyDescent="0.35">
      <c r="A2066" s="95" t="s">
        <v>6242</v>
      </c>
    </row>
    <row r="2067" spans="1:1" x14ac:dyDescent="0.35">
      <c r="A2067" s="95" t="s">
        <v>6242</v>
      </c>
    </row>
    <row r="2068" spans="1:1" x14ac:dyDescent="0.35">
      <c r="A2068" s="95" t="s">
        <v>6242</v>
      </c>
    </row>
    <row r="2069" spans="1:1" x14ac:dyDescent="0.35">
      <c r="A2069" s="95" t="s">
        <v>6242</v>
      </c>
    </row>
    <row r="2070" spans="1:1" x14ac:dyDescent="0.35">
      <c r="A2070" s="95" t="s">
        <v>6242</v>
      </c>
    </row>
    <row r="2071" spans="1:1" x14ac:dyDescent="0.35">
      <c r="A2071" s="95" t="s">
        <v>6242</v>
      </c>
    </row>
    <row r="2072" spans="1:1" x14ac:dyDescent="0.35">
      <c r="A2072" s="95" t="s">
        <v>6242</v>
      </c>
    </row>
    <row r="2073" spans="1:1" x14ac:dyDescent="0.35">
      <c r="A2073" s="95" t="s">
        <v>6242</v>
      </c>
    </row>
    <row r="2074" spans="1:1" x14ac:dyDescent="0.35">
      <c r="A2074" s="95" t="s">
        <v>6242</v>
      </c>
    </row>
    <row r="2075" spans="1:1" x14ac:dyDescent="0.35">
      <c r="A2075" s="95" t="s">
        <v>6242</v>
      </c>
    </row>
    <row r="2076" spans="1:1" x14ac:dyDescent="0.35">
      <c r="A2076" s="95" t="s">
        <v>6242</v>
      </c>
    </row>
    <row r="2077" spans="1:1" x14ac:dyDescent="0.35">
      <c r="A2077" s="95" t="s">
        <v>6242</v>
      </c>
    </row>
    <row r="2078" spans="1:1" x14ac:dyDescent="0.35">
      <c r="A2078" s="95" t="s">
        <v>6242</v>
      </c>
    </row>
    <row r="2079" spans="1:1" x14ac:dyDescent="0.35">
      <c r="A2079" s="95" t="s">
        <v>6242</v>
      </c>
    </row>
    <row r="2080" spans="1:1" x14ac:dyDescent="0.35">
      <c r="A2080" s="95" t="s">
        <v>6242</v>
      </c>
    </row>
    <row r="2081" spans="1:1" x14ac:dyDescent="0.35">
      <c r="A2081" s="95" t="s">
        <v>6242</v>
      </c>
    </row>
    <row r="2082" spans="1:1" x14ac:dyDescent="0.35">
      <c r="A2082" s="95" t="s">
        <v>6242</v>
      </c>
    </row>
    <row r="2083" spans="1:1" x14ac:dyDescent="0.35">
      <c r="A2083" s="95" t="s">
        <v>6242</v>
      </c>
    </row>
    <row r="2084" spans="1:1" x14ac:dyDescent="0.35">
      <c r="A2084" s="95" t="s">
        <v>6242</v>
      </c>
    </row>
    <row r="2085" spans="1:1" x14ac:dyDescent="0.35">
      <c r="A2085" s="95" t="s">
        <v>6242</v>
      </c>
    </row>
    <row r="2086" spans="1:1" x14ac:dyDescent="0.35">
      <c r="A2086" s="95" t="s">
        <v>6242</v>
      </c>
    </row>
    <row r="2087" spans="1:1" x14ac:dyDescent="0.35">
      <c r="A2087" s="95" t="s">
        <v>6242</v>
      </c>
    </row>
    <row r="2088" spans="1:1" x14ac:dyDescent="0.35">
      <c r="A2088" s="95" t="s">
        <v>6242</v>
      </c>
    </row>
    <row r="2089" spans="1:1" x14ac:dyDescent="0.35">
      <c r="A2089" s="95" t="s">
        <v>6242</v>
      </c>
    </row>
    <row r="2090" spans="1:1" x14ac:dyDescent="0.35">
      <c r="A2090" s="95" t="s">
        <v>6242</v>
      </c>
    </row>
    <row r="2091" spans="1:1" x14ac:dyDescent="0.35">
      <c r="A2091" s="95" t="s">
        <v>6242</v>
      </c>
    </row>
    <row r="2092" spans="1:1" x14ac:dyDescent="0.35">
      <c r="A2092" s="95" t="s">
        <v>6242</v>
      </c>
    </row>
    <row r="2093" spans="1:1" x14ac:dyDescent="0.35">
      <c r="A2093" s="95" t="s">
        <v>6242</v>
      </c>
    </row>
    <row r="2094" spans="1:1" x14ac:dyDescent="0.35">
      <c r="A2094" s="95" t="s">
        <v>6242</v>
      </c>
    </row>
    <row r="2095" spans="1:1" x14ac:dyDescent="0.35">
      <c r="A2095" s="95" t="s">
        <v>6242</v>
      </c>
    </row>
    <row r="2096" spans="1:1" x14ac:dyDescent="0.35">
      <c r="A2096" s="95" t="s">
        <v>6242</v>
      </c>
    </row>
    <row r="2097" spans="1:1" x14ac:dyDescent="0.35">
      <c r="A2097" s="95" t="s">
        <v>6242</v>
      </c>
    </row>
    <row r="2098" spans="1:1" x14ac:dyDescent="0.35">
      <c r="A2098" s="95" t="s">
        <v>6242</v>
      </c>
    </row>
    <row r="2099" spans="1:1" x14ac:dyDescent="0.35">
      <c r="A2099" s="95" t="s">
        <v>6242</v>
      </c>
    </row>
    <row r="2100" spans="1:1" x14ac:dyDescent="0.35">
      <c r="A2100" s="95" t="s">
        <v>6242</v>
      </c>
    </row>
    <row r="2101" spans="1:1" x14ac:dyDescent="0.35">
      <c r="A2101" s="95" t="s">
        <v>6242</v>
      </c>
    </row>
    <row r="2102" spans="1:1" x14ac:dyDescent="0.35">
      <c r="A2102" s="95" t="s">
        <v>6242</v>
      </c>
    </row>
    <row r="2103" spans="1:1" x14ac:dyDescent="0.35">
      <c r="A2103" s="95" t="s">
        <v>6242</v>
      </c>
    </row>
    <row r="2104" spans="1:1" x14ac:dyDescent="0.35">
      <c r="A2104" s="95" t="s">
        <v>6242</v>
      </c>
    </row>
    <row r="2105" spans="1:1" x14ac:dyDescent="0.35">
      <c r="A2105" s="95" t="s">
        <v>6242</v>
      </c>
    </row>
    <row r="2106" spans="1:1" x14ac:dyDescent="0.35">
      <c r="A2106" s="95" t="s">
        <v>6242</v>
      </c>
    </row>
    <row r="2107" spans="1:1" x14ac:dyDescent="0.35">
      <c r="A2107" s="95" t="s">
        <v>6242</v>
      </c>
    </row>
    <row r="2108" spans="1:1" x14ac:dyDescent="0.35">
      <c r="A2108" s="95" t="s">
        <v>6242</v>
      </c>
    </row>
    <row r="2109" spans="1:1" x14ac:dyDescent="0.35">
      <c r="A2109" s="95" t="s">
        <v>6242</v>
      </c>
    </row>
    <row r="2110" spans="1:1" x14ac:dyDescent="0.35">
      <c r="A2110" s="95" t="s">
        <v>6242</v>
      </c>
    </row>
    <row r="2111" spans="1:1" x14ac:dyDescent="0.35">
      <c r="A2111" s="95" t="s">
        <v>6242</v>
      </c>
    </row>
    <row r="2112" spans="1:1" x14ac:dyDescent="0.35">
      <c r="A2112" s="95" t="s">
        <v>6242</v>
      </c>
    </row>
    <row r="2113" spans="1:1" x14ac:dyDescent="0.35">
      <c r="A2113" s="95" t="s">
        <v>6242</v>
      </c>
    </row>
    <row r="2114" spans="1:1" x14ac:dyDescent="0.35">
      <c r="A2114" s="95" t="s">
        <v>6242</v>
      </c>
    </row>
    <row r="2115" spans="1:1" x14ac:dyDescent="0.35">
      <c r="A2115" s="95" t="s">
        <v>6242</v>
      </c>
    </row>
    <row r="2116" spans="1:1" x14ac:dyDescent="0.35">
      <c r="A2116" s="95" t="s">
        <v>6242</v>
      </c>
    </row>
    <row r="2117" spans="1:1" x14ac:dyDescent="0.35">
      <c r="A2117" s="95" t="s">
        <v>6242</v>
      </c>
    </row>
    <row r="2118" spans="1:1" x14ac:dyDescent="0.35">
      <c r="A2118" s="95" t="s">
        <v>6242</v>
      </c>
    </row>
    <row r="2119" spans="1:1" x14ac:dyDescent="0.35">
      <c r="A2119" s="95" t="s">
        <v>6242</v>
      </c>
    </row>
    <row r="2120" spans="1:1" x14ac:dyDescent="0.35">
      <c r="A2120" s="95" t="s">
        <v>6242</v>
      </c>
    </row>
    <row r="2121" spans="1:1" x14ac:dyDescent="0.35">
      <c r="A2121" s="95" t="s">
        <v>6242</v>
      </c>
    </row>
    <row r="2122" spans="1:1" x14ac:dyDescent="0.35">
      <c r="A2122" s="95" t="s">
        <v>6242</v>
      </c>
    </row>
    <row r="2123" spans="1:1" x14ac:dyDescent="0.35">
      <c r="A2123" s="95" t="s">
        <v>6242</v>
      </c>
    </row>
    <row r="2124" spans="1:1" x14ac:dyDescent="0.35">
      <c r="A2124" s="95" t="s">
        <v>6242</v>
      </c>
    </row>
    <row r="2125" spans="1:1" x14ac:dyDescent="0.35">
      <c r="A2125" s="95" t="s">
        <v>6242</v>
      </c>
    </row>
    <row r="2126" spans="1:1" x14ac:dyDescent="0.35">
      <c r="A2126" s="95" t="s">
        <v>6242</v>
      </c>
    </row>
    <row r="2127" spans="1:1" x14ac:dyDescent="0.35">
      <c r="A2127" s="95" t="s">
        <v>6242</v>
      </c>
    </row>
    <row r="2128" spans="1:1" x14ac:dyDescent="0.35">
      <c r="A2128" s="95" t="s">
        <v>6242</v>
      </c>
    </row>
    <row r="2129" spans="1:1" x14ac:dyDescent="0.35">
      <c r="A2129" s="95" t="s">
        <v>6242</v>
      </c>
    </row>
    <row r="2130" spans="1:1" x14ac:dyDescent="0.35">
      <c r="A2130" s="95" t="s">
        <v>6242</v>
      </c>
    </row>
    <row r="2131" spans="1:1" x14ac:dyDescent="0.35">
      <c r="A2131" s="95" t="s">
        <v>6242</v>
      </c>
    </row>
    <row r="2132" spans="1:1" x14ac:dyDescent="0.35">
      <c r="A2132" s="95" t="s">
        <v>6242</v>
      </c>
    </row>
    <row r="2133" spans="1:1" x14ac:dyDescent="0.35">
      <c r="A2133" s="95" t="s">
        <v>6242</v>
      </c>
    </row>
    <row r="2134" spans="1:1" x14ac:dyDescent="0.35">
      <c r="A2134" s="95" t="s">
        <v>6242</v>
      </c>
    </row>
    <row r="2135" spans="1:1" x14ac:dyDescent="0.35">
      <c r="A2135" s="95" t="s">
        <v>6242</v>
      </c>
    </row>
    <row r="2136" spans="1:1" x14ac:dyDescent="0.35">
      <c r="A2136" s="95" t="s">
        <v>6242</v>
      </c>
    </row>
    <row r="2137" spans="1:1" x14ac:dyDescent="0.35">
      <c r="A2137" s="95" t="s">
        <v>6242</v>
      </c>
    </row>
    <row r="2138" spans="1:1" x14ac:dyDescent="0.35">
      <c r="A2138" s="95" t="s">
        <v>6242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3FBE0-9A23-44A9-9FE0-77ACAB825F93}">
  <sheetPr codeName="Sheet7"/>
  <dimension ref="A1:BL1039578"/>
  <sheetViews>
    <sheetView showGridLines="0" zoomScale="99" zoomScaleNormal="99" workbookViewId="0">
      <pane xSplit="1" ySplit="5" topLeftCell="BD6" activePane="bottomRight" state="frozen"/>
      <selection pane="topRight" activeCell="B1" sqref="B1"/>
      <selection pane="bottomLeft" activeCell="A6" sqref="A6"/>
      <selection pane="bottomRight" activeCell="BH11" sqref="BH11"/>
    </sheetView>
  </sheetViews>
  <sheetFormatPr defaultColWidth="8.453125" defaultRowHeight="14.5" x14ac:dyDescent="0.35"/>
  <cols>
    <col min="1" max="1" width="26.90625" style="40" customWidth="1"/>
    <col min="2" max="2" width="26.54296875" style="39" customWidth="1"/>
    <col min="3" max="3" width="11.7265625" style="39" customWidth="1"/>
    <col min="4" max="4" width="9.81640625" style="39" customWidth="1"/>
    <col min="5" max="5" width="11" style="39" customWidth="1"/>
    <col min="6" max="6" width="10.90625" style="39" customWidth="1"/>
    <col min="7" max="7" width="16.453125" style="39" customWidth="1"/>
    <col min="8" max="8" width="17.54296875" style="39" customWidth="1"/>
    <col min="9" max="9" width="21.36328125" style="39" customWidth="1"/>
    <col min="10" max="10" width="24.7265625" style="39" customWidth="1"/>
    <col min="11" max="11" width="25.453125" style="40" customWidth="1"/>
    <col min="12" max="12" width="9.453125" style="39" customWidth="1"/>
    <col min="13" max="13" width="10.08984375" style="39" customWidth="1"/>
    <col min="14" max="16" width="13" style="39" customWidth="1"/>
    <col min="17" max="17" width="19.08984375" style="39" customWidth="1"/>
    <col min="18" max="18" width="13.6328125" style="39" customWidth="1"/>
    <col min="19" max="19" width="6.26953125" style="39" customWidth="1"/>
    <col min="20" max="20" width="5.6328125" style="39" customWidth="1"/>
    <col min="21" max="21" width="6.453125" style="39" customWidth="1"/>
    <col min="22" max="22" width="5" style="39" customWidth="1"/>
    <col min="23" max="23" width="6.6328125" style="39" customWidth="1"/>
    <col min="24" max="24" width="7.6328125" style="39" customWidth="1"/>
    <col min="25" max="25" width="5.90625" style="39" customWidth="1"/>
    <col min="26" max="26" width="6.08984375" style="39" customWidth="1"/>
    <col min="27" max="28" width="7.08984375" style="39" customWidth="1"/>
    <col min="29" max="29" width="7.1796875" style="39" customWidth="1"/>
    <col min="30" max="30" width="8.08984375" style="39" customWidth="1"/>
    <col min="31" max="31" width="14.90625" style="39" customWidth="1"/>
    <col min="32" max="32" width="8.1796875" style="39" customWidth="1"/>
    <col min="33" max="33" width="4.453125" style="39" customWidth="1"/>
    <col min="34" max="34" width="13.54296875" style="39" customWidth="1"/>
    <col min="35" max="35" width="5.08984375" style="39" customWidth="1"/>
    <col min="36" max="36" width="7.08984375" style="39" customWidth="1"/>
    <col min="37" max="37" width="22.6328125" style="39" customWidth="1"/>
    <col min="38" max="38" width="9.453125" style="39" customWidth="1"/>
    <col min="39" max="40" width="18.1796875" style="39" customWidth="1"/>
    <col min="41" max="41" width="12.453125" style="41" customWidth="1"/>
    <col min="42" max="42" width="14" style="39" customWidth="1"/>
    <col min="43" max="43" width="13.453125" style="39" customWidth="1"/>
    <col min="44" max="45" width="15.08984375" style="39" customWidth="1"/>
    <col min="46" max="56" width="15.6328125" style="39" customWidth="1"/>
    <col min="57" max="60" width="8.453125" style="39"/>
    <col min="61" max="62" width="15.1796875" style="39" customWidth="1"/>
    <col min="63" max="63" width="30.1796875" style="39" customWidth="1"/>
    <col min="64" max="64" width="28.08984375" customWidth="1"/>
  </cols>
  <sheetData>
    <row r="1" spans="1:64" ht="59.5" customHeight="1" x14ac:dyDescent="0.35">
      <c r="A1" s="1"/>
      <c r="B1"/>
      <c r="C1"/>
      <c r="D1"/>
      <c r="E1"/>
      <c r="F1"/>
      <c r="G1"/>
      <c r="H1"/>
      <c r="I1"/>
      <c r="J1"/>
      <c r="K1" s="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 s="7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4" s="34" customFormat="1" ht="26" customHeight="1" x14ac:dyDescent="0.35">
      <c r="A2" s="33"/>
      <c r="C2" s="35"/>
      <c r="D2" s="103"/>
      <c r="E2" s="103"/>
      <c r="F2" s="103"/>
      <c r="G2" s="103"/>
      <c r="H2" s="103"/>
      <c r="I2" s="103"/>
      <c r="J2" s="103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  <c r="BC2" s="104"/>
      <c r="BD2" s="104"/>
      <c r="BE2" s="104"/>
      <c r="BF2" s="104"/>
      <c r="BG2" s="104"/>
      <c r="BH2" s="104"/>
      <c r="BI2" s="104"/>
      <c r="BJ2" s="104"/>
      <c r="BK2" s="104"/>
    </row>
    <row r="3" spans="1:64" ht="13.75" customHeight="1" x14ac:dyDescent="0.35">
      <c r="A3" s="1"/>
      <c r="B3"/>
      <c r="C3"/>
      <c r="D3" s="114" t="s">
        <v>4544</v>
      </c>
      <c r="E3" s="115"/>
      <c r="F3" s="115"/>
      <c r="G3" s="115"/>
      <c r="H3" s="115"/>
      <c r="I3" s="115"/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15"/>
      <c r="X3" s="115"/>
      <c r="Y3" s="115"/>
      <c r="Z3" s="115"/>
      <c r="AA3" s="115"/>
      <c r="AB3" s="115"/>
      <c r="AC3" s="115"/>
      <c r="AD3" s="115"/>
      <c r="AE3" s="115"/>
      <c r="AF3" s="115"/>
      <c r="AG3" s="115"/>
      <c r="AH3" s="115"/>
      <c r="AI3" s="115"/>
      <c r="AJ3" s="115"/>
      <c r="AK3" s="115"/>
      <c r="AL3" s="115"/>
      <c r="AM3" s="115"/>
      <c r="AN3" s="115"/>
      <c r="AO3" s="116"/>
      <c r="AP3" s="117" t="s">
        <v>0</v>
      </c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9"/>
    </row>
    <row r="4" spans="1:64" ht="13.75" customHeight="1" thickBot="1" x14ac:dyDescent="0.4">
      <c r="A4" s="36"/>
      <c r="B4" s="1"/>
      <c r="C4"/>
      <c r="D4" s="37"/>
      <c r="E4" s="120" t="s">
        <v>1</v>
      </c>
      <c r="F4" s="121"/>
      <c r="G4" s="121"/>
      <c r="H4" s="121"/>
      <c r="I4" s="122"/>
      <c r="J4" s="120" t="s">
        <v>2</v>
      </c>
      <c r="K4" s="122"/>
      <c r="L4" s="120" t="s">
        <v>3</v>
      </c>
      <c r="M4" s="122"/>
      <c r="N4" s="36" t="s">
        <v>4</v>
      </c>
      <c r="O4" s="120" t="s">
        <v>5</v>
      </c>
      <c r="P4" s="121"/>
      <c r="Q4" s="121"/>
      <c r="R4" s="122"/>
      <c r="S4" s="120" t="s">
        <v>6</v>
      </c>
      <c r="T4" s="121"/>
      <c r="U4" s="121"/>
      <c r="V4" s="121"/>
      <c r="W4" s="121"/>
      <c r="X4" s="121"/>
      <c r="Y4" s="121"/>
      <c r="Z4" s="121"/>
      <c r="AA4" s="121"/>
      <c r="AB4" s="121"/>
      <c r="AC4" s="121"/>
      <c r="AD4" s="122"/>
      <c r="AE4" s="120" t="s">
        <v>7</v>
      </c>
      <c r="AF4" s="121"/>
      <c r="AG4" s="121"/>
      <c r="AH4" s="121"/>
      <c r="AI4" s="121"/>
      <c r="AJ4" s="121"/>
      <c r="AK4" s="121"/>
      <c r="AL4" s="121"/>
      <c r="AM4" s="121"/>
      <c r="AN4" s="121"/>
      <c r="AO4" s="122"/>
      <c r="AP4" s="36"/>
      <c r="AQ4" s="36"/>
      <c r="AR4" s="36"/>
      <c r="AS4" s="37" t="s">
        <v>15</v>
      </c>
      <c r="AT4" s="37" t="s">
        <v>16</v>
      </c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</row>
    <row r="5" spans="1:64" ht="16" thickBot="1" x14ac:dyDescent="0.4">
      <c r="A5" s="38" t="s">
        <v>4359</v>
      </c>
      <c r="B5" s="50" t="s">
        <v>4623</v>
      </c>
      <c r="C5" s="51" t="s">
        <v>4566</v>
      </c>
      <c r="D5" s="51" t="s">
        <v>4567</v>
      </c>
      <c r="E5" s="51" t="s">
        <v>4568</v>
      </c>
      <c r="F5" s="51" t="s">
        <v>4569</v>
      </c>
      <c r="G5" s="51" t="s">
        <v>4570</v>
      </c>
      <c r="H5" s="51" t="s">
        <v>4571</v>
      </c>
      <c r="I5" s="51" t="s">
        <v>4994</v>
      </c>
      <c r="J5" s="52" t="s">
        <v>4572</v>
      </c>
      <c r="K5" s="51" t="s">
        <v>4573</v>
      </c>
      <c r="L5" s="51" t="s">
        <v>4574</v>
      </c>
      <c r="M5" s="51" t="s">
        <v>4575</v>
      </c>
      <c r="N5" s="51" t="s">
        <v>4576</v>
      </c>
      <c r="O5" s="51" t="s">
        <v>4577</v>
      </c>
      <c r="P5" s="51" t="s">
        <v>4578</v>
      </c>
      <c r="Q5" s="51" t="s">
        <v>5897</v>
      </c>
      <c r="R5" s="51" t="s">
        <v>4579</v>
      </c>
      <c r="S5" s="51" t="s">
        <v>4580</v>
      </c>
      <c r="T5" s="51" t="s">
        <v>4581</v>
      </c>
      <c r="U5" s="51" t="s">
        <v>4582</v>
      </c>
      <c r="V5" s="51" t="s">
        <v>4583</v>
      </c>
      <c r="W5" s="51" t="s">
        <v>4584</v>
      </c>
      <c r="X5" s="51" t="s">
        <v>4585</v>
      </c>
      <c r="Y5" s="51" t="s">
        <v>4586</v>
      </c>
      <c r="Z5" s="51" t="s">
        <v>4587</v>
      </c>
      <c r="AA5" s="51" t="s">
        <v>4588</v>
      </c>
      <c r="AB5" s="51" t="s">
        <v>4589</v>
      </c>
      <c r="AC5" s="51" t="s">
        <v>4590</v>
      </c>
      <c r="AD5" s="51" t="s">
        <v>4591</v>
      </c>
      <c r="AE5" s="51" t="s">
        <v>4592</v>
      </c>
      <c r="AF5" s="51" t="s">
        <v>4593</v>
      </c>
      <c r="AG5" s="51" t="s">
        <v>4594</v>
      </c>
      <c r="AH5" s="51" t="s">
        <v>4595</v>
      </c>
      <c r="AI5" s="51" t="s">
        <v>4596</v>
      </c>
      <c r="AJ5" s="51" t="s">
        <v>4597</v>
      </c>
      <c r="AK5" s="51" t="s">
        <v>4598</v>
      </c>
      <c r="AL5" s="51" t="s">
        <v>4599</v>
      </c>
      <c r="AM5" s="51" t="s">
        <v>4600</v>
      </c>
      <c r="AN5" s="51" t="s">
        <v>4601</v>
      </c>
      <c r="AO5" s="53" t="s">
        <v>4545</v>
      </c>
      <c r="AP5" s="53" t="s">
        <v>4546</v>
      </c>
      <c r="AQ5" s="53" t="s">
        <v>4547</v>
      </c>
      <c r="AR5" s="53" t="s">
        <v>4548</v>
      </c>
      <c r="AS5" s="53" t="s">
        <v>4549</v>
      </c>
      <c r="AT5" s="53" t="s">
        <v>5896</v>
      </c>
      <c r="AU5" s="53" t="s">
        <v>4550</v>
      </c>
      <c r="AV5" s="53" t="s">
        <v>4551</v>
      </c>
      <c r="AW5" s="53" t="s">
        <v>4552</v>
      </c>
      <c r="AX5" s="53" t="s">
        <v>4553</v>
      </c>
      <c r="AY5" s="53" t="s">
        <v>4554</v>
      </c>
      <c r="AZ5" s="53" t="s">
        <v>4555</v>
      </c>
      <c r="BA5" s="53" t="s">
        <v>4556</v>
      </c>
      <c r="BB5" s="53" t="s">
        <v>4557</v>
      </c>
      <c r="BC5" s="53" t="s">
        <v>8</v>
      </c>
      <c r="BD5" s="53" t="s">
        <v>9</v>
      </c>
      <c r="BE5" s="53" t="s">
        <v>10</v>
      </c>
      <c r="BF5" s="53" t="s">
        <v>11</v>
      </c>
      <c r="BG5" s="53" t="s">
        <v>4558</v>
      </c>
      <c r="BH5" s="53" t="s">
        <v>4559</v>
      </c>
      <c r="BI5" s="53" t="s">
        <v>4560</v>
      </c>
      <c r="BJ5" s="53" t="s">
        <v>4561</v>
      </c>
      <c r="BK5" s="54" t="s">
        <v>12</v>
      </c>
      <c r="BL5" s="50" t="s">
        <v>13</v>
      </c>
    </row>
    <row r="6" spans="1:64" x14ac:dyDescent="0.35">
      <c r="A6" s="47" t="s">
        <v>508</v>
      </c>
      <c r="B6" s="39" t="str">
        <f>IFERROR(INDEX(added_new_stocks!$F$6:$H$2155,MATCH($A6,added_new_stocks!$F$6:$F$2600,0),3),"")</f>
        <v>Large</v>
      </c>
      <c r="C6" s="48">
        <v>31620.05</v>
      </c>
      <c r="D6" s="39">
        <v>71</v>
      </c>
      <c r="G6" s="39" t="s">
        <v>129</v>
      </c>
      <c r="H6" s="39" t="s">
        <v>6606</v>
      </c>
      <c r="I6" s="39" t="s">
        <v>4624</v>
      </c>
      <c r="J6" s="39" t="s">
        <v>6607</v>
      </c>
      <c r="K6" s="39" t="s">
        <v>133</v>
      </c>
      <c r="L6" s="39" t="s">
        <v>6608</v>
      </c>
      <c r="M6" s="39" t="s">
        <v>4959</v>
      </c>
      <c r="N6" s="39">
        <v>18</v>
      </c>
      <c r="O6" s="41">
        <v>-1</v>
      </c>
      <c r="P6" s="41">
        <v>17</v>
      </c>
      <c r="Q6" s="41" t="s">
        <v>14</v>
      </c>
      <c r="R6" s="41">
        <v>0.13</v>
      </c>
      <c r="S6" s="41">
        <v>4.47</v>
      </c>
      <c r="T6" s="41">
        <v>13.6</v>
      </c>
      <c r="U6" s="41">
        <v>26.93</v>
      </c>
      <c r="V6" s="41">
        <v>35.39</v>
      </c>
      <c r="W6" s="41">
        <v>44.09</v>
      </c>
      <c r="X6" s="41">
        <v>35.81</v>
      </c>
      <c r="Y6" s="41">
        <v>37.67</v>
      </c>
      <c r="Z6" s="41">
        <v>51.4</v>
      </c>
      <c r="AA6" s="41">
        <v>56.18</v>
      </c>
      <c r="AB6" s="41">
        <v>21.37</v>
      </c>
      <c r="AC6" s="41">
        <v>966.1</v>
      </c>
      <c r="AD6" s="41" t="s">
        <v>4606</v>
      </c>
      <c r="AE6" s="39" t="s">
        <v>134</v>
      </c>
      <c r="AF6" s="39">
        <v>22</v>
      </c>
      <c r="AG6" s="42">
        <v>7.2499999999999995E-2</v>
      </c>
      <c r="AH6" s="42">
        <v>141</v>
      </c>
      <c r="AI6" s="42">
        <v>3.6400000000000002E-2</v>
      </c>
      <c r="AJ6" s="43" t="s">
        <v>6609</v>
      </c>
      <c r="AK6" s="43">
        <v>0.75</v>
      </c>
      <c r="AL6" s="42" t="s">
        <v>6610</v>
      </c>
      <c r="AM6" s="42">
        <v>2.4899999999999999E-2</v>
      </c>
      <c r="AN6" s="42">
        <v>9.4600000000000004E-2</v>
      </c>
      <c r="AO6" s="41">
        <v>75</v>
      </c>
      <c r="AP6" s="44">
        <v>13</v>
      </c>
      <c r="AQ6" s="44">
        <v>69</v>
      </c>
      <c r="AR6" s="44">
        <v>35200</v>
      </c>
      <c r="AS6" s="44">
        <v>16</v>
      </c>
      <c r="AT6" s="45" t="s">
        <v>4633</v>
      </c>
      <c r="AU6" s="39">
        <v>1</v>
      </c>
      <c r="AV6" s="39" t="s">
        <v>6243</v>
      </c>
      <c r="AW6" s="39">
        <v>30707.42</v>
      </c>
      <c r="AX6" s="41">
        <v>31059.78</v>
      </c>
      <c r="AY6" s="41">
        <v>31397.32</v>
      </c>
      <c r="AZ6" s="41">
        <v>30017.52</v>
      </c>
      <c r="BA6" s="41">
        <v>29679.98</v>
      </c>
      <c r="BB6" s="41">
        <v>29327.62</v>
      </c>
      <c r="BC6" s="41">
        <v>15</v>
      </c>
      <c r="BD6" s="41">
        <v>2</v>
      </c>
      <c r="BE6" s="41">
        <v>3</v>
      </c>
      <c r="BF6" s="41" t="s">
        <v>130</v>
      </c>
      <c r="BG6" s="41">
        <v>3840.7</v>
      </c>
      <c r="BH6" s="41">
        <v>0.1</v>
      </c>
      <c r="BI6" s="41" t="s">
        <v>4639</v>
      </c>
      <c r="BJ6" s="39" t="s">
        <v>132</v>
      </c>
    </row>
    <row r="7" spans="1:64" x14ac:dyDescent="0.35">
      <c r="A7" s="47" t="s">
        <v>1407</v>
      </c>
      <c r="B7" s="39" t="str">
        <f>IFERROR(INDEX(added_new_stocks!$F$6:$H$2155,MATCH($A7,added_new_stocks!$F$6:$F$2600,0),3),"")</f>
        <v>Small</v>
      </c>
      <c r="C7" s="48">
        <v>412.5</v>
      </c>
      <c r="D7" s="48">
        <v>65</v>
      </c>
      <c r="G7" s="39" t="s">
        <v>4562</v>
      </c>
      <c r="H7" s="39" t="s">
        <v>6611</v>
      </c>
      <c r="I7" s="39" t="s">
        <v>4989</v>
      </c>
      <c r="J7" s="39" t="s">
        <v>6612</v>
      </c>
      <c r="K7" s="39" t="s">
        <v>133</v>
      </c>
      <c r="L7" s="39" t="s">
        <v>4998</v>
      </c>
      <c r="M7" s="39" t="s">
        <v>5047</v>
      </c>
      <c r="N7" s="39">
        <v>1</v>
      </c>
      <c r="O7" s="41">
        <v>-1</v>
      </c>
      <c r="P7" s="41">
        <v>0</v>
      </c>
      <c r="Q7" s="41" t="s">
        <v>4611</v>
      </c>
      <c r="R7" s="41">
        <v>1.64</v>
      </c>
      <c r="S7" s="41">
        <v>5.61</v>
      </c>
      <c r="T7" s="41">
        <v>18.309999999999999</v>
      </c>
      <c r="U7" s="41">
        <v>18.13</v>
      </c>
      <c r="V7" s="41">
        <v>38.33</v>
      </c>
      <c r="W7" s="41" t="s">
        <v>4538</v>
      </c>
      <c r="X7" s="41" t="s">
        <v>4538</v>
      </c>
      <c r="Y7" s="41" t="s">
        <v>4538</v>
      </c>
      <c r="Z7" s="41" t="s">
        <v>4538</v>
      </c>
      <c r="AA7" s="41" t="s">
        <v>4538</v>
      </c>
      <c r="AB7" s="41" t="s">
        <v>4538</v>
      </c>
      <c r="AC7" s="41" t="s">
        <v>4538</v>
      </c>
      <c r="AD7" s="41" t="s">
        <v>4606</v>
      </c>
      <c r="AE7" s="39" t="s">
        <v>134</v>
      </c>
      <c r="AF7" s="39">
        <v>5</v>
      </c>
      <c r="AG7" s="42">
        <v>2.7199999999999998E-2</v>
      </c>
      <c r="AH7" s="71">
        <v>113</v>
      </c>
      <c r="AI7" s="42">
        <v>7.4300000000000005E-2</v>
      </c>
      <c r="AJ7" s="42" t="s">
        <v>6613</v>
      </c>
      <c r="AK7" s="42">
        <v>4.2299999999999997E-2</v>
      </c>
      <c r="AL7" s="42" t="s">
        <v>136</v>
      </c>
      <c r="AM7" s="42">
        <v>6.8000000000000005E-2</v>
      </c>
      <c r="AN7" s="42">
        <v>0.30230000000000001</v>
      </c>
      <c r="AO7" s="41" t="s">
        <v>130</v>
      </c>
      <c r="AP7" s="44">
        <v>8</v>
      </c>
      <c r="AQ7" s="44">
        <v>43</v>
      </c>
      <c r="AR7" s="44"/>
      <c r="AS7" s="44" t="s">
        <v>4564</v>
      </c>
      <c r="AT7" s="45"/>
      <c r="AW7" s="39">
        <v>396.95</v>
      </c>
      <c r="AX7" s="41">
        <v>403.9</v>
      </c>
      <c r="AY7" s="41">
        <v>411.8</v>
      </c>
      <c r="AZ7" s="41">
        <v>382.1</v>
      </c>
      <c r="BA7" s="41">
        <v>374.2</v>
      </c>
      <c r="BB7" s="41">
        <v>367.25</v>
      </c>
      <c r="BC7" s="41">
        <v>-0.83</v>
      </c>
      <c r="BD7" s="41">
        <v>234.8</v>
      </c>
      <c r="BE7" s="41">
        <v>425</v>
      </c>
      <c r="BF7" s="41"/>
      <c r="BG7" s="41">
        <v>-0.26</v>
      </c>
      <c r="BH7" s="41"/>
      <c r="BI7" s="41" t="s">
        <v>4695</v>
      </c>
      <c r="BJ7" s="39" t="s">
        <v>132</v>
      </c>
      <c r="BL7" s="21"/>
    </row>
    <row r="8" spans="1:64" x14ac:dyDescent="0.35">
      <c r="A8" s="47" t="s">
        <v>713</v>
      </c>
      <c r="B8" s="39" t="str">
        <f>IFERROR(INDEX(added_new_stocks!$F$6:$H$2155,MATCH($A8,added_new_stocks!$F$6:$F$2600,0),3),"")</f>
        <v>Mid</v>
      </c>
      <c r="C8" s="48">
        <v>1588.4</v>
      </c>
      <c r="D8" s="39">
        <v>37</v>
      </c>
      <c r="G8" s="39" t="s">
        <v>4625</v>
      </c>
      <c r="H8" s="39" t="s">
        <v>6614</v>
      </c>
      <c r="I8" s="39" t="s">
        <v>4976</v>
      </c>
      <c r="J8" s="39" t="s">
        <v>6615</v>
      </c>
      <c r="K8" s="39" t="s">
        <v>4615</v>
      </c>
      <c r="L8" s="39" t="s">
        <v>6616</v>
      </c>
      <c r="M8" s="39" t="s">
        <v>4620</v>
      </c>
      <c r="N8" s="39">
        <v>8</v>
      </c>
      <c r="O8" s="41">
        <v>-4</v>
      </c>
      <c r="P8" s="41">
        <v>4</v>
      </c>
      <c r="Q8" s="41" t="s">
        <v>4611</v>
      </c>
      <c r="R8" s="41">
        <v>-0.8</v>
      </c>
      <c r="S8" s="41">
        <v>0.14000000000000001</v>
      </c>
      <c r="T8" s="41">
        <v>-1.19</v>
      </c>
      <c r="U8" s="41">
        <v>14.12</v>
      </c>
      <c r="V8" s="41">
        <v>-13.58</v>
      </c>
      <c r="W8" s="41">
        <v>-13.93</v>
      </c>
      <c r="X8" s="41">
        <v>-30.23</v>
      </c>
      <c r="Y8" s="41">
        <v>-35.56</v>
      </c>
      <c r="Z8" s="41">
        <v>4.25</v>
      </c>
      <c r="AA8" s="41">
        <v>6.58</v>
      </c>
      <c r="AB8" s="41" t="s">
        <v>4538</v>
      </c>
      <c r="AC8" s="41" t="s">
        <v>4538</v>
      </c>
      <c r="AD8" s="41" t="s">
        <v>4606</v>
      </c>
      <c r="AE8" s="39" t="s">
        <v>134</v>
      </c>
      <c r="AF8" s="39">
        <v>18</v>
      </c>
      <c r="AG8" s="42">
        <v>0.1104</v>
      </c>
      <c r="AH8" s="71">
        <v>181</v>
      </c>
      <c r="AI8" s="42">
        <v>0.34960000000000002</v>
      </c>
      <c r="AJ8" s="42" t="s">
        <v>6617</v>
      </c>
      <c r="AK8" s="42">
        <v>0.23</v>
      </c>
      <c r="AL8" s="42" t="s">
        <v>4622</v>
      </c>
      <c r="AM8" s="42">
        <v>3.0599999999999999E-2</v>
      </c>
      <c r="AN8" s="42">
        <v>9.1300000000000006E-2</v>
      </c>
      <c r="AO8" s="41">
        <v>40</v>
      </c>
      <c r="AP8" s="44">
        <v>24</v>
      </c>
      <c r="AQ8" s="44">
        <v>43</v>
      </c>
      <c r="AR8" s="44">
        <v>1688</v>
      </c>
      <c r="AS8" s="44">
        <v>6</v>
      </c>
      <c r="AT8" s="45" t="s">
        <v>4562</v>
      </c>
      <c r="AU8" s="39">
        <v>14</v>
      </c>
      <c r="AV8" s="39" t="s">
        <v>6244</v>
      </c>
      <c r="AW8" s="39">
        <v>1609.05</v>
      </c>
      <c r="AX8" s="41">
        <v>1626.85</v>
      </c>
      <c r="AY8" s="41">
        <v>1644.7</v>
      </c>
      <c r="AZ8" s="41">
        <v>1573.4</v>
      </c>
      <c r="BA8" s="41">
        <v>1555.55</v>
      </c>
      <c r="BB8" s="41">
        <v>1537.75</v>
      </c>
      <c r="BC8" s="41">
        <v>9</v>
      </c>
      <c r="BD8" s="41">
        <v>3</v>
      </c>
      <c r="BE8" s="41">
        <v>4</v>
      </c>
      <c r="BF8" s="41" t="s">
        <v>130</v>
      </c>
      <c r="BG8" s="41">
        <v>728</v>
      </c>
      <c r="BH8" s="41">
        <v>0.5</v>
      </c>
      <c r="BI8" s="41" t="s">
        <v>4651</v>
      </c>
      <c r="BJ8" s="39" t="s">
        <v>132</v>
      </c>
      <c r="BL8" s="21"/>
    </row>
    <row r="9" spans="1:64" x14ac:dyDescent="0.35">
      <c r="A9" s="39" t="s">
        <v>304</v>
      </c>
      <c r="B9" s="39" t="str">
        <f>IFERROR(INDEX(added_new_stocks!$F$6:$H$2155,MATCH($A9,added_new_stocks!$F$6:$F$2600,0),3),"")</f>
        <v>Large</v>
      </c>
      <c r="C9" s="48">
        <v>4327</v>
      </c>
      <c r="D9" s="48">
        <v>70</v>
      </c>
      <c r="E9" s="39" t="s">
        <v>4987</v>
      </c>
      <c r="F9" s="39" t="s">
        <v>6618</v>
      </c>
      <c r="G9" s="47" t="s">
        <v>129</v>
      </c>
      <c r="H9" s="39" t="s">
        <v>6619</v>
      </c>
      <c r="I9" s="39" t="s">
        <v>4989</v>
      </c>
      <c r="J9" s="39" t="s">
        <v>6620</v>
      </c>
      <c r="K9" s="47" t="s">
        <v>133</v>
      </c>
      <c r="L9" s="39" t="s">
        <v>6621</v>
      </c>
      <c r="M9" s="47" t="s">
        <v>4959</v>
      </c>
      <c r="N9" s="39">
        <v>23</v>
      </c>
      <c r="O9" s="41">
        <v>-1</v>
      </c>
      <c r="P9" s="41">
        <v>22</v>
      </c>
      <c r="Q9" s="70" t="s">
        <v>5060</v>
      </c>
      <c r="R9" s="41">
        <v>0.22</v>
      </c>
      <c r="S9" s="41">
        <v>0.57999999999999996</v>
      </c>
      <c r="T9" s="41">
        <v>-4.2</v>
      </c>
      <c r="U9" s="41">
        <v>7.61</v>
      </c>
      <c r="V9" s="41">
        <v>30.26</v>
      </c>
      <c r="W9" s="41">
        <v>61.27</v>
      </c>
      <c r="X9" s="41">
        <v>32.56</v>
      </c>
      <c r="Y9" s="41">
        <v>125.04</v>
      </c>
      <c r="Z9" s="41">
        <v>339.13</v>
      </c>
      <c r="AA9" s="41">
        <v>223.43</v>
      </c>
      <c r="AB9" s="41">
        <v>229.7</v>
      </c>
      <c r="AC9" s="41">
        <v>861.77</v>
      </c>
      <c r="AD9" s="41" t="s">
        <v>4606</v>
      </c>
      <c r="AE9" s="39" t="s">
        <v>134</v>
      </c>
      <c r="AF9" s="39">
        <v>29</v>
      </c>
      <c r="AG9" s="42">
        <v>5.4899999999999997E-2</v>
      </c>
      <c r="AH9" s="71">
        <v>669</v>
      </c>
      <c r="AI9" s="42">
        <v>9.4600000000000004E-2</v>
      </c>
      <c r="AJ9" s="42" t="s">
        <v>6622</v>
      </c>
      <c r="AK9" s="42">
        <v>0.75</v>
      </c>
      <c r="AL9" s="42"/>
      <c r="AM9" s="42"/>
      <c r="AN9" s="42">
        <v>6.3500000000000001E-2</v>
      </c>
      <c r="AO9" s="41">
        <v>85</v>
      </c>
      <c r="AP9" s="44">
        <v>9</v>
      </c>
      <c r="AQ9" s="44">
        <v>52</v>
      </c>
      <c r="AR9" s="44">
        <v>4267</v>
      </c>
      <c r="AS9" s="44">
        <v>1</v>
      </c>
      <c r="AT9" s="39" t="s">
        <v>4562</v>
      </c>
      <c r="AU9" s="39">
        <v>27</v>
      </c>
      <c r="AV9" s="39" t="s">
        <v>6245</v>
      </c>
      <c r="AW9" s="39">
        <v>4319.6000000000004</v>
      </c>
      <c r="AX9" s="41">
        <v>4394.7</v>
      </c>
      <c r="AY9" s="41">
        <v>4444.3999999999996</v>
      </c>
      <c r="AZ9" s="41">
        <v>4194.8</v>
      </c>
      <c r="BA9" s="41">
        <v>4145.1000000000004</v>
      </c>
      <c r="BB9" s="41">
        <v>4070</v>
      </c>
      <c r="BC9" s="41">
        <v>16</v>
      </c>
      <c r="BD9" s="41">
        <v>1</v>
      </c>
      <c r="BE9" s="41">
        <v>4</v>
      </c>
      <c r="BF9" s="41" t="s">
        <v>130</v>
      </c>
      <c r="BG9" s="41">
        <v>508.2</v>
      </c>
      <c r="BH9" s="41">
        <v>0.1</v>
      </c>
      <c r="BI9" s="41" t="s">
        <v>131</v>
      </c>
      <c r="BJ9" s="39" t="s">
        <v>132</v>
      </c>
      <c r="BL9" s="21"/>
    </row>
    <row r="10" spans="1:64" x14ac:dyDescent="0.35">
      <c r="A10" s="39" t="s">
        <v>6228</v>
      </c>
      <c r="B10" s="39" t="str">
        <f>IFERROR(INDEX(added_new_stocks!$F$6:$H$2155,MATCH($A10,added_new_stocks!$F$6:$F$2600,0),3),"")</f>
        <v/>
      </c>
      <c r="C10" s="48">
        <v>23326.7</v>
      </c>
      <c r="D10" s="48">
        <v>64</v>
      </c>
      <c r="G10" s="39" t="s">
        <v>4562</v>
      </c>
      <c r="H10" s="39" t="s">
        <v>6623</v>
      </c>
      <c r="I10" s="39" t="s">
        <v>4989</v>
      </c>
      <c r="J10" s="39" t="s">
        <v>6624</v>
      </c>
      <c r="K10" s="39" t="s">
        <v>133</v>
      </c>
      <c r="L10" s="39" t="s">
        <v>6625</v>
      </c>
      <c r="M10" s="39" t="s">
        <v>4959</v>
      </c>
      <c r="N10" s="39">
        <v>12</v>
      </c>
      <c r="O10" s="39">
        <v>0</v>
      </c>
      <c r="P10" s="39">
        <v>12</v>
      </c>
      <c r="Q10" s="39" t="s">
        <v>14</v>
      </c>
      <c r="R10" s="39">
        <v>-0.33</v>
      </c>
      <c r="S10" s="39">
        <v>0.4</v>
      </c>
      <c r="T10" s="39">
        <v>-3.04</v>
      </c>
      <c r="U10" s="39">
        <v>5.73</v>
      </c>
      <c r="V10" s="39">
        <v>16.16</v>
      </c>
      <c r="W10" s="39">
        <v>8.85</v>
      </c>
      <c r="X10" s="39">
        <v>24.39</v>
      </c>
      <c r="Y10" s="39">
        <v>22.23</v>
      </c>
      <c r="Z10" s="39">
        <v>38.76</v>
      </c>
      <c r="AA10" s="39">
        <v>155.22999999999999</v>
      </c>
      <c r="AB10" s="39">
        <v>193.11</v>
      </c>
      <c r="AC10" s="39">
        <v>1595.01</v>
      </c>
      <c r="AD10" s="39" t="s">
        <v>4606</v>
      </c>
      <c r="AE10" s="39" t="s">
        <v>134</v>
      </c>
      <c r="AF10" s="39">
        <v>32</v>
      </c>
      <c r="AG10" s="42">
        <v>7.2700000000000001E-2</v>
      </c>
      <c r="AH10" s="71">
        <v>14</v>
      </c>
      <c r="AI10" s="42">
        <v>1.9E-3</v>
      </c>
      <c r="AJ10" s="42" t="s">
        <v>6626</v>
      </c>
      <c r="AK10" s="42">
        <v>0.50439999999999996</v>
      </c>
      <c r="AL10" s="42" t="s">
        <v>6627</v>
      </c>
      <c r="AM10" s="42">
        <v>1.52E-2</v>
      </c>
      <c r="AN10" s="42">
        <v>0.13950000000000001</v>
      </c>
      <c r="AO10" s="41">
        <v>75</v>
      </c>
      <c r="AP10" s="39">
        <v>15</v>
      </c>
      <c r="AQ10" s="39">
        <v>51</v>
      </c>
      <c r="AR10" s="45">
        <v>23558</v>
      </c>
      <c r="AS10" s="45">
        <v>1</v>
      </c>
      <c r="AT10" s="39" t="s">
        <v>4562</v>
      </c>
      <c r="AU10" s="39">
        <v>8</v>
      </c>
      <c r="AV10" s="39" t="s">
        <v>6246</v>
      </c>
      <c r="AW10" s="39">
        <v>23316.6</v>
      </c>
      <c r="AX10" s="39">
        <v>23412.2</v>
      </c>
      <c r="AY10" s="39">
        <v>23556.45</v>
      </c>
      <c r="AZ10" s="39">
        <v>23076.75</v>
      </c>
      <c r="BA10" s="39">
        <v>22932.5</v>
      </c>
      <c r="BB10" s="39">
        <v>22836.9</v>
      </c>
      <c r="BC10" s="39">
        <v>12</v>
      </c>
      <c r="BD10" s="39" t="s">
        <v>130</v>
      </c>
      <c r="BE10" s="39">
        <v>4</v>
      </c>
      <c r="BF10" s="39" t="s">
        <v>130</v>
      </c>
      <c r="BG10" s="48">
        <v>4053.1</v>
      </c>
      <c r="BH10" s="39">
        <v>0.2</v>
      </c>
      <c r="BI10" s="39" t="s">
        <v>4651</v>
      </c>
      <c r="BJ10" s="39" t="s">
        <v>132</v>
      </c>
      <c r="BL10" s="21"/>
    </row>
    <row r="11" spans="1:64" x14ac:dyDescent="0.35">
      <c r="A11" s="39" t="s">
        <v>874</v>
      </c>
      <c r="B11" s="39" t="str">
        <f>IFERROR(INDEX(added_new_stocks!$F$6:$H$2155,MATCH($A11,added_new_stocks!$F$6:$F$2600,0),3),"")</f>
        <v>Mid</v>
      </c>
      <c r="C11" s="48">
        <v>651</v>
      </c>
      <c r="D11" s="48">
        <v>58</v>
      </c>
      <c r="G11" s="39" t="s">
        <v>4562</v>
      </c>
      <c r="H11" s="39" t="s">
        <v>6628</v>
      </c>
      <c r="I11" s="39" t="s">
        <v>4989</v>
      </c>
      <c r="J11" s="39" t="s">
        <v>6629</v>
      </c>
      <c r="K11" s="39" t="s">
        <v>133</v>
      </c>
      <c r="L11" s="39" t="s">
        <v>4998</v>
      </c>
      <c r="M11" s="39" t="s">
        <v>4959</v>
      </c>
      <c r="N11" s="39">
        <v>6</v>
      </c>
      <c r="O11" s="39">
        <v>-1</v>
      </c>
      <c r="P11" s="39">
        <v>5</v>
      </c>
      <c r="Q11" s="39" t="s">
        <v>4611</v>
      </c>
      <c r="R11" s="39">
        <v>0.57999999999999996</v>
      </c>
      <c r="S11" s="39">
        <v>10.27</v>
      </c>
      <c r="T11" s="39">
        <v>24.44</v>
      </c>
      <c r="U11" s="39">
        <v>19.98</v>
      </c>
      <c r="V11" s="39">
        <v>0.47</v>
      </c>
      <c r="W11" s="39">
        <v>23.87</v>
      </c>
      <c r="X11" s="39" t="s">
        <v>4538</v>
      </c>
      <c r="Y11" s="39" t="s">
        <v>4538</v>
      </c>
      <c r="Z11" s="39" t="s">
        <v>4538</v>
      </c>
      <c r="AA11" s="39" t="s">
        <v>4538</v>
      </c>
      <c r="AB11" s="39" t="s">
        <v>4538</v>
      </c>
      <c r="AC11" s="39" t="s">
        <v>4538</v>
      </c>
      <c r="AD11" s="39" t="s">
        <v>4606</v>
      </c>
      <c r="AE11" s="39" t="s">
        <v>134</v>
      </c>
      <c r="AF11" s="39">
        <v>11</v>
      </c>
      <c r="AG11" s="42">
        <v>0.14460000000000001</v>
      </c>
      <c r="AH11" s="71">
        <v>36</v>
      </c>
      <c r="AI11" s="42">
        <v>4.0599999999999997E-2</v>
      </c>
      <c r="AJ11" s="42" t="s">
        <v>4999</v>
      </c>
      <c r="AK11" s="42">
        <v>0.30630000000000002</v>
      </c>
      <c r="AL11" s="42" t="s">
        <v>5000</v>
      </c>
      <c r="AM11" s="42">
        <v>8.09E-2</v>
      </c>
      <c r="AN11" s="42">
        <v>4.8599999999999997E-2</v>
      </c>
      <c r="AO11" s="41" t="s">
        <v>130</v>
      </c>
      <c r="AP11" s="39">
        <v>38</v>
      </c>
      <c r="AQ11" s="39">
        <v>77</v>
      </c>
      <c r="AR11" s="45"/>
      <c r="AS11" s="45" t="s">
        <v>4564</v>
      </c>
      <c r="AW11" s="39">
        <v>1.84</v>
      </c>
      <c r="AX11" s="39">
        <v>1.96</v>
      </c>
      <c r="AY11" s="39">
        <v>2.02</v>
      </c>
      <c r="AZ11" s="39">
        <v>1.66</v>
      </c>
      <c r="BA11" s="39">
        <v>1.6</v>
      </c>
      <c r="BB11" s="39">
        <v>1.48</v>
      </c>
      <c r="BC11" s="39">
        <v>3</v>
      </c>
      <c r="BD11" s="39">
        <v>5</v>
      </c>
      <c r="BE11" s="39" t="s">
        <v>130</v>
      </c>
      <c r="BF11" s="39">
        <v>3.01</v>
      </c>
      <c r="BG11" s="48">
        <v>10</v>
      </c>
      <c r="BH11" s="48">
        <v>0.7</v>
      </c>
      <c r="BI11" s="39" t="s">
        <v>131</v>
      </c>
      <c r="BJ11" s="39" t="s">
        <v>132</v>
      </c>
      <c r="BL11" s="47"/>
    </row>
    <row r="12" spans="1:64" x14ac:dyDescent="0.35">
      <c r="A12" s="39" t="s">
        <v>732</v>
      </c>
      <c r="B12" s="39" t="str">
        <f>IFERROR(INDEX(added_new_stocks!$F$6:$H$2155,MATCH($A12,added_new_stocks!$F$6:$F$2600,0),3),"")</f>
        <v>Mid</v>
      </c>
      <c r="C12" s="48">
        <v>1037.8</v>
      </c>
      <c r="D12" s="39">
        <v>48</v>
      </c>
      <c r="G12" s="39" t="s">
        <v>4625</v>
      </c>
      <c r="H12" s="47" t="s">
        <v>6630</v>
      </c>
      <c r="I12" s="39" t="s">
        <v>4996</v>
      </c>
      <c r="J12" s="47" t="s">
        <v>6631</v>
      </c>
      <c r="K12" s="39" t="s">
        <v>133</v>
      </c>
      <c r="L12" s="47" t="s">
        <v>4998</v>
      </c>
      <c r="M12" s="39" t="s">
        <v>4959</v>
      </c>
      <c r="N12" s="47">
        <v>2</v>
      </c>
      <c r="O12" s="39">
        <v>-4</v>
      </c>
      <c r="P12" s="39">
        <v>-2</v>
      </c>
      <c r="Q12" s="39" t="s">
        <v>4611</v>
      </c>
      <c r="R12" s="39">
        <v>-0.57999999999999996</v>
      </c>
      <c r="S12" s="39">
        <v>-0.92</v>
      </c>
      <c r="T12" s="39">
        <v>1.31</v>
      </c>
      <c r="U12" s="39">
        <v>13.77</v>
      </c>
      <c r="V12" s="39">
        <v>18.760000000000002</v>
      </c>
      <c r="W12" s="39">
        <v>23.78</v>
      </c>
      <c r="X12" s="39">
        <v>20.149999999999999</v>
      </c>
      <c r="Y12" s="39" t="s">
        <v>4538</v>
      </c>
      <c r="Z12" s="39" t="s">
        <v>4538</v>
      </c>
      <c r="AA12" s="39" t="s">
        <v>4538</v>
      </c>
      <c r="AB12" s="39" t="s">
        <v>4538</v>
      </c>
      <c r="AC12" s="39" t="s">
        <v>4538</v>
      </c>
      <c r="AD12" s="39" t="s">
        <v>4606</v>
      </c>
      <c r="AE12" s="39" t="s">
        <v>134</v>
      </c>
      <c r="AF12" s="39">
        <v>13</v>
      </c>
      <c r="AG12" s="42">
        <v>0.12529999999999999</v>
      </c>
      <c r="AH12" s="71">
        <v>11</v>
      </c>
      <c r="AI12" s="42">
        <v>1.8700000000000001E-2</v>
      </c>
      <c r="AJ12" s="42" t="s">
        <v>6632</v>
      </c>
      <c r="AK12" s="42">
        <v>0.2419</v>
      </c>
      <c r="AL12" s="42" t="s">
        <v>6633</v>
      </c>
      <c r="AM12" s="42">
        <v>8.7999999999999995E-2</v>
      </c>
      <c r="AN12" s="42">
        <v>1.8499999999999999E-2</v>
      </c>
      <c r="AO12" s="41">
        <v>60</v>
      </c>
      <c r="AP12" s="39">
        <v>6</v>
      </c>
      <c r="AQ12" s="39">
        <v>58</v>
      </c>
      <c r="AR12" s="45">
        <v>1085</v>
      </c>
      <c r="AS12" s="39">
        <v>3</v>
      </c>
      <c r="AT12" s="39" t="s">
        <v>4633</v>
      </c>
      <c r="AU12" s="47">
        <v>2</v>
      </c>
      <c r="AV12" s="39" t="s">
        <v>6247</v>
      </c>
      <c r="AW12" s="39">
        <v>1061.07</v>
      </c>
      <c r="AX12" s="39">
        <v>1072.73</v>
      </c>
      <c r="AY12" s="39">
        <v>1088.1199999999999</v>
      </c>
      <c r="AZ12" s="39">
        <v>1034.02</v>
      </c>
      <c r="BA12" s="39">
        <v>1018.63</v>
      </c>
      <c r="BB12" s="39">
        <v>1006.97</v>
      </c>
      <c r="BC12" s="39">
        <v>3</v>
      </c>
      <c r="BD12" s="39">
        <v>3</v>
      </c>
      <c r="BE12" s="39">
        <v>1</v>
      </c>
      <c r="BF12" s="39" t="s">
        <v>130</v>
      </c>
      <c r="BG12" s="39">
        <v>143.80000000000001</v>
      </c>
      <c r="BH12" s="39">
        <v>0.1</v>
      </c>
      <c r="BI12" s="39" t="s">
        <v>4563</v>
      </c>
      <c r="BJ12" s="39" t="s">
        <v>132</v>
      </c>
      <c r="BL12" s="65"/>
    </row>
    <row r="13" spans="1:64" x14ac:dyDescent="0.35">
      <c r="A13" s="39" t="s">
        <v>703</v>
      </c>
      <c r="B13" s="39" t="str">
        <f>IFERROR(INDEX(added_new_stocks!$F$6:$H$2155,MATCH($A13,added_new_stocks!$F$6:$F$2600,0),3),"")</f>
        <v>Mid</v>
      </c>
      <c r="C13" s="48">
        <v>1081.9000000000001</v>
      </c>
      <c r="D13" s="48">
        <v>72</v>
      </c>
      <c r="G13" s="39" t="s">
        <v>129</v>
      </c>
      <c r="H13" s="39" t="s">
        <v>6634</v>
      </c>
      <c r="I13" s="39" t="s">
        <v>4624</v>
      </c>
      <c r="J13" s="39" t="s">
        <v>6635</v>
      </c>
      <c r="K13" s="39" t="s">
        <v>4957</v>
      </c>
      <c r="L13" s="39" t="s">
        <v>6636</v>
      </c>
      <c r="M13" s="39" t="s">
        <v>4959</v>
      </c>
      <c r="N13" s="39">
        <v>2</v>
      </c>
      <c r="O13" s="39">
        <v>0</v>
      </c>
      <c r="P13" s="39">
        <v>2</v>
      </c>
      <c r="Q13" s="39" t="s">
        <v>4611</v>
      </c>
      <c r="R13" s="39">
        <v>-0.49</v>
      </c>
      <c r="S13" s="39">
        <v>-0.19</v>
      </c>
      <c r="T13" s="39">
        <v>3.37</v>
      </c>
      <c r="U13" s="39">
        <v>14.51</v>
      </c>
      <c r="V13" s="39">
        <v>7.26</v>
      </c>
      <c r="W13" s="39">
        <v>0.09</v>
      </c>
      <c r="X13" s="39">
        <v>-17.27</v>
      </c>
      <c r="Y13" s="39">
        <v>17.37</v>
      </c>
      <c r="Z13" s="39">
        <v>103.64</v>
      </c>
      <c r="AA13" s="39">
        <v>544.83000000000004</v>
      </c>
      <c r="AB13" s="39" t="s">
        <v>4538</v>
      </c>
      <c r="AC13" s="39" t="s">
        <v>4538</v>
      </c>
      <c r="AD13" s="39" t="s">
        <v>4606</v>
      </c>
      <c r="AE13" s="39" t="s">
        <v>134</v>
      </c>
      <c r="AF13" s="39">
        <v>16</v>
      </c>
      <c r="AG13" s="42">
        <v>9.7600000000000006E-2</v>
      </c>
      <c r="AH13" s="71">
        <v>127</v>
      </c>
      <c r="AI13" s="42">
        <v>9.9699999999999997E-2</v>
      </c>
      <c r="AJ13" s="42" t="s">
        <v>6637</v>
      </c>
      <c r="AK13" s="42">
        <v>0.4481</v>
      </c>
      <c r="AL13" s="42" t="s">
        <v>5528</v>
      </c>
      <c r="AM13" s="42">
        <v>4.1099999999999998E-2</v>
      </c>
      <c r="AN13" s="42">
        <v>0.1191</v>
      </c>
      <c r="AO13" s="41">
        <v>70</v>
      </c>
      <c r="AP13" s="39">
        <v>13</v>
      </c>
      <c r="AQ13" s="39">
        <v>57</v>
      </c>
      <c r="AR13" s="45">
        <v>1200</v>
      </c>
      <c r="AS13" s="39">
        <v>10</v>
      </c>
      <c r="AT13" s="39" t="s">
        <v>129</v>
      </c>
      <c r="AU13" s="39">
        <v>11</v>
      </c>
      <c r="AV13" s="39" t="s">
        <v>6248</v>
      </c>
      <c r="AW13" s="39">
        <v>1108.43</v>
      </c>
      <c r="AX13" s="39">
        <v>1126.22</v>
      </c>
      <c r="AY13" s="39">
        <v>1142.43</v>
      </c>
      <c r="AZ13" s="39">
        <v>1074.43</v>
      </c>
      <c r="BA13" s="39">
        <v>1058.22</v>
      </c>
      <c r="BB13" s="39">
        <v>1040.43</v>
      </c>
      <c r="BC13" s="39">
        <v>7</v>
      </c>
      <c r="BD13" s="39">
        <v>1</v>
      </c>
      <c r="BE13" s="39">
        <v>2</v>
      </c>
      <c r="BF13" s="39" t="s">
        <v>130</v>
      </c>
      <c r="BG13" s="39">
        <v>218.3</v>
      </c>
      <c r="BH13" s="39">
        <v>0.2</v>
      </c>
      <c r="BI13" s="39" t="s">
        <v>4563</v>
      </c>
      <c r="BJ13" s="39" t="s">
        <v>132</v>
      </c>
      <c r="BL13" s="64"/>
    </row>
    <row r="14" spans="1:64" x14ac:dyDescent="0.35">
      <c r="A14" s="39" t="s">
        <v>2316</v>
      </c>
      <c r="B14" s="39" t="str">
        <f>IFERROR(INDEX(added_new_stocks!$F$6:$H$2155,MATCH($A14,added_new_stocks!$F$6:$F$2600,0),3),"")</f>
        <v>Small</v>
      </c>
      <c r="C14" s="39">
        <v>64.349999999999994</v>
      </c>
      <c r="D14" s="39">
        <v>38</v>
      </c>
      <c r="G14" s="47" t="s">
        <v>4625</v>
      </c>
      <c r="H14" s="39" t="s">
        <v>6638</v>
      </c>
      <c r="I14" s="47" t="s">
        <v>4989</v>
      </c>
      <c r="J14" s="39" t="s">
        <v>6639</v>
      </c>
      <c r="K14" s="47" t="s">
        <v>4603</v>
      </c>
      <c r="L14" s="39" t="s">
        <v>5437</v>
      </c>
      <c r="M14" s="47" t="s">
        <v>4955</v>
      </c>
      <c r="N14" s="39">
        <v>0</v>
      </c>
      <c r="O14" s="39">
        <v>-10</v>
      </c>
      <c r="P14" s="39">
        <v>-10</v>
      </c>
      <c r="Q14" s="47" t="s">
        <v>4605</v>
      </c>
      <c r="R14" s="39">
        <v>1.24</v>
      </c>
      <c r="S14" s="39">
        <v>0.34</v>
      </c>
      <c r="T14" s="39">
        <v>11.16</v>
      </c>
      <c r="U14" s="39">
        <v>7.68</v>
      </c>
      <c r="V14" s="39">
        <v>12.7</v>
      </c>
      <c r="W14" s="39">
        <v>1.02</v>
      </c>
      <c r="X14" s="39">
        <v>-25.91</v>
      </c>
      <c r="Y14" s="39" t="s">
        <v>4538</v>
      </c>
      <c r="Z14" s="39" t="s">
        <v>4538</v>
      </c>
      <c r="AA14" s="39" t="s">
        <v>4538</v>
      </c>
      <c r="AB14" s="39" t="s">
        <v>4538</v>
      </c>
      <c r="AC14" s="39" t="s">
        <v>4538</v>
      </c>
      <c r="AD14" s="39" t="s">
        <v>4606</v>
      </c>
      <c r="AE14" s="39">
        <v>12.77</v>
      </c>
      <c r="AF14" s="39">
        <v>2</v>
      </c>
      <c r="AG14" s="42">
        <v>5.1999999999999998E-2</v>
      </c>
      <c r="AH14" s="71">
        <v>4</v>
      </c>
      <c r="AI14" s="42">
        <v>5.9999999999999995E-4</v>
      </c>
      <c r="AJ14" s="42" t="s">
        <v>6640</v>
      </c>
      <c r="AK14" s="42">
        <v>0.42049999999999998</v>
      </c>
      <c r="AL14" s="42" t="s">
        <v>6641</v>
      </c>
      <c r="AM14" s="42">
        <v>3.78E-2</v>
      </c>
      <c r="AN14" s="42">
        <v>0.2492</v>
      </c>
      <c r="AO14" s="41">
        <v>55</v>
      </c>
      <c r="AP14" s="39">
        <v>60</v>
      </c>
      <c r="AQ14" s="39">
        <v>57</v>
      </c>
      <c r="AR14" s="39">
        <v>100</v>
      </c>
      <c r="AS14" s="39">
        <v>56</v>
      </c>
      <c r="AT14" s="47" t="s">
        <v>4633</v>
      </c>
      <c r="AU14" s="39">
        <v>1</v>
      </c>
      <c r="AV14" s="39" t="s">
        <v>6249</v>
      </c>
      <c r="AW14" s="39">
        <v>65.73</v>
      </c>
      <c r="AX14" s="39">
        <v>67.37</v>
      </c>
      <c r="AY14" s="39">
        <v>68.83</v>
      </c>
      <c r="AZ14" s="39">
        <v>62.63</v>
      </c>
      <c r="BA14" s="39">
        <v>61.17</v>
      </c>
      <c r="BB14" s="39">
        <v>59.53</v>
      </c>
      <c r="BC14" s="39">
        <v>4</v>
      </c>
      <c r="BD14" s="39">
        <v>3</v>
      </c>
      <c r="BE14" s="39">
        <v>3</v>
      </c>
      <c r="BF14" s="39" t="s">
        <v>130</v>
      </c>
      <c r="BG14" s="39">
        <v>38.9</v>
      </c>
      <c r="BH14" s="39">
        <v>0.6</v>
      </c>
      <c r="BI14" s="39" t="s">
        <v>4563</v>
      </c>
      <c r="BJ14" s="39" t="s">
        <v>4563</v>
      </c>
      <c r="BL14" s="64"/>
    </row>
    <row r="15" spans="1:64" x14ac:dyDescent="0.35">
      <c r="A15" s="40" t="s">
        <v>1190</v>
      </c>
      <c r="B15" s="39" t="str">
        <f>IFERROR(INDEX(added_new_stocks!$F$6:$H$2155,MATCH($A15,added_new_stocks!$F$6:$F$2600,0),3),"")</f>
        <v>Small</v>
      </c>
      <c r="C15" s="39">
        <v>728.45</v>
      </c>
      <c r="D15" s="39">
        <v>75</v>
      </c>
      <c r="G15" s="39" t="s">
        <v>129</v>
      </c>
      <c r="H15" s="39" t="s">
        <v>6642</v>
      </c>
      <c r="I15" s="39" t="s">
        <v>4624</v>
      </c>
      <c r="J15" s="39" t="s">
        <v>6643</v>
      </c>
      <c r="K15" s="40" t="s">
        <v>133</v>
      </c>
      <c r="L15" s="39" t="s">
        <v>4998</v>
      </c>
      <c r="M15" s="39" t="s">
        <v>135</v>
      </c>
      <c r="N15" s="39">
        <v>11</v>
      </c>
      <c r="O15" s="39">
        <v>-5</v>
      </c>
      <c r="P15" s="39">
        <v>6</v>
      </c>
      <c r="Q15" s="39" t="s">
        <v>14</v>
      </c>
      <c r="R15" s="39">
        <v>-2.72</v>
      </c>
      <c r="S15" s="39">
        <v>0.38</v>
      </c>
      <c r="T15" s="39">
        <v>4.1500000000000004</v>
      </c>
      <c r="U15" s="39">
        <v>21.58</v>
      </c>
      <c r="V15" s="39">
        <v>54.2</v>
      </c>
      <c r="W15" s="39">
        <v>53.02</v>
      </c>
      <c r="X15" s="39">
        <v>66.41</v>
      </c>
      <c r="Y15" s="39">
        <v>95.4</v>
      </c>
      <c r="Z15" s="39">
        <v>160.02000000000001</v>
      </c>
      <c r="AA15" s="39">
        <v>135.06</v>
      </c>
      <c r="AB15" s="39">
        <v>131.22</v>
      </c>
      <c r="AC15" s="39">
        <v>3816.4</v>
      </c>
      <c r="AD15" s="39" t="s">
        <v>4606</v>
      </c>
      <c r="AE15" s="39">
        <v>5.4</v>
      </c>
      <c r="AF15" s="39">
        <v>10</v>
      </c>
      <c r="AG15" s="42">
        <v>0.26419999999999999</v>
      </c>
      <c r="AH15" s="39">
        <v>56</v>
      </c>
      <c r="AI15" s="42">
        <v>0.11749999999999999</v>
      </c>
      <c r="AJ15" s="39" t="s">
        <v>6644</v>
      </c>
      <c r="AK15" s="42">
        <v>0.30530000000000002</v>
      </c>
      <c r="AL15" s="39" t="s">
        <v>5000</v>
      </c>
      <c r="AM15" s="42">
        <v>7.6200000000000004E-2</v>
      </c>
      <c r="AN15" s="42">
        <v>4.5900000000000003E-2</v>
      </c>
      <c r="AO15" s="41">
        <v>75</v>
      </c>
      <c r="AP15" s="39">
        <v>36</v>
      </c>
      <c r="AQ15" s="39">
        <v>63</v>
      </c>
      <c r="AR15" s="39">
        <v>795</v>
      </c>
      <c r="AS15" s="39">
        <v>10</v>
      </c>
      <c r="AT15" s="39" t="s">
        <v>4562</v>
      </c>
      <c r="AU15" s="39">
        <v>10</v>
      </c>
      <c r="AV15" s="39" t="s">
        <v>6250</v>
      </c>
      <c r="AW15" s="39">
        <v>730.32</v>
      </c>
      <c r="AX15" s="39">
        <v>739.93</v>
      </c>
      <c r="AY15" s="39">
        <v>748.97</v>
      </c>
      <c r="AZ15" s="39">
        <v>711.67</v>
      </c>
      <c r="BA15" s="39">
        <v>702.63</v>
      </c>
      <c r="BB15" s="39">
        <v>693.02</v>
      </c>
      <c r="BC15" s="39">
        <v>12</v>
      </c>
      <c r="BD15" s="39">
        <v>3</v>
      </c>
      <c r="BE15" s="39">
        <v>2</v>
      </c>
      <c r="BF15" s="39" t="s">
        <v>130</v>
      </c>
      <c r="BG15" s="39">
        <v>356.1</v>
      </c>
      <c r="BH15" s="39">
        <v>0.5</v>
      </c>
      <c r="BI15" s="39" t="s">
        <v>131</v>
      </c>
      <c r="BJ15" s="39" t="s">
        <v>4563</v>
      </c>
    </row>
    <row r="16" spans="1:64" x14ac:dyDescent="0.35">
      <c r="A16" s="40" t="s">
        <v>646</v>
      </c>
      <c r="B16" s="39" t="str">
        <f>IFERROR(INDEX(added_new_stocks!$F$6:$H$2155,MATCH($A16,added_new_stocks!$F$6:$F$2600,0),3),"")</f>
        <v>Mid</v>
      </c>
      <c r="C16" s="48">
        <v>1730.75</v>
      </c>
      <c r="D16" s="39">
        <v>72</v>
      </c>
      <c r="G16" s="39" t="s">
        <v>129</v>
      </c>
      <c r="H16" s="39" t="s">
        <v>4619</v>
      </c>
      <c r="I16" s="39" t="s">
        <v>4624</v>
      </c>
      <c r="J16" s="39" t="s">
        <v>4980</v>
      </c>
      <c r="K16" s="40" t="s">
        <v>133</v>
      </c>
      <c r="L16" s="39" t="s">
        <v>6645</v>
      </c>
      <c r="M16" s="39" t="s">
        <v>4620</v>
      </c>
      <c r="N16" s="39">
        <v>10</v>
      </c>
      <c r="O16" s="39">
        <v>-2</v>
      </c>
      <c r="P16" s="39">
        <v>8</v>
      </c>
      <c r="Q16" s="39" t="s">
        <v>14</v>
      </c>
      <c r="R16" s="39">
        <v>0.34</v>
      </c>
      <c r="S16" s="39">
        <v>-1.95</v>
      </c>
      <c r="T16" s="39">
        <v>7.31</v>
      </c>
      <c r="U16" s="39">
        <v>33.24</v>
      </c>
      <c r="V16" s="39">
        <v>47.65</v>
      </c>
      <c r="W16" s="39">
        <v>42.97</v>
      </c>
      <c r="X16" s="39">
        <v>26.42</v>
      </c>
      <c r="Y16" s="39">
        <v>17.690000000000001</v>
      </c>
      <c r="Z16" s="39">
        <v>67.05</v>
      </c>
      <c r="AA16" s="39">
        <v>156.72999999999999</v>
      </c>
      <c r="AB16" s="39">
        <v>110.33</v>
      </c>
      <c r="AC16" s="39">
        <v>1191.8800000000001</v>
      </c>
      <c r="AD16" s="39" t="s">
        <v>4606</v>
      </c>
      <c r="AE16" s="39">
        <v>13.23</v>
      </c>
      <c r="AF16" s="39">
        <v>22</v>
      </c>
      <c r="AG16" s="42">
        <v>0.13070000000000001</v>
      </c>
      <c r="AH16" s="39">
        <v>148</v>
      </c>
      <c r="AI16" s="42">
        <v>0.1019</v>
      </c>
      <c r="AJ16" s="39" t="s">
        <v>4621</v>
      </c>
      <c r="AK16" s="42">
        <v>0.14480000000000001</v>
      </c>
      <c r="AL16" s="39" t="s">
        <v>4622</v>
      </c>
      <c r="AM16" s="42">
        <v>4.3799999999999999E-2</v>
      </c>
      <c r="AN16" s="42">
        <v>6.9199999999999998E-2</v>
      </c>
      <c r="AO16" s="41">
        <v>60</v>
      </c>
      <c r="AP16" s="39">
        <v>24</v>
      </c>
      <c r="AQ16" s="39">
        <v>63</v>
      </c>
      <c r="AR16" s="45">
        <v>1776</v>
      </c>
      <c r="AS16" s="39">
        <v>5</v>
      </c>
      <c r="AT16" s="39" t="s">
        <v>129</v>
      </c>
      <c r="AU16" s="39">
        <v>12</v>
      </c>
      <c r="AV16" s="39" t="s">
        <v>6251</v>
      </c>
      <c r="AW16" s="39">
        <v>1728.98</v>
      </c>
      <c r="AX16" s="39">
        <v>1763.32</v>
      </c>
      <c r="AY16" s="39">
        <v>1787.68</v>
      </c>
      <c r="AZ16" s="39">
        <v>1670.28</v>
      </c>
      <c r="BA16" s="39">
        <v>1645.92</v>
      </c>
      <c r="BB16" s="39">
        <v>1611.58</v>
      </c>
      <c r="BC16" s="39">
        <v>6</v>
      </c>
      <c r="BD16" s="39">
        <v>5</v>
      </c>
      <c r="BE16" s="39">
        <v>5</v>
      </c>
      <c r="BF16" s="39" t="s">
        <v>130</v>
      </c>
      <c r="BG16" s="39">
        <v>544.79999999999995</v>
      </c>
      <c r="BH16" s="39">
        <v>0.3</v>
      </c>
      <c r="BI16" s="39" t="s">
        <v>131</v>
      </c>
      <c r="BJ16" s="39" t="s">
        <v>132</v>
      </c>
    </row>
    <row r="17" spans="1:62" x14ac:dyDescent="0.35">
      <c r="A17" s="40" t="s">
        <v>1935</v>
      </c>
      <c r="B17" s="39" t="str">
        <f>IFERROR(INDEX(added_new_stocks!$F$6:$H$2155,MATCH($A17,added_new_stocks!$F$6:$F$2600,0),3),"")</f>
        <v>Small</v>
      </c>
      <c r="C17" s="39">
        <v>837.15</v>
      </c>
      <c r="D17" s="39">
        <v>40</v>
      </c>
      <c r="G17" s="39" t="s">
        <v>4625</v>
      </c>
      <c r="H17" s="39" t="s">
        <v>6646</v>
      </c>
      <c r="I17" s="39" t="s">
        <v>4996</v>
      </c>
      <c r="J17" s="39" t="s">
        <v>6647</v>
      </c>
      <c r="K17" s="40" t="s">
        <v>4615</v>
      </c>
      <c r="L17" s="39" t="s">
        <v>6648</v>
      </c>
      <c r="M17" s="39" t="s">
        <v>5047</v>
      </c>
      <c r="N17" s="39">
        <v>1</v>
      </c>
      <c r="O17" s="39">
        <v>-7</v>
      </c>
      <c r="P17" s="39">
        <v>-6</v>
      </c>
      <c r="Q17" s="39" t="s">
        <v>4605</v>
      </c>
      <c r="R17" s="39">
        <v>-0.85</v>
      </c>
      <c r="S17" s="39">
        <v>-0.81</v>
      </c>
      <c r="T17" s="39">
        <v>1.71</v>
      </c>
      <c r="U17" s="39">
        <v>10.63</v>
      </c>
      <c r="V17" s="39">
        <v>4.6399999999999997</v>
      </c>
      <c r="W17" s="39">
        <v>-5.34</v>
      </c>
      <c r="X17" s="39">
        <v>5.55</v>
      </c>
      <c r="Y17" s="39">
        <v>6.83</v>
      </c>
      <c r="Z17" s="39">
        <v>138.54</v>
      </c>
      <c r="AA17" s="39">
        <v>108.25</v>
      </c>
      <c r="AB17" s="39">
        <v>37.92</v>
      </c>
      <c r="AC17" s="39">
        <v>1629.65</v>
      </c>
      <c r="AD17" s="39" t="s">
        <v>4606</v>
      </c>
      <c r="AE17" s="39" t="s">
        <v>134</v>
      </c>
      <c r="AF17" s="39">
        <v>2</v>
      </c>
      <c r="AG17" s="42">
        <v>8.5099999999999995E-2</v>
      </c>
      <c r="AH17" s="39">
        <v>5</v>
      </c>
      <c r="AI17" s="42">
        <v>8.9999999999999998E-4</v>
      </c>
      <c r="AJ17" s="39" t="s">
        <v>6649</v>
      </c>
      <c r="AK17" s="42">
        <v>0.41970000000000002</v>
      </c>
      <c r="AL17" s="39" t="s">
        <v>6650</v>
      </c>
      <c r="AM17" s="42">
        <v>0.13819999999999999</v>
      </c>
      <c r="AN17" s="42">
        <v>0.14030000000000001</v>
      </c>
      <c r="AO17" s="41">
        <v>85</v>
      </c>
      <c r="AP17" s="39">
        <v>45</v>
      </c>
      <c r="AQ17" s="39">
        <v>51</v>
      </c>
      <c r="AR17" s="39">
        <v>895</v>
      </c>
      <c r="AS17" s="39">
        <v>6</v>
      </c>
      <c r="AT17" s="39" t="s">
        <v>4633</v>
      </c>
      <c r="AU17" s="39">
        <v>1</v>
      </c>
      <c r="AV17" s="39" t="s">
        <v>6252</v>
      </c>
      <c r="AW17" s="39">
        <v>855.07</v>
      </c>
      <c r="AX17" s="39">
        <v>863.88</v>
      </c>
      <c r="AY17" s="39">
        <v>877.87</v>
      </c>
      <c r="AZ17" s="39">
        <v>832.27</v>
      </c>
      <c r="BA17" s="39">
        <v>818.28</v>
      </c>
      <c r="BB17" s="39">
        <v>809.47</v>
      </c>
      <c r="BC17" s="39">
        <v>8</v>
      </c>
      <c r="BD17" s="39">
        <v>4</v>
      </c>
      <c r="BE17" s="39">
        <v>3</v>
      </c>
      <c r="BF17" s="39" t="s">
        <v>130</v>
      </c>
      <c r="BG17" s="39">
        <v>460.5</v>
      </c>
      <c r="BH17" s="39">
        <v>0.5</v>
      </c>
      <c r="BI17" s="39" t="s">
        <v>4639</v>
      </c>
      <c r="BJ17" s="39" t="s">
        <v>132</v>
      </c>
    </row>
    <row r="18" spans="1:62" x14ac:dyDescent="0.35">
      <c r="A18" s="40" t="s">
        <v>970</v>
      </c>
      <c r="B18" s="39" t="str">
        <f>IFERROR(INDEX(added_new_stocks!$F$6:$H$2155,MATCH($A18,added_new_stocks!$F$6:$F$2600,0),3),"")</f>
        <v>Mid</v>
      </c>
      <c r="C18" s="48">
        <v>2898.6</v>
      </c>
      <c r="D18" s="39">
        <v>60</v>
      </c>
      <c r="G18" s="39" t="s">
        <v>4562</v>
      </c>
      <c r="H18" s="39" t="s">
        <v>6651</v>
      </c>
      <c r="I18" s="39" t="s">
        <v>4624</v>
      </c>
      <c r="J18" s="39" t="s">
        <v>6652</v>
      </c>
      <c r="K18" s="40" t="s">
        <v>4615</v>
      </c>
      <c r="L18" s="39" t="s">
        <v>5008</v>
      </c>
      <c r="M18" s="39" t="s">
        <v>4620</v>
      </c>
      <c r="N18" s="39">
        <v>18</v>
      </c>
      <c r="O18" s="39">
        <v>-14</v>
      </c>
      <c r="P18" s="39">
        <v>4</v>
      </c>
      <c r="Q18" s="39" t="s">
        <v>4611</v>
      </c>
      <c r="R18" s="39">
        <v>-0.2</v>
      </c>
      <c r="S18" s="39">
        <v>1.52</v>
      </c>
      <c r="T18" s="39">
        <v>19.11</v>
      </c>
      <c r="U18" s="39">
        <v>35.700000000000003</v>
      </c>
      <c r="V18" s="39">
        <v>48.45</v>
      </c>
      <c r="W18" s="39">
        <v>53.17</v>
      </c>
      <c r="X18" s="39">
        <v>27.99</v>
      </c>
      <c r="Y18" s="39">
        <v>0.02</v>
      </c>
      <c r="Z18" s="39">
        <v>59.29</v>
      </c>
      <c r="AA18" s="39">
        <v>251.49</v>
      </c>
      <c r="AB18" s="39">
        <v>201.75</v>
      </c>
      <c r="AC18" s="39" t="s">
        <v>4538</v>
      </c>
      <c r="AD18" s="39" t="s">
        <v>4606</v>
      </c>
      <c r="AE18" s="39" t="s">
        <v>134</v>
      </c>
      <c r="AF18" s="39">
        <v>13</v>
      </c>
      <c r="AG18" s="42">
        <v>8.5699999999999998E-2</v>
      </c>
      <c r="AH18" s="39">
        <v>149</v>
      </c>
      <c r="AI18" s="42">
        <v>0.2419</v>
      </c>
      <c r="AJ18" s="39" t="s">
        <v>6653</v>
      </c>
      <c r="AK18" s="42">
        <v>0.20949999999999999</v>
      </c>
      <c r="AL18" s="39" t="s">
        <v>6654</v>
      </c>
      <c r="AM18" s="42">
        <v>9.7600000000000006E-2</v>
      </c>
      <c r="AN18" s="42">
        <v>0.1115</v>
      </c>
      <c r="AO18" s="41">
        <v>70</v>
      </c>
      <c r="AP18" s="39">
        <v>28</v>
      </c>
      <c r="AQ18" s="39">
        <v>72</v>
      </c>
      <c r="AR18" s="45">
        <v>2610</v>
      </c>
      <c r="AS18" s="39">
        <v>-6</v>
      </c>
      <c r="AT18" s="39" t="s">
        <v>4562</v>
      </c>
      <c r="AU18" s="39">
        <v>19</v>
      </c>
      <c r="AV18" s="39" t="s">
        <v>6253</v>
      </c>
      <c r="AW18" s="39">
        <v>2886.78</v>
      </c>
      <c r="AX18" s="39">
        <v>2987.62</v>
      </c>
      <c r="AY18" s="39">
        <v>3051.33</v>
      </c>
      <c r="AZ18" s="39">
        <v>2722.23</v>
      </c>
      <c r="BA18" s="39">
        <v>2658.52</v>
      </c>
      <c r="BB18" s="39">
        <v>2557.6799999999998</v>
      </c>
      <c r="BC18" s="39">
        <v>12</v>
      </c>
      <c r="BD18" s="39">
        <v>3</v>
      </c>
      <c r="BE18" s="39">
        <v>6</v>
      </c>
      <c r="BF18" s="39" t="s">
        <v>130</v>
      </c>
      <c r="BG18" s="39">
        <v>789.1</v>
      </c>
      <c r="BH18" s="39">
        <v>0.3</v>
      </c>
      <c r="BI18" s="39" t="s">
        <v>4651</v>
      </c>
      <c r="BJ18" s="39" t="s">
        <v>4563</v>
      </c>
    </row>
    <row r="19" spans="1:62" x14ac:dyDescent="0.35">
      <c r="A19" s="40" t="s">
        <v>300</v>
      </c>
      <c r="B19" s="39" t="str">
        <f>IFERROR(INDEX(added_new_stocks!$F$6:$H$2155,MATCH($A19,added_new_stocks!$F$6:$F$2600,0),3),"")</f>
        <v>Large</v>
      </c>
      <c r="C19" s="39">
        <v>444.2</v>
      </c>
      <c r="D19" s="39">
        <v>45</v>
      </c>
      <c r="G19" s="39" t="s">
        <v>4625</v>
      </c>
      <c r="H19" s="39" t="s">
        <v>6655</v>
      </c>
      <c r="I19" s="39" t="s">
        <v>4996</v>
      </c>
      <c r="J19" s="39" t="s">
        <v>6656</v>
      </c>
      <c r="K19" s="40" t="s">
        <v>4615</v>
      </c>
      <c r="L19" s="39" t="s">
        <v>6657</v>
      </c>
      <c r="M19" s="39" t="s">
        <v>135</v>
      </c>
      <c r="N19" s="39">
        <v>10</v>
      </c>
      <c r="O19" s="39">
        <v>-5</v>
      </c>
      <c r="P19" s="39">
        <v>5</v>
      </c>
      <c r="Q19" s="39" t="s">
        <v>4611</v>
      </c>
      <c r="R19" s="39">
        <v>0.74</v>
      </c>
      <c r="S19" s="39">
        <v>-1.92</v>
      </c>
      <c r="T19" s="39">
        <v>-2.2999999999999998</v>
      </c>
      <c r="U19" s="39">
        <v>3.07</v>
      </c>
      <c r="V19" s="39">
        <v>19.78</v>
      </c>
      <c r="W19" s="39">
        <v>-15.25</v>
      </c>
      <c r="X19" s="39">
        <v>8.01</v>
      </c>
      <c r="Y19" s="39">
        <v>6.29</v>
      </c>
      <c r="Z19" s="39">
        <v>99.91</v>
      </c>
      <c r="AA19" s="39">
        <v>119.63</v>
      </c>
      <c r="AB19" s="39">
        <v>86.44</v>
      </c>
      <c r="AC19" s="39">
        <v>160.07</v>
      </c>
      <c r="AD19" s="39" t="s">
        <v>4606</v>
      </c>
      <c r="AE19" s="39">
        <v>100</v>
      </c>
      <c r="AF19" s="39">
        <v>42</v>
      </c>
      <c r="AG19" s="42">
        <v>5.5800000000000002E-2</v>
      </c>
      <c r="AH19" s="39">
        <v>548</v>
      </c>
      <c r="AI19" s="42">
        <v>0.1246</v>
      </c>
      <c r="AJ19" s="39" t="s">
        <v>6658</v>
      </c>
      <c r="AK19" s="42">
        <v>0.63160000000000005</v>
      </c>
      <c r="AL19" s="39" t="s">
        <v>136</v>
      </c>
      <c r="AM19" s="42">
        <v>6.3E-2</v>
      </c>
      <c r="AN19" s="42">
        <v>7.2800000000000004E-2</v>
      </c>
      <c r="AO19" s="41">
        <v>45</v>
      </c>
      <c r="AP19" s="39">
        <v>28</v>
      </c>
      <c r="AQ19" s="39">
        <v>52</v>
      </c>
      <c r="AR19" s="39">
        <v>470</v>
      </c>
      <c r="AS19" s="39">
        <v>8</v>
      </c>
      <c r="AT19" s="39" t="s">
        <v>4562</v>
      </c>
      <c r="AU19" s="39">
        <v>38</v>
      </c>
      <c r="AV19" s="39" t="s">
        <v>6254</v>
      </c>
      <c r="AW19" s="39">
        <v>445.23</v>
      </c>
      <c r="AX19" s="39">
        <v>455.87</v>
      </c>
      <c r="AY19" s="39">
        <v>463.43</v>
      </c>
      <c r="AZ19" s="39">
        <v>427.03</v>
      </c>
      <c r="BA19" s="39">
        <v>419.47</v>
      </c>
      <c r="BB19" s="39">
        <v>408.83</v>
      </c>
      <c r="BC19" s="39">
        <v>6</v>
      </c>
      <c r="BD19" s="39">
        <v>4</v>
      </c>
      <c r="BE19" s="39">
        <v>3</v>
      </c>
      <c r="BF19" s="39" t="s">
        <v>130</v>
      </c>
      <c r="BG19" s="39">
        <v>214.4</v>
      </c>
      <c r="BH19" s="39">
        <v>0.5</v>
      </c>
      <c r="BI19" s="39" t="s">
        <v>4563</v>
      </c>
      <c r="BJ19" s="39" t="s">
        <v>4563</v>
      </c>
    </row>
    <row r="20" spans="1:62" x14ac:dyDescent="0.35">
      <c r="A20" s="98" t="s">
        <v>6468</v>
      </c>
      <c r="B20" s="39" t="str">
        <f>IFERROR(INDEX(added_new_stocks!$F$6:$H$2155,MATCH($A20,added_new_stocks!$F$6:$F$2600,0),3),"")</f>
        <v/>
      </c>
      <c r="C20" s="48">
        <v>1436.1</v>
      </c>
      <c r="D20" s="39">
        <v>64</v>
      </c>
      <c r="G20" s="39" t="s">
        <v>4562</v>
      </c>
      <c r="H20" s="39" t="s">
        <v>5006</v>
      </c>
      <c r="I20" s="39" t="s">
        <v>4624</v>
      </c>
      <c r="J20" s="39" t="s">
        <v>5007</v>
      </c>
      <c r="K20" s="40" t="s">
        <v>4615</v>
      </c>
      <c r="L20" s="39" t="s">
        <v>5008</v>
      </c>
      <c r="M20" s="39" t="s">
        <v>4959</v>
      </c>
      <c r="N20" s="39">
        <v>17</v>
      </c>
      <c r="O20" s="39">
        <v>0</v>
      </c>
      <c r="P20" s="39">
        <v>17</v>
      </c>
      <c r="Q20" s="39" t="s">
        <v>14</v>
      </c>
      <c r="R20" s="39">
        <v>1.28</v>
      </c>
      <c r="S20" s="39">
        <v>1.92</v>
      </c>
      <c r="T20" s="39">
        <v>26.11</v>
      </c>
      <c r="U20" s="39">
        <v>66.92</v>
      </c>
      <c r="V20" s="39">
        <v>84.49</v>
      </c>
      <c r="W20" s="39">
        <v>104.73</v>
      </c>
      <c r="X20" s="39">
        <v>118.19</v>
      </c>
      <c r="Y20" s="39" t="s">
        <v>4538</v>
      </c>
      <c r="Z20" s="39" t="s">
        <v>4538</v>
      </c>
      <c r="AA20" s="39" t="s">
        <v>4538</v>
      </c>
      <c r="AB20" s="39" t="s">
        <v>4538</v>
      </c>
      <c r="AC20" s="39" t="s">
        <v>4538</v>
      </c>
      <c r="AD20" s="39" t="s">
        <v>4606</v>
      </c>
      <c r="AE20" s="39" t="s">
        <v>134</v>
      </c>
      <c r="AF20" s="39">
        <v>9</v>
      </c>
      <c r="AG20" s="42">
        <v>9.5899999999999999E-2</v>
      </c>
      <c r="AH20" s="39">
        <v>55</v>
      </c>
      <c r="AI20" s="42">
        <v>2.1100000000000001E-2</v>
      </c>
      <c r="AJ20" s="39" t="s">
        <v>5009</v>
      </c>
      <c r="AK20" s="42">
        <v>0.19980000000000001</v>
      </c>
      <c r="AL20" s="39" t="s">
        <v>5010</v>
      </c>
      <c r="AM20" s="42">
        <v>2.7E-2</v>
      </c>
      <c r="AN20" s="42">
        <v>0.2427</v>
      </c>
      <c r="AO20" s="41">
        <v>70</v>
      </c>
      <c r="AP20" s="39">
        <v>19</v>
      </c>
      <c r="AQ20" s="39">
        <v>66</v>
      </c>
      <c r="AR20" s="45">
        <v>1070</v>
      </c>
      <c r="AS20" s="39">
        <v>-25</v>
      </c>
      <c r="AT20" s="39" t="s">
        <v>4633</v>
      </c>
      <c r="AU20" s="39">
        <v>1</v>
      </c>
      <c r="AV20" s="39" t="s">
        <v>6255</v>
      </c>
      <c r="AW20" s="39">
        <v>1443.7</v>
      </c>
      <c r="AX20" s="39">
        <v>1467.4</v>
      </c>
      <c r="AY20" s="39">
        <v>1486.75</v>
      </c>
      <c r="AZ20" s="39">
        <v>1400.65</v>
      </c>
      <c r="BA20" s="39">
        <v>1381.3</v>
      </c>
      <c r="BB20" s="39">
        <v>1357.6</v>
      </c>
      <c r="BC20" s="39">
        <v>16</v>
      </c>
      <c r="BD20" s="39">
        <v>3</v>
      </c>
      <c r="BE20" s="39">
        <v>2</v>
      </c>
      <c r="BF20" s="39" t="s">
        <v>130</v>
      </c>
      <c r="BG20" s="39">
        <v>335.9</v>
      </c>
      <c r="BH20" s="39">
        <v>0.2</v>
      </c>
      <c r="BI20" s="39" t="s">
        <v>131</v>
      </c>
      <c r="BJ20" s="39" t="s">
        <v>132</v>
      </c>
    </row>
    <row r="21" spans="1:62" x14ac:dyDescent="0.35">
      <c r="A21" s="40" t="s">
        <v>799</v>
      </c>
      <c r="B21" s="39" t="str">
        <f>IFERROR(INDEX(added_new_stocks!$F$6:$H$2155,MATCH($A21,added_new_stocks!$F$6:$F$2600,0),3),"")</f>
        <v>Mid</v>
      </c>
      <c r="C21" s="48">
        <v>1792.65</v>
      </c>
      <c r="D21" s="39">
        <v>71</v>
      </c>
      <c r="G21" s="39" t="s">
        <v>129</v>
      </c>
      <c r="H21" s="39" t="s">
        <v>6659</v>
      </c>
      <c r="I21" s="39" t="s">
        <v>4624</v>
      </c>
      <c r="J21" s="39" t="s">
        <v>6660</v>
      </c>
      <c r="K21" s="40" t="s">
        <v>133</v>
      </c>
      <c r="L21" s="39" t="s">
        <v>4998</v>
      </c>
      <c r="M21" s="39" t="s">
        <v>4959</v>
      </c>
      <c r="N21" s="39">
        <v>11</v>
      </c>
      <c r="O21" s="39">
        <v>0</v>
      </c>
      <c r="P21" s="39">
        <v>11</v>
      </c>
      <c r="Q21" s="39" t="s">
        <v>14</v>
      </c>
      <c r="R21" s="39">
        <v>1.1100000000000001</v>
      </c>
      <c r="S21" s="39">
        <v>2.2599999999999998</v>
      </c>
      <c r="T21" s="39">
        <v>14.46</v>
      </c>
      <c r="U21" s="39">
        <v>37.81</v>
      </c>
      <c r="V21" s="39">
        <v>69.02</v>
      </c>
      <c r="W21" s="39">
        <v>36.69</v>
      </c>
      <c r="X21" s="39">
        <v>37.17</v>
      </c>
      <c r="Y21" s="39">
        <v>49.43</v>
      </c>
      <c r="Z21" s="39" t="s">
        <v>4538</v>
      </c>
      <c r="AA21" s="39" t="s">
        <v>4538</v>
      </c>
      <c r="AB21" s="39" t="s">
        <v>4538</v>
      </c>
      <c r="AC21" s="39" t="s">
        <v>4538</v>
      </c>
      <c r="AD21" s="39" t="s">
        <v>4606</v>
      </c>
      <c r="AE21" s="39" t="s">
        <v>134</v>
      </c>
      <c r="AF21" s="39">
        <v>14</v>
      </c>
      <c r="AG21" s="42">
        <v>8.2799999999999999E-2</v>
      </c>
      <c r="AH21" s="39">
        <v>148</v>
      </c>
      <c r="AI21" s="42">
        <v>0.1704</v>
      </c>
      <c r="AJ21" s="39" t="s">
        <v>6661</v>
      </c>
      <c r="AK21" s="42">
        <v>0.2001</v>
      </c>
      <c r="AL21" s="39" t="s">
        <v>6662</v>
      </c>
      <c r="AM21" s="42">
        <v>5.8599999999999999E-2</v>
      </c>
      <c r="AN21" s="42">
        <v>0.314</v>
      </c>
      <c r="AO21" s="41">
        <v>65</v>
      </c>
      <c r="AP21" s="39">
        <v>40</v>
      </c>
      <c r="AQ21" s="39">
        <v>68</v>
      </c>
      <c r="AR21" s="45">
        <v>1898</v>
      </c>
      <c r="AS21" s="39">
        <v>11</v>
      </c>
      <c r="AT21" s="39" t="s">
        <v>129</v>
      </c>
      <c r="AU21" s="39">
        <v>6</v>
      </c>
      <c r="AV21" s="39" t="s">
        <v>6256</v>
      </c>
      <c r="AW21" s="39">
        <v>1738.05</v>
      </c>
      <c r="AX21" s="39">
        <v>1761.5</v>
      </c>
      <c r="AY21" s="39">
        <v>1795</v>
      </c>
      <c r="AZ21" s="39">
        <v>1681.1</v>
      </c>
      <c r="BA21" s="39">
        <v>1647.6</v>
      </c>
      <c r="BB21" s="39">
        <v>1624.15</v>
      </c>
      <c r="BC21" s="39">
        <v>17</v>
      </c>
      <c r="BD21" s="39">
        <v>2</v>
      </c>
      <c r="BE21" s="39">
        <v>5</v>
      </c>
      <c r="BF21" s="39" t="s">
        <v>130</v>
      </c>
      <c r="BG21" s="39">
        <v>802</v>
      </c>
      <c r="BH21" s="39">
        <v>0.5</v>
      </c>
      <c r="BI21" s="39" t="s">
        <v>4651</v>
      </c>
      <c r="BJ21" s="39" t="s">
        <v>4563</v>
      </c>
    </row>
    <row r="22" spans="1:62" x14ac:dyDescent="0.35">
      <c r="A22" s="40" t="s">
        <v>805</v>
      </c>
      <c r="B22" s="39" t="str">
        <f>IFERROR(INDEX(added_new_stocks!$F$6:$H$2155,MATCH($A22,added_new_stocks!$F$6:$F$2600,0),3),"")</f>
        <v>Mid</v>
      </c>
      <c r="C22" s="48">
        <v>4968.3</v>
      </c>
      <c r="D22" s="39">
        <v>85</v>
      </c>
      <c r="G22" s="39" t="s">
        <v>4633</v>
      </c>
      <c r="H22" s="39" t="s">
        <v>6663</v>
      </c>
      <c r="I22" s="39" t="s">
        <v>4624</v>
      </c>
      <c r="J22" s="39" t="s">
        <v>6664</v>
      </c>
      <c r="K22" s="40" t="s">
        <v>4957</v>
      </c>
      <c r="L22" s="39" t="s">
        <v>6665</v>
      </c>
      <c r="M22" s="39" t="s">
        <v>4620</v>
      </c>
      <c r="N22" s="39">
        <v>29</v>
      </c>
      <c r="O22" s="39">
        <v>-2</v>
      </c>
      <c r="P22" s="39">
        <v>27</v>
      </c>
      <c r="Q22" s="39" t="s">
        <v>5060</v>
      </c>
      <c r="R22" s="39">
        <v>-1.24</v>
      </c>
      <c r="S22" s="39">
        <v>2.4</v>
      </c>
      <c r="T22" s="39">
        <v>28.58</v>
      </c>
      <c r="U22" s="39">
        <v>83.23</v>
      </c>
      <c r="V22" s="39">
        <v>113.37</v>
      </c>
      <c r="W22" s="39">
        <v>177.06</v>
      </c>
      <c r="X22" s="39">
        <v>271.42</v>
      </c>
      <c r="Y22" s="39">
        <v>637.29999999999995</v>
      </c>
      <c r="Z22" s="39">
        <v>1327.06</v>
      </c>
      <c r="AA22" s="39">
        <v>828.74</v>
      </c>
      <c r="AB22" s="39">
        <v>707.2</v>
      </c>
      <c r="AC22" s="39">
        <v>5630.45</v>
      </c>
      <c r="AD22" s="39" t="s">
        <v>4606</v>
      </c>
      <c r="AE22" s="39" t="s">
        <v>134</v>
      </c>
      <c r="AF22" s="39">
        <v>13</v>
      </c>
      <c r="AG22" s="42">
        <v>0.1741</v>
      </c>
      <c r="AH22" s="39">
        <v>154</v>
      </c>
      <c r="AI22" s="42">
        <v>7.4700000000000003E-2</v>
      </c>
      <c r="AJ22" s="39" t="s">
        <v>6666</v>
      </c>
      <c r="AK22" s="42">
        <v>0.24060000000000001</v>
      </c>
      <c r="AL22" s="39" t="s">
        <v>6667</v>
      </c>
      <c r="AM22" s="42">
        <v>6.3200000000000006E-2</v>
      </c>
      <c r="AN22" s="42">
        <v>0.1105</v>
      </c>
      <c r="AO22" s="41">
        <v>95</v>
      </c>
      <c r="AP22" s="39">
        <v>39</v>
      </c>
      <c r="AQ22" s="39">
        <v>76</v>
      </c>
      <c r="AR22" s="45">
        <v>3179</v>
      </c>
      <c r="AS22" s="39">
        <v>-36</v>
      </c>
      <c r="AT22" s="39" t="s">
        <v>129</v>
      </c>
      <c r="AU22" s="39">
        <v>3</v>
      </c>
      <c r="AV22" s="39" t="s">
        <v>6257</v>
      </c>
      <c r="AW22" s="39">
        <v>5077.6499999999996</v>
      </c>
      <c r="AX22" s="39">
        <v>5155.3</v>
      </c>
      <c r="AY22" s="39">
        <v>5261.6</v>
      </c>
      <c r="AZ22" s="39">
        <v>4893.7</v>
      </c>
      <c r="BA22" s="39">
        <v>4787.3999999999996</v>
      </c>
      <c r="BB22" s="39">
        <v>4709.75</v>
      </c>
      <c r="BC22" s="39">
        <v>19</v>
      </c>
      <c r="BD22" s="39">
        <v>2</v>
      </c>
      <c r="BE22" s="39">
        <v>7</v>
      </c>
      <c r="BF22" s="39" t="s">
        <v>130</v>
      </c>
      <c r="BG22" s="48">
        <v>1564.8</v>
      </c>
      <c r="BH22" s="39">
        <v>0.3</v>
      </c>
      <c r="BI22" s="39" t="s">
        <v>131</v>
      </c>
      <c r="BJ22" s="39" t="s">
        <v>4563</v>
      </c>
    </row>
    <row r="23" spans="1:62" x14ac:dyDescent="0.35">
      <c r="A23" s="40" t="s">
        <v>452</v>
      </c>
      <c r="B23" s="39" t="str">
        <f>IFERROR(INDEX(added_new_stocks!$F$6:$H$2155,MATCH($A23,added_new_stocks!$F$6:$F$2600,0),3),"")</f>
        <v>Large</v>
      </c>
      <c r="C23" s="48">
        <v>1637</v>
      </c>
      <c r="D23" s="39">
        <v>80</v>
      </c>
      <c r="E23" s="39" t="s">
        <v>4987</v>
      </c>
      <c r="F23" s="39" t="s">
        <v>6668</v>
      </c>
      <c r="G23" s="39" t="s">
        <v>4633</v>
      </c>
      <c r="H23" s="39" t="s">
        <v>5012</v>
      </c>
      <c r="I23" s="39" t="s">
        <v>4624</v>
      </c>
      <c r="J23" s="39" t="s">
        <v>5013</v>
      </c>
      <c r="K23" s="40" t="s">
        <v>4957</v>
      </c>
      <c r="L23" s="39" t="s">
        <v>6669</v>
      </c>
      <c r="M23" s="39" t="s">
        <v>4620</v>
      </c>
      <c r="N23" s="39">
        <v>14</v>
      </c>
      <c r="O23" s="39">
        <v>-2</v>
      </c>
      <c r="P23" s="39">
        <v>12</v>
      </c>
      <c r="Q23" s="39" t="s">
        <v>14</v>
      </c>
      <c r="R23" s="39">
        <v>0.78</v>
      </c>
      <c r="S23" s="39">
        <v>3.05</v>
      </c>
      <c r="T23" s="39">
        <v>6.39</v>
      </c>
      <c r="U23" s="39">
        <v>46.95</v>
      </c>
      <c r="V23" s="39">
        <v>31.32</v>
      </c>
      <c r="W23" s="39">
        <v>49.77</v>
      </c>
      <c r="X23" s="39">
        <v>72.91</v>
      </c>
      <c r="Y23" s="39">
        <v>99.32</v>
      </c>
      <c r="Z23" s="39">
        <v>574.54</v>
      </c>
      <c r="AA23" s="39">
        <v>1133.6600000000001</v>
      </c>
      <c r="AB23" s="39">
        <v>898.05</v>
      </c>
      <c r="AC23" s="39">
        <v>11897.07</v>
      </c>
      <c r="AD23" s="39" t="s">
        <v>5015</v>
      </c>
      <c r="AE23" s="39" t="s">
        <v>134</v>
      </c>
      <c r="AF23" s="39">
        <v>26</v>
      </c>
      <c r="AG23" s="42">
        <v>8.8200000000000001E-2</v>
      </c>
      <c r="AH23" s="39">
        <v>308</v>
      </c>
      <c r="AI23" s="42">
        <v>0.25080000000000002</v>
      </c>
      <c r="AJ23" s="39" t="s">
        <v>5016</v>
      </c>
      <c r="AK23" s="42">
        <v>0.27710000000000001</v>
      </c>
      <c r="AL23" s="39" t="s">
        <v>5017</v>
      </c>
      <c r="AM23" s="42">
        <v>6.6699999999999995E-2</v>
      </c>
      <c r="AN23" s="42">
        <v>0.16259999999999999</v>
      </c>
      <c r="AO23" s="41">
        <v>65</v>
      </c>
      <c r="AP23" s="39">
        <v>17</v>
      </c>
      <c r="AQ23" s="39">
        <v>69</v>
      </c>
      <c r="AR23" s="45">
        <v>1501</v>
      </c>
      <c r="AS23" s="39">
        <v>-11</v>
      </c>
      <c r="AT23" s="39" t="s">
        <v>129</v>
      </c>
      <c r="AU23" s="39">
        <v>12</v>
      </c>
      <c r="AV23" s="39" t="s">
        <v>6258</v>
      </c>
      <c r="AW23" s="39">
        <v>1724.68</v>
      </c>
      <c r="AX23" s="39">
        <v>1754.67</v>
      </c>
      <c r="AY23" s="39">
        <v>1800.33</v>
      </c>
      <c r="AZ23" s="39">
        <v>1649.03</v>
      </c>
      <c r="BA23" s="39">
        <v>1603.37</v>
      </c>
      <c r="BB23" s="39">
        <v>1573.38</v>
      </c>
      <c r="BC23" s="39">
        <v>11</v>
      </c>
      <c r="BD23" s="39">
        <v>3</v>
      </c>
      <c r="BE23" s="39">
        <v>5</v>
      </c>
      <c r="BF23" s="39" t="s">
        <v>130</v>
      </c>
      <c r="BG23" s="39">
        <v>250.7</v>
      </c>
      <c r="BH23" s="39">
        <v>0.1</v>
      </c>
      <c r="BI23" s="39" t="s">
        <v>4563</v>
      </c>
    </row>
    <row r="24" spans="1:62" x14ac:dyDescent="0.35">
      <c r="A24" s="40" t="s">
        <v>793</v>
      </c>
      <c r="B24" s="39" t="str">
        <f>IFERROR(INDEX(added_new_stocks!$F$6:$H$2155,MATCH($A24,added_new_stocks!$F$6:$F$2600,0),3),"")</f>
        <v>Mid</v>
      </c>
      <c r="C24" s="39">
        <v>770.2</v>
      </c>
      <c r="D24" s="39">
        <v>68</v>
      </c>
      <c r="G24" s="39" t="s">
        <v>4562</v>
      </c>
      <c r="H24" s="39" t="s">
        <v>6670</v>
      </c>
      <c r="I24" s="39" t="s">
        <v>4989</v>
      </c>
      <c r="J24" s="39" t="s">
        <v>6671</v>
      </c>
      <c r="K24" s="40" t="s">
        <v>133</v>
      </c>
      <c r="L24" s="39" t="s">
        <v>6672</v>
      </c>
      <c r="M24" s="39" t="s">
        <v>135</v>
      </c>
      <c r="N24" s="39">
        <v>21</v>
      </c>
      <c r="O24" s="39">
        <v>-2</v>
      </c>
      <c r="P24" s="39">
        <v>19</v>
      </c>
      <c r="Q24" s="39" t="s">
        <v>14</v>
      </c>
      <c r="R24" s="39">
        <v>0.44</v>
      </c>
      <c r="S24" s="39">
        <v>0.67</v>
      </c>
      <c r="T24" s="39">
        <v>-1.38</v>
      </c>
      <c r="U24" s="39">
        <v>38.65</v>
      </c>
      <c r="V24" s="39">
        <v>53.06</v>
      </c>
      <c r="W24" s="39">
        <v>34.4</v>
      </c>
      <c r="X24" s="39">
        <v>18.84</v>
      </c>
      <c r="Y24" s="39">
        <v>2.56</v>
      </c>
      <c r="Z24" s="39">
        <v>-22.13</v>
      </c>
      <c r="AA24" s="39">
        <v>54.6</v>
      </c>
      <c r="AB24" s="39">
        <v>30.54</v>
      </c>
      <c r="AC24" s="39">
        <v>473.49</v>
      </c>
      <c r="AD24" s="39" t="s">
        <v>4606</v>
      </c>
      <c r="AE24" s="39" t="s">
        <v>134</v>
      </c>
      <c r="AF24" s="39">
        <v>11</v>
      </c>
      <c r="AG24" s="42">
        <v>6.6400000000000001E-2</v>
      </c>
      <c r="AH24" s="39">
        <v>127</v>
      </c>
      <c r="AI24" s="42">
        <v>4.3400000000000001E-2</v>
      </c>
      <c r="AJ24" s="39" t="s">
        <v>4971</v>
      </c>
      <c r="AK24" s="42">
        <v>0.35630000000000001</v>
      </c>
      <c r="AL24" s="39" t="s">
        <v>136</v>
      </c>
      <c r="AM24" s="42">
        <v>4.3299999999999998E-2</v>
      </c>
      <c r="AN24" s="42">
        <v>8.9800000000000005E-2</v>
      </c>
      <c r="AO24" s="41">
        <v>75</v>
      </c>
      <c r="AP24" s="39">
        <v>41</v>
      </c>
      <c r="AQ24" s="39">
        <v>63</v>
      </c>
      <c r="AR24" s="39">
        <v>715</v>
      </c>
      <c r="AS24" s="39">
        <v>-5</v>
      </c>
      <c r="AT24" s="39" t="s">
        <v>4625</v>
      </c>
      <c r="AU24" s="39">
        <v>15</v>
      </c>
      <c r="AV24" s="39" t="s">
        <v>6259</v>
      </c>
      <c r="AW24" s="39">
        <v>762.18</v>
      </c>
      <c r="AX24" s="39">
        <v>770.22</v>
      </c>
      <c r="AY24" s="39">
        <v>780.88</v>
      </c>
      <c r="AZ24" s="39">
        <v>743.48</v>
      </c>
      <c r="BA24" s="39">
        <v>732.82</v>
      </c>
      <c r="BB24" s="39">
        <v>724.78</v>
      </c>
      <c r="BC24" s="39">
        <v>4</v>
      </c>
      <c r="BD24" s="39">
        <v>5</v>
      </c>
      <c r="BE24" s="39">
        <v>3</v>
      </c>
      <c r="BF24" s="39" t="s">
        <v>130</v>
      </c>
      <c r="BG24" s="39">
        <v>366.8</v>
      </c>
      <c r="BH24" s="39">
        <v>0.5</v>
      </c>
      <c r="BI24" s="39" t="s">
        <v>4565</v>
      </c>
      <c r="BJ24" s="39" t="s">
        <v>4563</v>
      </c>
    </row>
    <row r="25" spans="1:62" x14ac:dyDescent="0.35">
      <c r="A25" s="40" t="s">
        <v>2307</v>
      </c>
      <c r="B25" s="39" t="str">
        <f>IFERROR(INDEX(added_new_stocks!$F$6:$H$2155,MATCH($A25,added_new_stocks!$F$6:$F$2600,0),3),"")</f>
        <v>Small</v>
      </c>
      <c r="C25" s="48">
        <v>4875</v>
      </c>
      <c r="D25" s="39">
        <v>47</v>
      </c>
      <c r="G25" s="39" t="s">
        <v>4625</v>
      </c>
      <c r="H25" s="39" t="s">
        <v>6673</v>
      </c>
      <c r="I25" s="39" t="s">
        <v>4989</v>
      </c>
      <c r="J25" s="39" t="s">
        <v>6674</v>
      </c>
      <c r="K25" s="40" t="s">
        <v>4615</v>
      </c>
      <c r="L25" s="39" t="s">
        <v>6675</v>
      </c>
      <c r="M25" s="39" t="s">
        <v>135</v>
      </c>
      <c r="N25" s="39">
        <v>3</v>
      </c>
      <c r="O25" s="39">
        <v>-10</v>
      </c>
      <c r="P25" s="39">
        <v>-7</v>
      </c>
      <c r="Q25" s="39" t="s">
        <v>4605</v>
      </c>
      <c r="R25" s="39">
        <v>-7.0000000000000007E-2</v>
      </c>
      <c r="S25" s="39">
        <v>-1.44</v>
      </c>
      <c r="T25" s="39">
        <v>-8.77</v>
      </c>
      <c r="U25" s="39">
        <v>5.9</v>
      </c>
      <c r="V25" s="39">
        <v>10.72</v>
      </c>
      <c r="W25" s="39">
        <v>8.85</v>
      </c>
      <c r="X25" s="39">
        <v>12.94</v>
      </c>
      <c r="Y25" s="39">
        <v>2.5099999999999998</v>
      </c>
      <c r="Z25" s="39">
        <v>193.27</v>
      </c>
      <c r="AA25" s="39">
        <v>223.12</v>
      </c>
      <c r="AB25" s="39">
        <v>308.98</v>
      </c>
      <c r="AC25" s="39">
        <v>464.14</v>
      </c>
      <c r="AD25" s="39" t="s">
        <v>4974</v>
      </c>
      <c r="AE25" s="39">
        <v>16.3</v>
      </c>
      <c r="AF25" s="39">
        <v>185</v>
      </c>
      <c r="AG25" s="42">
        <v>0.12039999999999999</v>
      </c>
      <c r="AH25" s="39">
        <v>1018</v>
      </c>
      <c r="AI25" s="42">
        <v>0.4793</v>
      </c>
      <c r="AJ25" s="39" t="s">
        <v>6676</v>
      </c>
      <c r="AK25" s="42">
        <v>0.1893</v>
      </c>
      <c r="AL25" s="39" t="s">
        <v>6677</v>
      </c>
      <c r="AM25" s="42">
        <v>2.2100000000000002E-2</v>
      </c>
      <c r="AN25" s="42">
        <v>3.8899999999999997E-2</v>
      </c>
      <c r="AO25" s="41">
        <v>55</v>
      </c>
      <c r="AP25" s="39">
        <v>13</v>
      </c>
      <c r="AQ25" s="39">
        <v>48</v>
      </c>
      <c r="AR25" s="45">
        <v>5527</v>
      </c>
      <c r="AS25" s="39">
        <v>14</v>
      </c>
      <c r="AT25" s="39" t="s">
        <v>129</v>
      </c>
      <c r="AU25" s="39">
        <v>24</v>
      </c>
      <c r="AV25" s="39" t="s">
        <v>6260</v>
      </c>
      <c r="AW25" s="39">
        <v>4903.7299999999996</v>
      </c>
      <c r="AX25" s="39">
        <v>4941.97</v>
      </c>
      <c r="AY25" s="39">
        <v>4970.83</v>
      </c>
      <c r="AZ25" s="39">
        <v>4836.63</v>
      </c>
      <c r="BA25" s="39">
        <v>4807.7700000000004</v>
      </c>
      <c r="BB25" s="39">
        <v>4769.53</v>
      </c>
      <c r="BC25" s="39">
        <v>6</v>
      </c>
      <c r="BD25" s="39">
        <v>3</v>
      </c>
      <c r="BE25" s="39">
        <v>2</v>
      </c>
      <c r="BF25" s="39" t="s">
        <v>130</v>
      </c>
      <c r="BG25" s="39">
        <v>689.3</v>
      </c>
      <c r="BH25" s="39">
        <v>0.1</v>
      </c>
      <c r="BI25" s="39" t="s">
        <v>4651</v>
      </c>
      <c r="BJ25" s="39" t="s">
        <v>132</v>
      </c>
    </row>
    <row r="26" spans="1:62" x14ac:dyDescent="0.35">
      <c r="A26" s="40" t="s">
        <v>322</v>
      </c>
      <c r="B26" s="39" t="str">
        <f>IFERROR(INDEX(added_new_stocks!$F$6:$H$2155,MATCH($A26,added_new_stocks!$F$6:$F$2600,0),3),"")</f>
        <v>Large</v>
      </c>
      <c r="C26" s="48">
        <v>4875</v>
      </c>
      <c r="D26" s="39">
        <v>47</v>
      </c>
      <c r="G26" s="39" t="s">
        <v>4625</v>
      </c>
      <c r="H26" s="39" t="s">
        <v>6673</v>
      </c>
      <c r="I26" s="39" t="s">
        <v>4989</v>
      </c>
      <c r="J26" s="39" t="s">
        <v>6674</v>
      </c>
      <c r="K26" s="40" t="s">
        <v>4615</v>
      </c>
      <c r="L26" s="39" t="s">
        <v>6675</v>
      </c>
      <c r="M26" s="39" t="s">
        <v>135</v>
      </c>
      <c r="N26" s="39">
        <v>3</v>
      </c>
      <c r="O26" s="39">
        <v>-10</v>
      </c>
      <c r="P26" s="39">
        <v>-7</v>
      </c>
      <c r="Q26" s="39" t="s">
        <v>4605</v>
      </c>
      <c r="R26" s="39">
        <v>-7.0000000000000007E-2</v>
      </c>
      <c r="S26" s="39">
        <v>-1.44</v>
      </c>
      <c r="T26" s="39">
        <v>-8.77</v>
      </c>
      <c r="U26" s="39">
        <v>5.9</v>
      </c>
      <c r="V26" s="39">
        <v>10.72</v>
      </c>
      <c r="W26" s="39">
        <v>8.85</v>
      </c>
      <c r="X26" s="39">
        <v>12.94</v>
      </c>
      <c r="Y26" s="39">
        <v>2.5099999999999998</v>
      </c>
      <c r="Z26" s="39">
        <v>193.27</v>
      </c>
      <c r="AA26" s="39">
        <v>223.12</v>
      </c>
      <c r="AB26" s="39">
        <v>308.98</v>
      </c>
      <c r="AC26" s="39">
        <v>464.14</v>
      </c>
      <c r="AD26" s="39" t="s">
        <v>4974</v>
      </c>
      <c r="AE26" s="39">
        <v>16.3</v>
      </c>
      <c r="AF26" s="39">
        <v>185</v>
      </c>
      <c r="AG26" s="42">
        <v>0.12039999999999999</v>
      </c>
      <c r="AH26" s="39">
        <v>1018</v>
      </c>
      <c r="AI26" s="42">
        <v>0.4793</v>
      </c>
      <c r="AJ26" s="39" t="s">
        <v>6676</v>
      </c>
      <c r="AK26" s="42">
        <v>0.1893</v>
      </c>
      <c r="AL26" s="39" t="s">
        <v>6677</v>
      </c>
      <c r="AM26" s="42">
        <v>2.2100000000000002E-2</v>
      </c>
      <c r="AN26" s="42">
        <v>3.8899999999999997E-2</v>
      </c>
      <c r="AO26" s="41">
        <v>55</v>
      </c>
      <c r="AP26" s="39">
        <v>13</v>
      </c>
      <c r="AQ26" s="39">
        <v>48</v>
      </c>
      <c r="AR26" s="45">
        <v>5527</v>
      </c>
      <c r="AS26" s="39">
        <v>14</v>
      </c>
      <c r="AT26" s="39" t="s">
        <v>129</v>
      </c>
      <c r="AU26" s="39">
        <v>24</v>
      </c>
      <c r="AV26" s="39" t="s">
        <v>6260</v>
      </c>
      <c r="AW26" s="39">
        <v>4903.7299999999996</v>
      </c>
      <c r="AX26" s="39">
        <v>4941.97</v>
      </c>
      <c r="AY26" s="39">
        <v>4970.83</v>
      </c>
      <c r="AZ26" s="39">
        <v>4836.63</v>
      </c>
      <c r="BA26" s="39">
        <v>4807.7700000000004</v>
      </c>
      <c r="BB26" s="39">
        <v>4769.53</v>
      </c>
      <c r="BC26" s="39">
        <v>6</v>
      </c>
      <c r="BD26" s="39">
        <v>3</v>
      </c>
      <c r="BE26" s="39">
        <v>2</v>
      </c>
      <c r="BF26" s="39" t="s">
        <v>130</v>
      </c>
      <c r="BG26" s="39">
        <v>689.3</v>
      </c>
      <c r="BH26" s="39">
        <v>0.1</v>
      </c>
      <c r="BI26" s="39" t="s">
        <v>4651</v>
      </c>
      <c r="BJ26" s="39" t="s">
        <v>132</v>
      </c>
    </row>
    <row r="27" spans="1:62" x14ac:dyDescent="0.35">
      <c r="A27" s="40" t="s">
        <v>1489</v>
      </c>
      <c r="B27" s="39" t="str">
        <f>IFERROR(INDEX(added_new_stocks!$F$6:$H$2155,MATCH($A27,added_new_stocks!$F$6:$F$2600,0),3),"")</f>
        <v>Small</v>
      </c>
      <c r="C27" s="39">
        <v>686</v>
      </c>
      <c r="D27" s="39">
        <v>57</v>
      </c>
      <c r="G27" s="39" t="s">
        <v>4562</v>
      </c>
      <c r="H27" s="39" t="s">
        <v>6678</v>
      </c>
      <c r="I27" s="39" t="s">
        <v>4989</v>
      </c>
      <c r="J27" s="39" t="s">
        <v>6679</v>
      </c>
      <c r="K27" s="40" t="s">
        <v>4615</v>
      </c>
      <c r="L27" s="39" t="s">
        <v>6680</v>
      </c>
      <c r="M27" s="39" t="s">
        <v>4959</v>
      </c>
      <c r="N27" s="39">
        <v>10</v>
      </c>
      <c r="O27" s="39">
        <v>-2</v>
      </c>
      <c r="P27" s="39">
        <v>8</v>
      </c>
      <c r="Q27" s="39" t="s">
        <v>14</v>
      </c>
      <c r="R27" s="39">
        <v>-0.88</v>
      </c>
      <c r="S27" s="39">
        <v>-1.61</v>
      </c>
      <c r="T27" s="39">
        <v>-5.05</v>
      </c>
      <c r="U27" s="39">
        <v>13.17</v>
      </c>
      <c r="V27" s="39">
        <v>36.11</v>
      </c>
      <c r="W27" s="39">
        <v>32.200000000000003</v>
      </c>
      <c r="X27" s="39">
        <v>25.42</v>
      </c>
      <c r="Y27" s="39">
        <v>40.96</v>
      </c>
      <c r="Z27" s="39">
        <v>413.92</v>
      </c>
      <c r="AA27" s="39">
        <v>481.4</v>
      </c>
      <c r="AB27" s="39">
        <v>288.49</v>
      </c>
      <c r="AC27" s="39">
        <v>7895.34</v>
      </c>
      <c r="AD27" s="39" t="s">
        <v>4606</v>
      </c>
      <c r="AE27" s="39" t="s">
        <v>134</v>
      </c>
      <c r="AF27" s="39">
        <v>8</v>
      </c>
      <c r="AG27" s="42">
        <v>0.12089999999999999</v>
      </c>
      <c r="AH27" s="39">
        <v>28</v>
      </c>
      <c r="AI27" s="42">
        <v>2.5600000000000001E-2</v>
      </c>
      <c r="AJ27" s="39" t="s">
        <v>6681</v>
      </c>
      <c r="AK27" s="42">
        <v>0.2621</v>
      </c>
      <c r="AL27" s="39" t="s">
        <v>6682</v>
      </c>
      <c r="AM27" s="42">
        <v>3.8100000000000002E-2</v>
      </c>
      <c r="AN27" s="42">
        <v>0.26379999999999998</v>
      </c>
      <c r="AO27" s="41">
        <v>50</v>
      </c>
      <c r="AP27" s="39">
        <v>14</v>
      </c>
      <c r="AQ27" s="39">
        <v>53</v>
      </c>
      <c r="AR27" s="39">
        <v>785</v>
      </c>
      <c r="AS27" s="39">
        <v>12</v>
      </c>
      <c r="AT27" s="39" t="s">
        <v>129</v>
      </c>
      <c r="AU27" s="39">
        <v>4</v>
      </c>
      <c r="AV27" s="39" t="s">
        <v>6261</v>
      </c>
      <c r="AW27" s="39">
        <v>705.53</v>
      </c>
      <c r="AX27" s="39">
        <v>710.77</v>
      </c>
      <c r="AY27" s="39">
        <v>719.53</v>
      </c>
      <c r="AZ27" s="39">
        <v>691.53</v>
      </c>
      <c r="BA27" s="39">
        <v>682.77</v>
      </c>
      <c r="BB27" s="39">
        <v>677.53</v>
      </c>
      <c r="BC27" s="39">
        <v>6</v>
      </c>
      <c r="BD27" s="39">
        <v>2</v>
      </c>
      <c r="BE27" s="39" t="s">
        <v>130</v>
      </c>
      <c r="BF27" s="39">
        <v>0.43</v>
      </c>
      <c r="BG27" s="39">
        <v>4</v>
      </c>
      <c r="BH27" s="39">
        <v>131.30000000000001</v>
      </c>
      <c r="BI27" s="39" t="s">
        <v>4563</v>
      </c>
      <c r="BJ27" s="39" t="s">
        <v>4563</v>
      </c>
    </row>
    <row r="28" spans="1:62" x14ac:dyDescent="0.35">
      <c r="A28" s="40" t="s">
        <v>1228</v>
      </c>
      <c r="B28" s="39" t="str">
        <f>IFERROR(INDEX(added_new_stocks!$F$6:$H$2155,MATCH($A28,added_new_stocks!$F$6:$F$2600,0),3),"")</f>
        <v>Small</v>
      </c>
      <c r="C28" s="39">
        <v>319.5</v>
      </c>
      <c r="D28" s="39">
        <v>50</v>
      </c>
      <c r="G28" s="39" t="s">
        <v>4562</v>
      </c>
      <c r="H28" s="39" t="s">
        <v>6683</v>
      </c>
      <c r="I28" s="39" t="s">
        <v>4989</v>
      </c>
      <c r="J28" s="39" t="s">
        <v>6684</v>
      </c>
      <c r="K28" s="40" t="s">
        <v>4615</v>
      </c>
      <c r="L28" s="39" t="s">
        <v>6685</v>
      </c>
      <c r="M28" s="39" t="s">
        <v>4955</v>
      </c>
      <c r="N28" s="39">
        <v>1</v>
      </c>
      <c r="O28" s="39">
        <v>-22</v>
      </c>
      <c r="P28" s="39">
        <v>-21</v>
      </c>
      <c r="Q28" s="39" t="s">
        <v>5026</v>
      </c>
      <c r="R28" s="39">
        <v>-0.33</v>
      </c>
      <c r="S28" s="39">
        <v>4.82</v>
      </c>
      <c r="T28" s="39">
        <v>-2.44</v>
      </c>
      <c r="U28" s="39">
        <v>17.309999999999999</v>
      </c>
      <c r="V28" s="39">
        <v>17.440000000000001</v>
      </c>
      <c r="W28" s="39">
        <v>-7.85</v>
      </c>
      <c r="X28" s="39">
        <v>16.14</v>
      </c>
      <c r="Y28" s="39">
        <v>24.95</v>
      </c>
      <c r="Z28" s="39">
        <v>105.33</v>
      </c>
      <c r="AA28" s="39">
        <v>-34.799999999999997</v>
      </c>
      <c r="AB28" s="39" t="s">
        <v>4538</v>
      </c>
      <c r="AC28" s="39" t="s">
        <v>4538</v>
      </c>
      <c r="AD28" s="39" t="s">
        <v>5015</v>
      </c>
      <c r="AE28" s="39">
        <v>7.97</v>
      </c>
      <c r="AF28" s="39">
        <v>37</v>
      </c>
      <c r="AG28" s="42">
        <v>8.4099999999999994E-2</v>
      </c>
      <c r="AH28" s="39">
        <v>70</v>
      </c>
      <c r="AI28" s="42">
        <v>0.1578</v>
      </c>
      <c r="AJ28" s="39" t="s">
        <v>5021</v>
      </c>
      <c r="AK28" s="42">
        <v>0.32840000000000003</v>
      </c>
      <c r="AL28" s="39" t="s">
        <v>6686</v>
      </c>
      <c r="AM28" s="42">
        <v>7.2099999999999997E-2</v>
      </c>
      <c r="AN28" s="42">
        <v>0.31430000000000002</v>
      </c>
      <c r="AO28" s="41">
        <v>75</v>
      </c>
      <c r="AP28" s="39">
        <v>32</v>
      </c>
      <c r="AQ28" s="39">
        <v>45</v>
      </c>
      <c r="AR28" s="39">
        <v>452</v>
      </c>
      <c r="AS28" s="39">
        <v>48</v>
      </c>
      <c r="AT28" s="39" t="s">
        <v>129</v>
      </c>
      <c r="AU28" s="39">
        <v>2</v>
      </c>
      <c r="AV28" s="39" t="s">
        <v>6262</v>
      </c>
      <c r="AW28" s="39">
        <v>307.98</v>
      </c>
      <c r="AX28" s="39">
        <v>311.12</v>
      </c>
      <c r="AY28" s="39">
        <v>316.18</v>
      </c>
      <c r="AZ28" s="39">
        <v>299.77999999999997</v>
      </c>
      <c r="BA28" s="39">
        <v>294.72000000000003</v>
      </c>
      <c r="BB28" s="39">
        <v>291.58</v>
      </c>
      <c r="BC28" s="39">
        <v>6</v>
      </c>
      <c r="BD28" s="39">
        <v>6</v>
      </c>
      <c r="BE28" s="39">
        <v>3</v>
      </c>
      <c r="BF28" s="39" t="s">
        <v>130</v>
      </c>
      <c r="BG28" s="39">
        <v>53.8</v>
      </c>
      <c r="BH28" s="39">
        <v>0.2</v>
      </c>
      <c r="BI28" s="39" t="s">
        <v>4563</v>
      </c>
      <c r="BJ28" s="39" t="s">
        <v>132</v>
      </c>
    </row>
    <row r="29" spans="1:62" x14ac:dyDescent="0.35">
      <c r="A29" s="40" t="s">
        <v>748</v>
      </c>
      <c r="B29" s="39" t="str">
        <f>IFERROR(INDEX(added_new_stocks!$F$6:$H$2155,MATCH($A29,added_new_stocks!$F$6:$F$2600,0),3),"")</f>
        <v>Mid</v>
      </c>
      <c r="C29" s="39">
        <v>583.35</v>
      </c>
      <c r="D29" s="39">
        <v>51</v>
      </c>
      <c r="G29" s="39" t="s">
        <v>4562</v>
      </c>
      <c r="H29" s="39" t="s">
        <v>6687</v>
      </c>
      <c r="I29" s="39" t="s">
        <v>4624</v>
      </c>
      <c r="J29" s="39" t="s">
        <v>6688</v>
      </c>
      <c r="K29" s="40" t="s">
        <v>4615</v>
      </c>
      <c r="L29" s="39" t="s">
        <v>6689</v>
      </c>
      <c r="M29" s="39" t="s">
        <v>4620</v>
      </c>
      <c r="N29" s="39">
        <v>1</v>
      </c>
      <c r="O29" s="39">
        <v>-10</v>
      </c>
      <c r="P29" s="39">
        <v>-9</v>
      </c>
      <c r="Q29" s="39" t="s">
        <v>4605</v>
      </c>
      <c r="R29" s="39">
        <v>-1.8</v>
      </c>
      <c r="S29" s="39">
        <v>16</v>
      </c>
      <c r="T29" s="39">
        <v>4.6900000000000004</v>
      </c>
      <c r="U29" s="39">
        <v>28.85</v>
      </c>
      <c r="V29" s="39">
        <v>20.85</v>
      </c>
      <c r="W29" s="39">
        <v>11.46</v>
      </c>
      <c r="X29" s="39">
        <v>-8.82</v>
      </c>
      <c r="Y29" s="39">
        <v>57.03</v>
      </c>
      <c r="Z29" s="39">
        <v>165.4</v>
      </c>
      <c r="AA29" s="39">
        <v>221.23</v>
      </c>
      <c r="AB29" s="39">
        <v>80.209999999999994</v>
      </c>
      <c r="AC29" s="39">
        <v>1734.43</v>
      </c>
      <c r="AD29" s="39" t="s">
        <v>4606</v>
      </c>
      <c r="AE29" s="39">
        <v>3.96</v>
      </c>
      <c r="AF29" s="39">
        <v>20</v>
      </c>
      <c r="AG29" s="42">
        <v>1.66E-2</v>
      </c>
      <c r="AH29" s="39">
        <v>90</v>
      </c>
      <c r="AI29" s="42">
        <v>3.6200000000000003E-2</v>
      </c>
      <c r="AJ29" s="39" t="s">
        <v>6690</v>
      </c>
      <c r="AK29" s="42">
        <v>0.22209999999999999</v>
      </c>
      <c r="AL29" s="39" t="s">
        <v>6691</v>
      </c>
      <c r="AM29" s="42">
        <v>4.5699999999999998E-2</v>
      </c>
      <c r="AN29" s="42">
        <v>0.20300000000000001</v>
      </c>
      <c r="AO29" s="41">
        <v>55</v>
      </c>
      <c r="AP29" s="39">
        <v>25</v>
      </c>
      <c r="AQ29" s="39">
        <v>55</v>
      </c>
      <c r="AR29" s="39">
        <v>555</v>
      </c>
      <c r="AS29" s="39">
        <v>-1</v>
      </c>
      <c r="AT29" s="39" t="s">
        <v>4562</v>
      </c>
      <c r="AU29" s="39">
        <v>2</v>
      </c>
      <c r="AV29" s="39" t="s">
        <v>6263</v>
      </c>
      <c r="AW29" s="39">
        <v>579.85</v>
      </c>
      <c r="AX29" s="39">
        <v>601</v>
      </c>
      <c r="AY29" s="39">
        <v>636</v>
      </c>
      <c r="AZ29" s="39">
        <v>523.70000000000005</v>
      </c>
      <c r="BA29" s="39">
        <v>488.7</v>
      </c>
      <c r="BB29" s="39">
        <v>467.55</v>
      </c>
      <c r="BC29" s="39">
        <v>7</v>
      </c>
      <c r="BD29" s="39">
        <v>3</v>
      </c>
      <c r="BE29" s="39">
        <v>8</v>
      </c>
      <c r="BF29" s="39" t="s">
        <v>130</v>
      </c>
      <c r="BG29" s="39">
        <v>168.2</v>
      </c>
      <c r="BH29" s="39">
        <v>0.3</v>
      </c>
      <c r="BI29" s="39" t="s">
        <v>4563</v>
      </c>
      <c r="BJ29" s="39" t="s">
        <v>132</v>
      </c>
    </row>
    <row r="30" spans="1:62" x14ac:dyDescent="0.35">
      <c r="A30" s="40" t="s">
        <v>1503</v>
      </c>
      <c r="B30" s="39" t="str">
        <f>IFERROR(INDEX(added_new_stocks!$F$6:$H$2155,MATCH($A30,added_new_stocks!$F$6:$F$2600,0),3),"")</f>
        <v>Small</v>
      </c>
      <c r="C30" s="39">
        <v>101.13</v>
      </c>
      <c r="D30" s="39">
        <v>60</v>
      </c>
      <c r="G30" s="39" t="s">
        <v>4562</v>
      </c>
      <c r="H30" s="39" t="s">
        <v>6692</v>
      </c>
      <c r="I30" s="39" t="s">
        <v>4624</v>
      </c>
      <c r="J30" s="39" t="s">
        <v>6693</v>
      </c>
      <c r="K30" s="40" t="s">
        <v>4615</v>
      </c>
      <c r="L30" s="39" t="s">
        <v>6694</v>
      </c>
      <c r="M30" s="39" t="s">
        <v>4955</v>
      </c>
      <c r="N30" s="39">
        <v>5</v>
      </c>
      <c r="O30" s="39">
        <v>-18</v>
      </c>
      <c r="P30" s="39">
        <v>-13</v>
      </c>
      <c r="Q30" s="39" t="s">
        <v>4605</v>
      </c>
      <c r="R30" s="39">
        <v>-0.31</v>
      </c>
      <c r="S30" s="39">
        <v>-1.1399999999999999</v>
      </c>
      <c r="T30" s="39">
        <v>2.88</v>
      </c>
      <c r="U30" s="39">
        <v>34.86</v>
      </c>
      <c r="V30" s="39">
        <v>35.200000000000003</v>
      </c>
      <c r="W30" s="39">
        <v>12.87</v>
      </c>
      <c r="X30" s="39">
        <v>25.71</v>
      </c>
      <c r="Y30" s="39">
        <v>1.49</v>
      </c>
      <c r="Z30" s="39">
        <v>37.869999999999997</v>
      </c>
      <c r="AA30" s="39">
        <v>2</v>
      </c>
      <c r="AB30" s="39">
        <v>-26.72</v>
      </c>
      <c r="AC30" s="39">
        <v>237.1</v>
      </c>
      <c r="AD30" s="39" t="s">
        <v>4606</v>
      </c>
      <c r="AE30" s="39" t="s">
        <v>134</v>
      </c>
      <c r="AF30" s="39">
        <v>20</v>
      </c>
      <c r="AG30" s="42">
        <v>0.18640000000000001</v>
      </c>
      <c r="AH30" s="39">
        <v>57</v>
      </c>
      <c r="AI30" s="42">
        <v>2.4E-2</v>
      </c>
      <c r="AJ30" s="39" t="s">
        <v>6695</v>
      </c>
      <c r="AK30" s="42">
        <v>0.13550000000000001</v>
      </c>
      <c r="AL30" s="39" t="s">
        <v>6696</v>
      </c>
      <c r="AM30" s="42">
        <v>9.1800000000000007E-2</v>
      </c>
      <c r="AN30" s="42">
        <v>0.21609999999999999</v>
      </c>
      <c r="AO30" s="41">
        <v>55</v>
      </c>
      <c r="AP30" s="39">
        <v>65</v>
      </c>
      <c r="AQ30" s="39">
        <v>61</v>
      </c>
      <c r="AR30" s="39">
        <v>119</v>
      </c>
      <c r="AS30" s="39">
        <v>20</v>
      </c>
      <c r="AT30" s="39" t="s">
        <v>129</v>
      </c>
      <c r="AU30" s="39">
        <v>8</v>
      </c>
      <c r="AV30" s="39" t="s">
        <v>6264</v>
      </c>
      <c r="AW30" s="39">
        <v>102.3</v>
      </c>
      <c r="AX30" s="39">
        <v>105.35</v>
      </c>
      <c r="AY30" s="39">
        <v>107.25</v>
      </c>
      <c r="AZ30" s="39">
        <v>97.35</v>
      </c>
      <c r="BA30" s="39">
        <v>95.45</v>
      </c>
      <c r="BB30" s="39">
        <v>92.4</v>
      </c>
      <c r="BC30" s="39">
        <v>7</v>
      </c>
      <c r="BD30" s="39">
        <v>3</v>
      </c>
      <c r="BE30" s="39">
        <v>6</v>
      </c>
      <c r="BF30" s="39" t="s">
        <v>130</v>
      </c>
      <c r="BG30" s="39">
        <v>131</v>
      </c>
      <c r="BH30" s="39">
        <v>1.3</v>
      </c>
      <c r="BI30" s="39" t="s">
        <v>4563</v>
      </c>
      <c r="BJ30" s="39" t="s">
        <v>4563</v>
      </c>
    </row>
    <row r="31" spans="1:62" x14ac:dyDescent="0.35">
      <c r="A31" s="40" t="s">
        <v>1361</v>
      </c>
      <c r="B31" s="39" t="str">
        <f>IFERROR(INDEX(added_new_stocks!$F$6:$H$2155,MATCH($A31,added_new_stocks!$F$6:$F$2600,0),3),"")</f>
        <v>Small</v>
      </c>
      <c r="C31" s="48">
        <v>1445.4</v>
      </c>
      <c r="D31" s="39">
        <v>24</v>
      </c>
      <c r="G31" s="39" t="s">
        <v>4963</v>
      </c>
      <c r="H31" s="39" t="s">
        <v>5023</v>
      </c>
      <c r="I31" s="39" t="s">
        <v>4976</v>
      </c>
      <c r="J31" s="39" t="s">
        <v>5024</v>
      </c>
      <c r="K31" s="40" t="s">
        <v>4615</v>
      </c>
      <c r="L31" s="39" t="s">
        <v>5025</v>
      </c>
      <c r="M31" s="39" t="s">
        <v>4959</v>
      </c>
      <c r="N31" s="39">
        <v>4</v>
      </c>
      <c r="O31" s="39">
        <v>-36</v>
      </c>
      <c r="P31" s="39">
        <v>-32</v>
      </c>
      <c r="Q31" s="39" t="s">
        <v>5026</v>
      </c>
      <c r="R31" s="39">
        <v>2.92</v>
      </c>
      <c r="S31" s="39">
        <v>8.5500000000000007</v>
      </c>
      <c r="T31" s="39">
        <v>15.08</v>
      </c>
      <c r="U31" s="39">
        <v>-0.36</v>
      </c>
      <c r="V31" s="39">
        <v>3.36</v>
      </c>
      <c r="W31" s="39">
        <v>-17.68</v>
      </c>
      <c r="X31" s="39">
        <v>-24.91</v>
      </c>
      <c r="Y31" s="39">
        <v>9.75</v>
      </c>
      <c r="Z31" s="39">
        <v>23.39</v>
      </c>
      <c r="AA31" s="39">
        <v>290.86</v>
      </c>
      <c r="AB31" s="39">
        <v>130.16</v>
      </c>
      <c r="AC31" s="39">
        <v>7237.06</v>
      </c>
      <c r="AD31" s="39" t="s">
        <v>4606</v>
      </c>
      <c r="AE31" s="39" t="s">
        <v>134</v>
      </c>
      <c r="AF31" s="39">
        <v>4</v>
      </c>
      <c r="AG31" s="42">
        <v>9.1399999999999995E-2</v>
      </c>
      <c r="AH31" s="39">
        <v>29</v>
      </c>
      <c r="AI31" s="42">
        <v>1.95E-2</v>
      </c>
      <c r="AJ31" s="39" t="s">
        <v>5027</v>
      </c>
      <c r="AK31" s="42">
        <v>0.64770000000000005</v>
      </c>
      <c r="AL31" s="39" t="s">
        <v>5028</v>
      </c>
      <c r="AM31" s="42">
        <v>4.5499999999999999E-2</v>
      </c>
      <c r="AN31" s="42">
        <v>0.17749999999999999</v>
      </c>
      <c r="AO31" s="41">
        <v>35</v>
      </c>
      <c r="AP31" s="39">
        <v>14</v>
      </c>
      <c r="AQ31" s="39">
        <v>46</v>
      </c>
      <c r="AR31" s="45">
        <v>1312</v>
      </c>
      <c r="AS31" s="39">
        <v>0</v>
      </c>
      <c r="AT31" s="39" t="s">
        <v>4562</v>
      </c>
      <c r="AU31" s="39">
        <v>3</v>
      </c>
      <c r="AV31" s="39" t="s">
        <v>6265</v>
      </c>
      <c r="AW31" s="39">
        <v>1331.62</v>
      </c>
      <c r="AX31" s="39">
        <v>1356.53</v>
      </c>
      <c r="AY31" s="39">
        <v>1377.32</v>
      </c>
      <c r="AZ31" s="39">
        <v>1285.92</v>
      </c>
      <c r="BA31" s="39">
        <v>1265.1300000000001</v>
      </c>
      <c r="BB31" s="39">
        <v>1240.22</v>
      </c>
      <c r="BC31" s="39">
        <v>5</v>
      </c>
      <c r="BD31" s="39">
        <v>11</v>
      </c>
      <c r="BE31" s="39">
        <v>1</v>
      </c>
      <c r="BF31" s="39" t="s">
        <v>130</v>
      </c>
      <c r="BG31" s="39">
        <v>121.1</v>
      </c>
      <c r="BH31" s="39">
        <v>0.1</v>
      </c>
      <c r="BI31" s="39" t="s">
        <v>4563</v>
      </c>
    </row>
    <row r="32" spans="1:62" x14ac:dyDescent="0.35">
      <c r="A32" s="40" t="s">
        <v>724</v>
      </c>
      <c r="B32" s="39" t="str">
        <f>IFERROR(INDEX(added_new_stocks!$F$6:$H$2155,MATCH($A32,added_new_stocks!$F$6:$F$2600,0),3),"")</f>
        <v>Mid</v>
      </c>
      <c r="C32" s="39">
        <v>330.95</v>
      </c>
      <c r="D32" s="39">
        <v>65</v>
      </c>
      <c r="G32" s="39" t="s">
        <v>4562</v>
      </c>
      <c r="H32" s="39" t="s">
        <v>6697</v>
      </c>
      <c r="I32" s="39" t="s">
        <v>4624</v>
      </c>
      <c r="J32" s="39" t="s">
        <v>6698</v>
      </c>
      <c r="K32" s="40" t="s">
        <v>4615</v>
      </c>
      <c r="L32" s="39" t="s">
        <v>6699</v>
      </c>
      <c r="M32" s="39" t="s">
        <v>5047</v>
      </c>
      <c r="N32" s="39">
        <v>10</v>
      </c>
      <c r="O32" s="39">
        <v>-14</v>
      </c>
      <c r="P32" s="39">
        <v>-4</v>
      </c>
      <c r="Q32" s="39" t="s">
        <v>4611</v>
      </c>
      <c r="R32" s="39">
        <v>1.86</v>
      </c>
      <c r="S32" s="39">
        <v>5.0999999999999996</v>
      </c>
      <c r="T32" s="39">
        <v>11.13</v>
      </c>
      <c r="U32" s="39">
        <v>26.66</v>
      </c>
      <c r="V32" s="39">
        <v>49.99</v>
      </c>
      <c r="W32" s="39">
        <v>43.21</v>
      </c>
      <c r="X32" s="39">
        <v>49.79</v>
      </c>
      <c r="Y32" s="39">
        <v>53.86</v>
      </c>
      <c r="Z32" s="39">
        <v>132.74</v>
      </c>
      <c r="AA32" s="39">
        <v>181.66</v>
      </c>
      <c r="AB32" s="39">
        <v>85.82</v>
      </c>
      <c r="AC32" s="39" t="s">
        <v>4538</v>
      </c>
      <c r="AD32" s="39" t="s">
        <v>4606</v>
      </c>
      <c r="AE32" s="39">
        <v>98.87</v>
      </c>
      <c r="AF32" s="39">
        <v>10</v>
      </c>
      <c r="AG32" s="42">
        <v>8.5599999999999996E-2</v>
      </c>
      <c r="AH32" s="39">
        <v>149</v>
      </c>
      <c r="AI32" s="42">
        <v>0.3881</v>
      </c>
      <c r="AJ32" s="39" t="s">
        <v>6700</v>
      </c>
      <c r="AK32" s="42">
        <v>0.37409999999999999</v>
      </c>
      <c r="AL32" s="39" t="s">
        <v>6701</v>
      </c>
      <c r="AM32" s="42">
        <v>0.18959999999999999</v>
      </c>
      <c r="AN32" s="42">
        <v>3.39E-2</v>
      </c>
      <c r="AO32" s="41">
        <v>40</v>
      </c>
      <c r="AP32" s="39">
        <v>37</v>
      </c>
      <c r="AQ32" s="39">
        <v>70</v>
      </c>
      <c r="AR32" s="39">
        <v>319</v>
      </c>
      <c r="AS32" s="39">
        <v>0</v>
      </c>
      <c r="AT32" s="39" t="s">
        <v>129</v>
      </c>
      <c r="AU32" s="39">
        <v>9</v>
      </c>
      <c r="AV32" s="39" t="s">
        <v>6266</v>
      </c>
      <c r="AW32" s="39">
        <v>324.47000000000003</v>
      </c>
      <c r="AX32" s="39">
        <v>328.68</v>
      </c>
      <c r="AY32" s="39">
        <v>331.87</v>
      </c>
      <c r="AZ32" s="39">
        <v>317.07</v>
      </c>
      <c r="BA32" s="39">
        <v>313.88</v>
      </c>
      <c r="BB32" s="39">
        <v>309.67</v>
      </c>
      <c r="BC32" s="39">
        <v>6</v>
      </c>
      <c r="BD32" s="39">
        <v>8</v>
      </c>
      <c r="BE32" s="39">
        <v>7</v>
      </c>
      <c r="BF32" s="39" t="s">
        <v>130</v>
      </c>
      <c r="BG32" s="39">
        <v>120.9</v>
      </c>
      <c r="BH32" s="39">
        <v>0.4</v>
      </c>
      <c r="BI32" s="39" t="s">
        <v>4563</v>
      </c>
      <c r="BJ32" s="39" t="s">
        <v>4563</v>
      </c>
    </row>
    <row r="33" spans="1:62" x14ac:dyDescent="0.35">
      <c r="A33" s="40" t="s">
        <v>1558</v>
      </c>
      <c r="B33" s="39" t="str">
        <f>IFERROR(INDEX(added_new_stocks!$F$6:$H$2155,MATCH($A33,added_new_stocks!$F$6:$F$2600,0),3),"")</f>
        <v>Small</v>
      </c>
      <c r="C33" s="39">
        <v>384.75</v>
      </c>
      <c r="D33" s="39">
        <v>54</v>
      </c>
      <c r="G33" s="39" t="s">
        <v>4562</v>
      </c>
      <c r="H33" s="39" t="s">
        <v>6702</v>
      </c>
      <c r="I33" s="39" t="s">
        <v>4624</v>
      </c>
      <c r="J33" s="39" t="s">
        <v>6703</v>
      </c>
      <c r="K33" s="40" t="s">
        <v>133</v>
      </c>
      <c r="L33" s="39" t="s">
        <v>6704</v>
      </c>
      <c r="M33" s="39" t="s">
        <v>4959</v>
      </c>
      <c r="N33" s="39">
        <v>5</v>
      </c>
      <c r="O33" s="39">
        <v>-26</v>
      </c>
      <c r="P33" s="39">
        <v>-21</v>
      </c>
      <c r="Q33" s="39" t="s">
        <v>5026</v>
      </c>
      <c r="R33" s="39">
        <v>7.0000000000000007E-2</v>
      </c>
      <c r="S33" s="39">
        <v>4.6900000000000004</v>
      </c>
      <c r="T33" s="39">
        <v>3.3</v>
      </c>
      <c r="U33" s="39">
        <v>13.33</v>
      </c>
      <c r="V33" s="39">
        <v>45.38</v>
      </c>
      <c r="W33" s="39">
        <v>34.67</v>
      </c>
      <c r="X33" s="39">
        <v>8.89</v>
      </c>
      <c r="Y33" s="39">
        <v>150.65</v>
      </c>
      <c r="Z33" s="39">
        <v>199.42</v>
      </c>
      <c r="AA33" s="39">
        <v>401.3</v>
      </c>
      <c r="AB33" s="39">
        <v>294.41000000000003</v>
      </c>
      <c r="AC33" s="39">
        <v>1025</v>
      </c>
      <c r="AD33" s="39" t="s">
        <v>5015</v>
      </c>
      <c r="AE33" s="39" t="s">
        <v>134</v>
      </c>
      <c r="AF33" s="39">
        <v>7</v>
      </c>
      <c r="AG33" s="42">
        <v>6.4399999999999999E-2</v>
      </c>
      <c r="AH33" s="39">
        <v>39</v>
      </c>
      <c r="AI33" s="42">
        <v>3.0300000000000001E-2</v>
      </c>
      <c r="AJ33" s="39" t="s">
        <v>6705</v>
      </c>
      <c r="AK33" s="42">
        <v>3.4099999999999998E-2</v>
      </c>
      <c r="AL33" s="39" t="s">
        <v>6706</v>
      </c>
      <c r="AM33" s="42">
        <v>6.3E-2</v>
      </c>
      <c r="AN33" s="42">
        <v>0.32669999999999999</v>
      </c>
      <c r="AO33" s="41">
        <v>75</v>
      </c>
      <c r="AP33" s="39">
        <v>17</v>
      </c>
      <c r="AQ33" s="39">
        <v>67</v>
      </c>
      <c r="AR33" s="39">
        <v>425</v>
      </c>
      <c r="AS33" s="39">
        <v>13</v>
      </c>
      <c r="AT33" s="39" t="s">
        <v>4633</v>
      </c>
      <c r="AU33" s="39">
        <v>1</v>
      </c>
      <c r="AV33" s="39" t="s">
        <v>6267</v>
      </c>
      <c r="AW33" s="39">
        <v>392</v>
      </c>
      <c r="AX33" s="39">
        <v>406.85</v>
      </c>
      <c r="AY33" s="39">
        <v>415.3</v>
      </c>
      <c r="AZ33" s="39">
        <v>368.7</v>
      </c>
      <c r="BA33" s="39">
        <v>360.25</v>
      </c>
      <c r="BB33" s="39">
        <v>345.4</v>
      </c>
      <c r="BC33" s="39">
        <v>16</v>
      </c>
      <c r="BD33" s="39">
        <v>6</v>
      </c>
      <c r="BE33" s="39">
        <v>7</v>
      </c>
      <c r="BF33" s="39" t="s">
        <v>130</v>
      </c>
      <c r="BG33" s="39">
        <v>93.9</v>
      </c>
      <c r="BH33" s="39">
        <v>0.2</v>
      </c>
      <c r="BI33" s="39" t="s">
        <v>4563</v>
      </c>
      <c r="BJ33" s="39" t="s">
        <v>4563</v>
      </c>
    </row>
    <row r="34" spans="1:62" x14ac:dyDescent="0.35">
      <c r="A34" s="40" t="s">
        <v>403</v>
      </c>
      <c r="B34" s="39" t="str">
        <f>IFERROR(INDEX(added_new_stocks!$F$6:$H$2155,MATCH($A34,added_new_stocks!$F$6:$F$2600,0),3),"")</f>
        <v>Large</v>
      </c>
      <c r="C34" s="39">
        <v>727.65</v>
      </c>
      <c r="D34" s="39">
        <v>64</v>
      </c>
      <c r="G34" s="39" t="s">
        <v>4562</v>
      </c>
      <c r="H34" s="39" t="s">
        <v>6707</v>
      </c>
      <c r="I34" s="39" t="s">
        <v>4989</v>
      </c>
      <c r="J34" s="39" t="s">
        <v>6708</v>
      </c>
      <c r="K34" s="40" t="s">
        <v>133</v>
      </c>
      <c r="L34" s="39" t="s">
        <v>4998</v>
      </c>
      <c r="M34" s="39" t="s">
        <v>4959</v>
      </c>
      <c r="N34" s="39">
        <v>16</v>
      </c>
      <c r="O34" s="39">
        <v>-4</v>
      </c>
      <c r="P34" s="39">
        <v>12</v>
      </c>
      <c r="Q34" s="39" t="s">
        <v>14</v>
      </c>
      <c r="R34" s="39">
        <v>-0.46</v>
      </c>
      <c r="S34" s="39">
        <v>-0.31</v>
      </c>
      <c r="T34" s="39">
        <v>0.4</v>
      </c>
      <c r="U34" s="39">
        <v>-6.05</v>
      </c>
      <c r="V34" s="39">
        <v>19.05</v>
      </c>
      <c r="W34" s="39">
        <v>11.44</v>
      </c>
      <c r="X34" s="39">
        <v>14.82</v>
      </c>
      <c r="Y34" s="39">
        <v>12.46</v>
      </c>
      <c r="Z34" s="39">
        <v>97.65</v>
      </c>
      <c r="AA34" s="39">
        <v>115.97</v>
      </c>
      <c r="AB34" s="39">
        <v>97.77</v>
      </c>
      <c r="AC34" s="39" t="s">
        <v>4538</v>
      </c>
      <c r="AD34" s="39" t="s">
        <v>4974</v>
      </c>
      <c r="AE34" s="39" t="s">
        <v>134</v>
      </c>
      <c r="AF34" s="39">
        <v>24</v>
      </c>
      <c r="AG34" s="42">
        <v>0.10290000000000001</v>
      </c>
      <c r="AH34" s="39">
        <v>584</v>
      </c>
      <c r="AI34" s="42">
        <v>0.4158</v>
      </c>
      <c r="AJ34" s="39" t="s">
        <v>6709</v>
      </c>
      <c r="AK34" s="42">
        <v>0.1757</v>
      </c>
      <c r="AL34" s="39" t="s">
        <v>6710</v>
      </c>
      <c r="AM34" s="42">
        <v>4.7899999999999998E-2</v>
      </c>
      <c r="AN34" s="42">
        <v>7.2999999999999995E-2</v>
      </c>
      <c r="AO34" s="41">
        <v>50</v>
      </c>
      <c r="AP34" s="39">
        <v>35</v>
      </c>
      <c r="AQ34" s="39">
        <v>58</v>
      </c>
      <c r="AR34" s="39">
        <v>754</v>
      </c>
      <c r="AS34" s="39">
        <v>2</v>
      </c>
      <c r="AT34" s="39" t="s">
        <v>4562</v>
      </c>
      <c r="AU34" s="39">
        <v>20</v>
      </c>
      <c r="AV34" s="39" t="s">
        <v>6268</v>
      </c>
      <c r="AW34" s="39">
        <v>747.95</v>
      </c>
      <c r="AX34" s="39">
        <v>758.35</v>
      </c>
      <c r="AY34" s="39">
        <v>764.7</v>
      </c>
      <c r="AZ34" s="39">
        <v>731.2</v>
      </c>
      <c r="BA34" s="39">
        <v>724.85</v>
      </c>
      <c r="BB34" s="39">
        <v>714.45</v>
      </c>
      <c r="BC34" s="39">
        <v>8</v>
      </c>
      <c r="BD34" s="39">
        <v>5</v>
      </c>
      <c r="BE34" s="39">
        <v>6</v>
      </c>
      <c r="BF34" s="39" t="s">
        <v>130</v>
      </c>
      <c r="BG34" s="39">
        <v>293.10000000000002</v>
      </c>
      <c r="BH34" s="39">
        <v>0.4</v>
      </c>
      <c r="BI34" s="39" t="s">
        <v>4563</v>
      </c>
      <c r="BJ34" s="39" t="s">
        <v>132</v>
      </c>
    </row>
    <row r="35" spans="1:62" x14ac:dyDescent="0.35">
      <c r="A35" s="40" t="s">
        <v>1246</v>
      </c>
      <c r="B35" s="39" t="str">
        <f>IFERROR(INDEX(added_new_stocks!$F$6:$H$2155,MATCH($A35,added_new_stocks!$F$6:$F$2600,0),3),"")</f>
        <v>Small</v>
      </c>
      <c r="C35" s="48">
        <v>2170.4</v>
      </c>
      <c r="D35" s="39">
        <v>43</v>
      </c>
      <c r="G35" s="39" t="s">
        <v>4625</v>
      </c>
      <c r="H35" s="39" t="s">
        <v>6711</v>
      </c>
      <c r="I35" s="39" t="s">
        <v>5677</v>
      </c>
      <c r="J35" s="39" t="s">
        <v>6712</v>
      </c>
      <c r="K35" s="40" t="s">
        <v>4615</v>
      </c>
      <c r="L35" s="39" t="s">
        <v>6713</v>
      </c>
      <c r="M35" s="39" t="s">
        <v>5047</v>
      </c>
      <c r="N35" s="39">
        <v>13</v>
      </c>
      <c r="O35" s="39">
        <v>0</v>
      </c>
      <c r="P35" s="39">
        <v>13</v>
      </c>
      <c r="Q35" s="39" t="s">
        <v>14</v>
      </c>
      <c r="R35" s="39">
        <v>1.53</v>
      </c>
      <c r="S35" s="39">
        <v>-0.49</v>
      </c>
      <c r="T35" s="39">
        <v>-2.29</v>
      </c>
      <c r="U35" s="39">
        <v>-0.42</v>
      </c>
      <c r="V35" s="39">
        <v>-4.7300000000000004</v>
      </c>
      <c r="W35" s="39">
        <v>9.7899999999999991</v>
      </c>
      <c r="X35" s="39">
        <v>11.93</v>
      </c>
      <c r="Y35" s="39">
        <v>71.97</v>
      </c>
      <c r="Z35" s="39">
        <v>208.08</v>
      </c>
      <c r="AA35" s="39">
        <v>168.56</v>
      </c>
      <c r="AB35" s="39">
        <v>54.79</v>
      </c>
      <c r="AC35" s="39">
        <v>974.46</v>
      </c>
      <c r="AD35" s="39" t="s">
        <v>4606</v>
      </c>
      <c r="AE35" s="39" t="s">
        <v>134</v>
      </c>
      <c r="AF35" s="39">
        <v>13</v>
      </c>
      <c r="AG35" s="42">
        <v>0.12089999999999999</v>
      </c>
      <c r="AH35" s="39">
        <v>37</v>
      </c>
      <c r="AI35" s="42">
        <v>7.0000000000000001E-3</v>
      </c>
      <c r="AJ35" s="39" t="s">
        <v>6714</v>
      </c>
      <c r="AK35" s="42">
        <v>0.35520000000000002</v>
      </c>
      <c r="AL35" s="39" t="s">
        <v>5573</v>
      </c>
      <c r="AM35" s="42">
        <v>8.5099999999999995E-2</v>
      </c>
      <c r="AN35" s="42">
        <v>0.14099999999999999</v>
      </c>
      <c r="AO35" s="41">
        <v>85</v>
      </c>
      <c r="AP35" s="39">
        <v>43</v>
      </c>
      <c r="AQ35" s="39">
        <v>40</v>
      </c>
      <c r="AR35" s="45">
        <v>3112</v>
      </c>
      <c r="AS35" s="39">
        <v>44</v>
      </c>
      <c r="AT35" s="39" t="s">
        <v>4633</v>
      </c>
      <c r="AU35" s="39">
        <v>1</v>
      </c>
      <c r="AV35" s="39" t="s">
        <v>6269</v>
      </c>
      <c r="AW35" s="39">
        <v>2178.5300000000002</v>
      </c>
      <c r="AX35" s="39">
        <v>2194.27</v>
      </c>
      <c r="AY35" s="39">
        <v>2213.5300000000002</v>
      </c>
      <c r="AZ35" s="39">
        <v>2143.5300000000002</v>
      </c>
      <c r="BA35" s="39">
        <v>2124.27</v>
      </c>
      <c r="BB35" s="39">
        <v>2108.5300000000002</v>
      </c>
      <c r="BC35" s="39">
        <v>11</v>
      </c>
      <c r="BD35" s="39">
        <v>4</v>
      </c>
      <c r="BE35" s="39">
        <v>4</v>
      </c>
      <c r="BF35" s="39" t="s">
        <v>130</v>
      </c>
      <c r="BG35" s="48">
        <v>1125.9000000000001</v>
      </c>
      <c r="BH35" s="39">
        <v>0.5</v>
      </c>
      <c r="BI35" s="39" t="s">
        <v>131</v>
      </c>
      <c r="BJ35" s="39" t="s">
        <v>4563</v>
      </c>
    </row>
    <row r="36" spans="1:62" x14ac:dyDescent="0.35">
      <c r="A36" s="40" t="s">
        <v>6229</v>
      </c>
      <c r="B36" s="39" t="str">
        <f>IFERROR(INDEX(added_new_stocks!$F$6:$H$2155,MATCH($A36,added_new_stocks!$F$6:$F$2600,0),3),"")</f>
        <v/>
      </c>
      <c r="C36" s="39">
        <v>493.9</v>
      </c>
      <c r="D36" s="39">
        <v>42</v>
      </c>
      <c r="G36" s="39" t="s">
        <v>4625</v>
      </c>
      <c r="H36" s="39" t="s">
        <v>6715</v>
      </c>
      <c r="I36" s="39" t="s">
        <v>4996</v>
      </c>
      <c r="J36" s="39" t="s">
        <v>6716</v>
      </c>
      <c r="K36" s="40" t="s">
        <v>4615</v>
      </c>
      <c r="L36" s="39" t="s">
        <v>5008</v>
      </c>
      <c r="M36" s="39" t="s">
        <v>4620</v>
      </c>
      <c r="N36" s="39">
        <v>3</v>
      </c>
      <c r="O36" s="39">
        <v>-1</v>
      </c>
      <c r="P36" s="39">
        <v>2</v>
      </c>
      <c r="Q36" s="39" t="s">
        <v>4611</v>
      </c>
      <c r="R36" s="39">
        <v>2.5</v>
      </c>
      <c r="S36" s="39">
        <v>1.31</v>
      </c>
      <c r="T36" s="39">
        <v>-16.37</v>
      </c>
      <c r="U36" s="39">
        <v>21.02</v>
      </c>
      <c r="V36" s="39" t="s">
        <v>4538</v>
      </c>
      <c r="W36" s="39" t="s">
        <v>4538</v>
      </c>
      <c r="X36" s="39" t="s">
        <v>4538</v>
      </c>
      <c r="Y36" s="39" t="s">
        <v>4538</v>
      </c>
      <c r="Z36" s="39" t="s">
        <v>4538</v>
      </c>
      <c r="AA36" s="39" t="s">
        <v>4538</v>
      </c>
      <c r="AB36" s="39" t="s">
        <v>4538</v>
      </c>
      <c r="AC36" s="39" t="s">
        <v>4538</v>
      </c>
      <c r="AD36" s="39" t="s">
        <v>4606</v>
      </c>
      <c r="AE36" s="39" t="s">
        <v>134</v>
      </c>
      <c r="AF36" s="39">
        <v>20</v>
      </c>
      <c r="AG36" s="42">
        <v>0.12839999999999999</v>
      </c>
      <c r="AH36" s="39">
        <v>38</v>
      </c>
      <c r="AI36" s="42">
        <v>8.8800000000000004E-2</v>
      </c>
      <c r="AJ36" s="39" t="s">
        <v>6717</v>
      </c>
      <c r="AK36" s="42">
        <v>0.22090000000000001</v>
      </c>
      <c r="AL36" s="39" t="s">
        <v>5573</v>
      </c>
      <c r="AM36" s="42">
        <v>5.79E-2</v>
      </c>
      <c r="AN36" s="42">
        <v>4.2999999999999997E-2</v>
      </c>
      <c r="AO36" s="41">
        <v>50</v>
      </c>
      <c r="AP36" s="39">
        <v>16</v>
      </c>
      <c r="AQ36" s="39">
        <v>17</v>
      </c>
      <c r="AR36" s="39">
        <v>679</v>
      </c>
      <c r="AS36" s="39">
        <v>41</v>
      </c>
      <c r="AT36" s="39" t="s">
        <v>4633</v>
      </c>
      <c r="AU36" s="39">
        <v>5</v>
      </c>
      <c r="AV36" s="39" t="s">
        <v>6270</v>
      </c>
      <c r="AW36" s="39">
        <v>487.63</v>
      </c>
      <c r="AX36" s="39">
        <v>494.17</v>
      </c>
      <c r="AY36" s="39">
        <v>498.98</v>
      </c>
      <c r="AZ36" s="39">
        <v>476.28</v>
      </c>
      <c r="BA36" s="39">
        <v>471.47</v>
      </c>
      <c r="BB36" s="39">
        <v>464.93</v>
      </c>
      <c r="BC36" s="39" t="s">
        <v>130</v>
      </c>
      <c r="BD36" s="39" t="s">
        <v>130</v>
      </c>
      <c r="BE36" s="39">
        <v>0.43</v>
      </c>
      <c r="BF36" s="39">
        <v>0.51</v>
      </c>
      <c r="BG36" s="39">
        <v>5</v>
      </c>
      <c r="BH36" s="39">
        <v>3</v>
      </c>
      <c r="BI36" s="39" t="s">
        <v>4563</v>
      </c>
      <c r="BJ36" s="39" t="s">
        <v>132</v>
      </c>
    </row>
    <row r="37" spans="1:62" x14ac:dyDescent="0.35">
      <c r="A37" s="40" t="s">
        <v>209</v>
      </c>
      <c r="B37" s="39" t="str">
        <f>IFERROR(INDEX(added_new_stocks!$F$6:$H$2155,MATCH($A37,added_new_stocks!$F$6:$F$2600,0),3),"")</f>
        <v>Large</v>
      </c>
      <c r="C37" s="39">
        <v>982.55</v>
      </c>
      <c r="D37" s="39">
        <v>78</v>
      </c>
      <c r="G37" s="39" t="s">
        <v>129</v>
      </c>
      <c r="H37" s="39" t="s">
        <v>5044</v>
      </c>
      <c r="I37" s="39" t="s">
        <v>4624</v>
      </c>
      <c r="J37" s="39" t="s">
        <v>6718</v>
      </c>
      <c r="K37" s="40" t="s">
        <v>133</v>
      </c>
      <c r="L37" s="39" t="s">
        <v>5046</v>
      </c>
      <c r="M37" s="39" t="s">
        <v>5047</v>
      </c>
      <c r="N37" s="39">
        <v>16</v>
      </c>
      <c r="O37" s="39">
        <v>-9</v>
      </c>
      <c r="P37" s="39">
        <v>7</v>
      </c>
      <c r="Q37" s="39" t="s">
        <v>14</v>
      </c>
      <c r="R37" s="39">
        <v>0.23</v>
      </c>
      <c r="S37" s="39">
        <v>0.38</v>
      </c>
      <c r="T37" s="39">
        <v>3.43</v>
      </c>
      <c r="U37" s="39">
        <v>4.79</v>
      </c>
      <c r="V37" s="39">
        <v>16.22</v>
      </c>
      <c r="W37" s="39">
        <v>5.21</v>
      </c>
      <c r="X37" s="39">
        <v>30.81</v>
      </c>
      <c r="Y37" s="39">
        <v>25.37</v>
      </c>
      <c r="Z37" s="39">
        <v>92.81</v>
      </c>
      <c r="AA37" s="39">
        <v>48.03</v>
      </c>
      <c r="AB37" s="39">
        <v>51.27</v>
      </c>
      <c r="AC37" s="39">
        <v>487.83</v>
      </c>
      <c r="AD37" s="39" t="s">
        <v>4974</v>
      </c>
      <c r="AE37" s="39" t="s">
        <v>134</v>
      </c>
      <c r="AF37" s="39">
        <v>37</v>
      </c>
      <c r="AG37" s="42">
        <v>0.21709999999999999</v>
      </c>
      <c r="AH37" s="39">
        <v>1461</v>
      </c>
      <c r="AI37" s="43">
        <v>0.52</v>
      </c>
      <c r="AJ37" s="39" t="s">
        <v>5048</v>
      </c>
      <c r="AK37" s="42">
        <v>8.1600000000000006E-2</v>
      </c>
      <c r="AL37" s="39" t="s">
        <v>5049</v>
      </c>
      <c r="AM37" s="42">
        <v>4.7899999999999998E-2</v>
      </c>
      <c r="AN37" s="42">
        <v>5.6899999999999999E-2</v>
      </c>
      <c r="AO37" s="41">
        <v>60</v>
      </c>
      <c r="AP37" s="39">
        <v>40</v>
      </c>
      <c r="AQ37" s="39">
        <v>64</v>
      </c>
      <c r="AR37" s="45">
        <v>1134</v>
      </c>
      <c r="AS37" s="39">
        <v>15</v>
      </c>
      <c r="AT37" s="39" t="s">
        <v>129</v>
      </c>
      <c r="AU37" s="39">
        <v>37</v>
      </c>
      <c r="AV37" s="39" t="s">
        <v>6271</v>
      </c>
      <c r="AW37" s="39">
        <v>990.6</v>
      </c>
      <c r="AX37" s="39">
        <v>998.1</v>
      </c>
      <c r="AY37" s="39">
        <v>1008</v>
      </c>
      <c r="AZ37" s="39">
        <v>973.2</v>
      </c>
      <c r="BA37" s="39">
        <v>963.3</v>
      </c>
      <c r="BB37" s="39">
        <v>955.8</v>
      </c>
      <c r="BC37" s="39">
        <v>9</v>
      </c>
      <c r="BD37" s="39">
        <v>5</v>
      </c>
      <c r="BE37" s="39">
        <v>8</v>
      </c>
      <c r="BF37" s="39" t="s">
        <v>130</v>
      </c>
      <c r="BG37" s="39">
        <v>621</v>
      </c>
      <c r="BH37" s="39">
        <v>0.6</v>
      </c>
      <c r="BI37" s="39" t="s">
        <v>131</v>
      </c>
      <c r="BJ37" s="39" t="s">
        <v>132</v>
      </c>
    </row>
    <row r="38" spans="1:62" x14ac:dyDescent="0.35">
      <c r="A38" s="40" t="s">
        <v>256</v>
      </c>
      <c r="B38" s="39" t="str">
        <f>IFERROR(INDEX(added_new_stocks!$F$6:$H$2155,MATCH($A38,added_new_stocks!$F$6:$F$2600,0),3),"")</f>
        <v>Large</v>
      </c>
      <c r="C38" s="48">
        <v>4677.8500000000004</v>
      </c>
      <c r="D38" s="39">
        <v>68</v>
      </c>
      <c r="G38" s="39" t="s">
        <v>4562</v>
      </c>
      <c r="H38" s="39" t="s">
        <v>6719</v>
      </c>
      <c r="I38" s="39" t="s">
        <v>4989</v>
      </c>
      <c r="J38" s="39" t="s">
        <v>6720</v>
      </c>
      <c r="K38" s="40" t="s">
        <v>133</v>
      </c>
      <c r="L38" s="39" t="s">
        <v>6721</v>
      </c>
      <c r="M38" s="39" t="s">
        <v>135</v>
      </c>
      <c r="N38" s="39">
        <v>17</v>
      </c>
      <c r="O38" s="39">
        <v>-2</v>
      </c>
      <c r="P38" s="39">
        <v>15</v>
      </c>
      <c r="Q38" s="39" t="s">
        <v>14</v>
      </c>
      <c r="R38" s="39">
        <v>0.3</v>
      </c>
      <c r="S38" s="39">
        <v>0.42</v>
      </c>
      <c r="T38" s="39">
        <v>-4.4400000000000004</v>
      </c>
      <c r="U38" s="39">
        <v>1.87</v>
      </c>
      <c r="V38" s="39">
        <v>25.89</v>
      </c>
      <c r="W38" s="39">
        <v>29.37</v>
      </c>
      <c r="X38" s="39">
        <v>14.51</v>
      </c>
      <c r="Y38" s="39">
        <v>25.97</v>
      </c>
      <c r="Z38" s="39">
        <v>55.25</v>
      </c>
      <c r="AA38" s="39">
        <v>67.78</v>
      </c>
      <c r="AB38" s="39">
        <v>73.14</v>
      </c>
      <c r="AC38" s="39">
        <v>154.30000000000001</v>
      </c>
      <c r="AD38" s="39" t="s">
        <v>4606</v>
      </c>
      <c r="AE38" s="39">
        <v>0.01</v>
      </c>
      <c r="AF38" s="39">
        <v>36</v>
      </c>
      <c r="AG38" s="42">
        <v>3.7499999999999999E-2</v>
      </c>
      <c r="AH38" s="39">
        <v>795</v>
      </c>
      <c r="AI38" s="42">
        <v>0.1366</v>
      </c>
      <c r="AJ38" s="39" t="s">
        <v>6722</v>
      </c>
      <c r="AK38" s="42">
        <v>0.34179999999999999</v>
      </c>
      <c r="AL38" s="39" t="s">
        <v>6723</v>
      </c>
      <c r="AM38" s="42">
        <v>5.3800000000000001E-2</v>
      </c>
      <c r="AN38" s="42">
        <v>9.8699999999999996E-2</v>
      </c>
      <c r="AO38" s="41">
        <v>50</v>
      </c>
      <c r="AP38" s="39">
        <v>35</v>
      </c>
      <c r="AQ38" s="39">
        <v>52</v>
      </c>
      <c r="AR38" s="45">
        <v>4993</v>
      </c>
      <c r="AS38" s="39">
        <v>9</v>
      </c>
      <c r="AT38" s="39" t="s">
        <v>4562</v>
      </c>
      <c r="AU38" s="39">
        <v>39</v>
      </c>
      <c r="AV38" s="39" t="s">
        <v>6272</v>
      </c>
      <c r="AW38" s="39">
        <v>4630.72</v>
      </c>
      <c r="AX38" s="39">
        <v>4677.38</v>
      </c>
      <c r="AY38" s="39">
        <v>4707.87</v>
      </c>
      <c r="AZ38" s="39">
        <v>4553.57</v>
      </c>
      <c r="BA38" s="39">
        <v>4523.08</v>
      </c>
      <c r="BB38" s="39">
        <v>4476.42</v>
      </c>
      <c r="BC38" s="39">
        <v>6</v>
      </c>
      <c r="BD38" s="39">
        <v>3</v>
      </c>
      <c r="BE38" s="39">
        <v>5</v>
      </c>
      <c r="BF38" s="39">
        <v>1</v>
      </c>
      <c r="BG38" s="48">
        <v>2323.1999999999998</v>
      </c>
      <c r="BH38" s="39">
        <v>0.5</v>
      </c>
      <c r="BI38" s="39" t="s">
        <v>4651</v>
      </c>
      <c r="BJ38" s="39" t="s">
        <v>4639</v>
      </c>
    </row>
    <row r="39" spans="1:62" x14ac:dyDescent="0.35">
      <c r="A39" s="40" t="s">
        <v>1479</v>
      </c>
      <c r="B39" s="39" t="str">
        <f>IFERROR(INDEX(added_new_stocks!$F$6:$H$2155,MATCH($A39,added_new_stocks!$F$6:$F$2600,0),3),"")</f>
        <v>Small</v>
      </c>
      <c r="C39" s="39">
        <v>257.75</v>
      </c>
      <c r="D39" s="39">
        <v>78</v>
      </c>
      <c r="G39" s="39" t="s">
        <v>129</v>
      </c>
      <c r="H39" s="39" t="s">
        <v>6724</v>
      </c>
      <c r="I39" s="39" t="s">
        <v>4624</v>
      </c>
      <c r="J39" s="39" t="s">
        <v>6725</v>
      </c>
      <c r="K39" s="40" t="s">
        <v>133</v>
      </c>
      <c r="L39" s="39" t="s">
        <v>6726</v>
      </c>
      <c r="M39" s="39" t="s">
        <v>5047</v>
      </c>
      <c r="N39" s="39">
        <v>10</v>
      </c>
      <c r="O39" s="39">
        <v>-3</v>
      </c>
      <c r="P39" s="39">
        <v>7</v>
      </c>
      <c r="Q39" s="39" t="s">
        <v>14</v>
      </c>
      <c r="R39" s="39">
        <v>2.36</v>
      </c>
      <c r="S39" s="39">
        <v>2.77</v>
      </c>
      <c r="T39" s="39">
        <v>22.07</v>
      </c>
      <c r="U39" s="39">
        <v>37.61</v>
      </c>
      <c r="V39" s="39">
        <v>61.4</v>
      </c>
      <c r="W39" s="39">
        <v>54.85</v>
      </c>
      <c r="X39" s="39">
        <v>59.84</v>
      </c>
      <c r="Y39" s="39">
        <v>2.94</v>
      </c>
      <c r="Z39" s="39">
        <v>43.83</v>
      </c>
      <c r="AA39" s="39">
        <v>1.84</v>
      </c>
      <c r="AB39" s="39">
        <v>-40.93</v>
      </c>
      <c r="AC39" s="39">
        <v>4.76</v>
      </c>
      <c r="AD39" s="39" t="s">
        <v>4606</v>
      </c>
      <c r="AE39" s="39" t="s">
        <v>134</v>
      </c>
      <c r="AF39" s="39">
        <v>4</v>
      </c>
      <c r="AG39" s="42">
        <v>0.14330000000000001</v>
      </c>
      <c r="AH39" s="39">
        <v>115</v>
      </c>
      <c r="AI39" s="42">
        <v>0.1275</v>
      </c>
      <c r="AJ39" s="39" t="s">
        <v>6727</v>
      </c>
      <c r="AK39" s="42">
        <v>0.39340000000000003</v>
      </c>
      <c r="AL39" s="39" t="s">
        <v>5501</v>
      </c>
      <c r="AM39" s="42">
        <v>6.59E-2</v>
      </c>
      <c r="AN39" s="42">
        <v>0.24390000000000001</v>
      </c>
      <c r="AO39" s="41">
        <v>55</v>
      </c>
      <c r="AP39" s="39">
        <v>30</v>
      </c>
      <c r="AQ39" s="39">
        <v>70</v>
      </c>
      <c r="AR39" s="39">
        <v>269</v>
      </c>
      <c r="AS39" s="39">
        <v>7</v>
      </c>
      <c r="AT39" s="39" t="s">
        <v>129</v>
      </c>
      <c r="AU39" s="39">
        <v>9</v>
      </c>
      <c r="AV39" s="39" t="s">
        <v>6273</v>
      </c>
      <c r="AW39" s="39">
        <v>254.75</v>
      </c>
      <c r="AX39" s="39">
        <v>257.85000000000002</v>
      </c>
      <c r="AY39" s="39">
        <v>261.3</v>
      </c>
      <c r="AZ39" s="39">
        <v>248.2</v>
      </c>
      <c r="BA39" s="39">
        <v>244.75</v>
      </c>
      <c r="BB39" s="39">
        <v>241.65</v>
      </c>
      <c r="BC39" s="39">
        <v>10</v>
      </c>
      <c r="BD39" s="39">
        <v>7</v>
      </c>
      <c r="BE39" s="39">
        <v>5</v>
      </c>
      <c r="BF39" s="39" t="s">
        <v>130</v>
      </c>
      <c r="BG39" s="39">
        <v>115.1</v>
      </c>
      <c r="BH39" s="39">
        <v>0.5</v>
      </c>
      <c r="BI39" s="39" t="s">
        <v>4563</v>
      </c>
      <c r="BJ39" s="39" t="s">
        <v>4563</v>
      </c>
    </row>
    <row r="40" spans="1:62" x14ac:dyDescent="0.35">
      <c r="A40" s="40" t="s">
        <v>719</v>
      </c>
      <c r="B40" s="39" t="str">
        <f>IFERROR(INDEX(added_new_stocks!$F$6:$H$2155,MATCH($A40,added_new_stocks!$F$6:$F$2600,0),3),"")</f>
        <v>Mid</v>
      </c>
      <c r="C40" s="48">
        <v>1137.3499999999999</v>
      </c>
      <c r="D40" s="39">
        <v>50</v>
      </c>
      <c r="G40" s="39" t="s">
        <v>4562</v>
      </c>
      <c r="H40" s="39" t="s">
        <v>6728</v>
      </c>
      <c r="I40" s="39" t="s">
        <v>4996</v>
      </c>
      <c r="J40" s="39" t="s">
        <v>6729</v>
      </c>
      <c r="K40" s="40" t="s">
        <v>4615</v>
      </c>
      <c r="L40" s="39" t="s">
        <v>6730</v>
      </c>
      <c r="M40" s="39" t="s">
        <v>5047</v>
      </c>
      <c r="N40" s="39">
        <v>0</v>
      </c>
      <c r="O40" s="39">
        <v>-16</v>
      </c>
      <c r="P40" s="39">
        <v>-16</v>
      </c>
      <c r="Q40" s="39" t="s">
        <v>4605</v>
      </c>
      <c r="R40" s="39">
        <v>0.7</v>
      </c>
      <c r="S40" s="39">
        <v>0.19</v>
      </c>
      <c r="T40" s="39">
        <v>-8.0399999999999991</v>
      </c>
      <c r="U40" s="39">
        <v>-1.51</v>
      </c>
      <c r="V40" s="39">
        <v>2.84</v>
      </c>
      <c r="W40" s="39">
        <v>-6.45</v>
      </c>
      <c r="X40" s="39">
        <v>-7.55</v>
      </c>
      <c r="Y40" s="39">
        <v>-6.24</v>
      </c>
      <c r="Z40" s="39">
        <v>117.86</v>
      </c>
      <c r="AA40" s="39">
        <v>189.81</v>
      </c>
      <c r="AB40" s="39">
        <v>108.32</v>
      </c>
      <c r="AC40" s="39">
        <v>624.20000000000005</v>
      </c>
      <c r="AD40" s="39" t="s">
        <v>4606</v>
      </c>
      <c r="AE40" s="39">
        <v>2.5499999999999998</v>
      </c>
      <c r="AF40" s="39">
        <v>7</v>
      </c>
      <c r="AG40" s="42">
        <v>0.1139</v>
      </c>
      <c r="AH40" s="39">
        <v>75</v>
      </c>
      <c r="AI40" s="42">
        <v>0.1091</v>
      </c>
      <c r="AJ40" s="39" t="s">
        <v>6731</v>
      </c>
      <c r="AK40" s="42">
        <v>0.19589999999999999</v>
      </c>
      <c r="AL40" s="39" t="s">
        <v>5180</v>
      </c>
      <c r="AM40" s="42">
        <v>5.6300000000000003E-2</v>
      </c>
      <c r="AN40" s="42">
        <v>8.77E-2</v>
      </c>
      <c r="AO40" s="41">
        <v>70</v>
      </c>
      <c r="AP40" s="39">
        <v>22</v>
      </c>
      <c r="AQ40" s="39">
        <v>46</v>
      </c>
      <c r="AR40" s="45">
        <v>1319</v>
      </c>
      <c r="AS40" s="39">
        <v>17</v>
      </c>
      <c r="AT40" s="39" t="s">
        <v>4562</v>
      </c>
      <c r="AU40" s="39">
        <v>18</v>
      </c>
      <c r="AV40" s="39" t="s">
        <v>6274</v>
      </c>
      <c r="AW40" s="39">
        <v>1138.5999999999999</v>
      </c>
      <c r="AX40" s="39">
        <v>1146.8</v>
      </c>
      <c r="AY40" s="39">
        <v>1158.5999999999999</v>
      </c>
      <c r="AZ40" s="39">
        <v>1118.5999999999999</v>
      </c>
      <c r="BA40" s="39">
        <v>1106.8</v>
      </c>
      <c r="BB40" s="39">
        <v>1098.5999999999999</v>
      </c>
      <c r="BC40" s="39">
        <v>5</v>
      </c>
      <c r="BD40" s="39">
        <v>7</v>
      </c>
      <c r="BE40" s="39">
        <v>2</v>
      </c>
      <c r="BF40" s="39" t="s">
        <v>130</v>
      </c>
      <c r="BG40" s="39">
        <v>261</v>
      </c>
      <c r="BH40" s="39">
        <v>0.2</v>
      </c>
      <c r="BI40" s="39" t="s">
        <v>4639</v>
      </c>
      <c r="BJ40" s="39" t="s">
        <v>132</v>
      </c>
    </row>
    <row r="41" spans="1:62" x14ac:dyDescent="0.35">
      <c r="A41" s="40" t="s">
        <v>406</v>
      </c>
      <c r="B41" s="39" t="str">
        <f>IFERROR(INDEX(added_new_stocks!$F$6:$H$2155,MATCH($A41,added_new_stocks!$F$6:$F$2600,0),3),"")</f>
        <v>Large</v>
      </c>
      <c r="C41" s="48">
        <v>2367.35</v>
      </c>
      <c r="D41" s="39">
        <v>58</v>
      </c>
      <c r="G41" s="39" t="s">
        <v>4562</v>
      </c>
      <c r="H41" s="39" t="s">
        <v>6732</v>
      </c>
      <c r="I41" s="39" t="s">
        <v>4989</v>
      </c>
      <c r="J41" s="39" t="s">
        <v>6733</v>
      </c>
      <c r="K41" s="40" t="s">
        <v>133</v>
      </c>
      <c r="L41" s="39" t="s">
        <v>6734</v>
      </c>
      <c r="M41" s="39" t="s">
        <v>4959</v>
      </c>
      <c r="N41" s="39">
        <v>7</v>
      </c>
      <c r="O41" s="39">
        <v>-5</v>
      </c>
      <c r="P41" s="39">
        <v>2</v>
      </c>
      <c r="Q41" s="39" t="s">
        <v>4611</v>
      </c>
      <c r="R41" s="39">
        <v>0.17</v>
      </c>
      <c r="S41" s="39">
        <v>-0.54</v>
      </c>
      <c r="T41" s="39">
        <v>-3.93</v>
      </c>
      <c r="U41" s="39">
        <v>6.34</v>
      </c>
      <c r="V41" s="39">
        <v>15.13</v>
      </c>
      <c r="W41" s="39">
        <v>11.27</v>
      </c>
      <c r="X41" s="39">
        <v>15.71</v>
      </c>
      <c r="Y41" s="39">
        <v>4.3499999999999996</v>
      </c>
      <c r="Z41" s="39">
        <v>71.52</v>
      </c>
      <c r="AA41" s="39">
        <v>217.59</v>
      </c>
      <c r="AB41" s="39">
        <v>68.52</v>
      </c>
      <c r="AC41" s="39">
        <v>2028.43</v>
      </c>
      <c r="AD41" s="39" t="s">
        <v>4606</v>
      </c>
      <c r="AE41" s="39" t="s">
        <v>134</v>
      </c>
      <c r="AF41" s="39">
        <v>28</v>
      </c>
      <c r="AG41" s="42">
        <v>0.1239</v>
      </c>
      <c r="AH41" s="39">
        <v>451</v>
      </c>
      <c r="AI41" s="42">
        <v>0.1241</v>
      </c>
      <c r="AJ41" s="39" t="s">
        <v>6735</v>
      </c>
      <c r="AK41" s="42">
        <v>0.27710000000000001</v>
      </c>
      <c r="AL41" s="39" t="s">
        <v>136</v>
      </c>
      <c r="AM41" s="42">
        <v>4.3400000000000001E-2</v>
      </c>
      <c r="AN41" s="42">
        <v>6.5299999999999997E-2</v>
      </c>
      <c r="AO41" s="41">
        <v>55</v>
      </c>
      <c r="AP41" s="39">
        <v>21</v>
      </c>
      <c r="AQ41" s="39">
        <v>52</v>
      </c>
      <c r="AR41" s="45">
        <v>2338</v>
      </c>
      <c r="AS41" s="39">
        <v>-2</v>
      </c>
      <c r="AT41" s="39" t="s">
        <v>4562</v>
      </c>
      <c r="AU41" s="39">
        <v>21</v>
      </c>
      <c r="AV41" s="39" t="s">
        <v>6275</v>
      </c>
      <c r="AW41" s="39">
        <v>2394.33</v>
      </c>
      <c r="AX41" s="39">
        <v>2413.12</v>
      </c>
      <c r="AY41" s="39">
        <v>2438.5300000000002</v>
      </c>
      <c r="AZ41" s="39">
        <v>2350.13</v>
      </c>
      <c r="BA41" s="39">
        <v>2324.7199999999998</v>
      </c>
      <c r="BB41" s="39">
        <v>2305.9299999999998</v>
      </c>
      <c r="BC41" s="39">
        <v>6</v>
      </c>
      <c r="BD41" s="39">
        <v>1</v>
      </c>
      <c r="BE41" s="39">
        <v>4</v>
      </c>
      <c r="BF41" s="39" t="s">
        <v>130</v>
      </c>
      <c r="BG41" s="39">
        <v>701.8</v>
      </c>
      <c r="BH41" s="39">
        <v>0.3</v>
      </c>
      <c r="BI41" s="39" t="s">
        <v>4565</v>
      </c>
      <c r="BJ41" s="39" t="s">
        <v>132</v>
      </c>
    </row>
    <row r="42" spans="1:62" x14ac:dyDescent="0.35">
      <c r="A42" s="40" t="s">
        <v>875</v>
      </c>
      <c r="B42" s="39" t="str">
        <f>IFERROR(INDEX(added_new_stocks!$F$6:$H$2155,MATCH($A42,added_new_stocks!$F$6:$F$2600,0),3),"")</f>
        <v>Mid</v>
      </c>
      <c r="C42" s="39">
        <v>395.5</v>
      </c>
      <c r="D42" s="39">
        <v>42</v>
      </c>
      <c r="G42" s="39" t="s">
        <v>4625</v>
      </c>
      <c r="H42" s="39" t="s">
        <v>6736</v>
      </c>
      <c r="I42" s="39" t="s">
        <v>4996</v>
      </c>
      <c r="J42" s="39" t="s">
        <v>6737</v>
      </c>
      <c r="K42" s="40" t="s">
        <v>4615</v>
      </c>
      <c r="L42" s="39" t="s">
        <v>5053</v>
      </c>
      <c r="M42" s="39" t="s">
        <v>4620</v>
      </c>
      <c r="N42" s="39">
        <v>15</v>
      </c>
      <c r="O42" s="39">
        <v>-18</v>
      </c>
      <c r="P42" s="39">
        <v>-3</v>
      </c>
      <c r="Q42" s="39" t="s">
        <v>4611</v>
      </c>
      <c r="R42" s="39">
        <v>1.89</v>
      </c>
      <c r="S42" s="39">
        <v>1.29</v>
      </c>
      <c r="T42" s="39">
        <v>0.22</v>
      </c>
      <c r="U42" s="39">
        <v>1.05</v>
      </c>
      <c r="V42" s="39">
        <v>9.2200000000000006</v>
      </c>
      <c r="W42" s="39">
        <v>-0.21</v>
      </c>
      <c r="X42" s="39">
        <v>12.87</v>
      </c>
      <c r="Y42" s="39">
        <v>7.02</v>
      </c>
      <c r="Z42" s="39">
        <v>154.34</v>
      </c>
      <c r="AA42" s="39">
        <v>198.27</v>
      </c>
      <c r="AB42" s="39">
        <v>420.39</v>
      </c>
      <c r="AC42" s="39">
        <v>1004.75</v>
      </c>
      <c r="AD42" s="39" t="s">
        <v>4606</v>
      </c>
      <c r="AE42" s="39" t="s">
        <v>134</v>
      </c>
      <c r="AF42" s="39">
        <v>25</v>
      </c>
      <c r="AG42" s="42">
        <v>0.17549999999999999</v>
      </c>
      <c r="AH42" s="39">
        <v>138</v>
      </c>
      <c r="AI42" s="42">
        <v>0.13669999999999999</v>
      </c>
      <c r="AJ42" s="39" t="s">
        <v>5054</v>
      </c>
      <c r="AK42" s="42">
        <v>0.20399999999999999</v>
      </c>
      <c r="AL42" s="39" t="s">
        <v>5055</v>
      </c>
      <c r="AM42" s="39" t="s">
        <v>5056</v>
      </c>
      <c r="AN42" s="42">
        <v>0.16819999999999999</v>
      </c>
      <c r="AO42" s="41">
        <v>50</v>
      </c>
      <c r="AP42" s="39">
        <v>42</v>
      </c>
      <c r="AQ42" s="39">
        <v>46</v>
      </c>
      <c r="AR42" s="39">
        <v>464</v>
      </c>
      <c r="AS42" s="39">
        <v>21</v>
      </c>
      <c r="AT42" s="39" t="s">
        <v>129</v>
      </c>
      <c r="AU42" s="39">
        <v>7</v>
      </c>
      <c r="AV42" s="39" t="s">
        <v>6276</v>
      </c>
      <c r="AW42" s="39">
        <v>391.2</v>
      </c>
      <c r="AX42" s="39">
        <v>398.5</v>
      </c>
      <c r="AY42" s="39">
        <v>403</v>
      </c>
      <c r="AZ42" s="39">
        <v>379.4</v>
      </c>
      <c r="BA42" s="39">
        <v>374.9</v>
      </c>
      <c r="BB42" s="39">
        <v>367.6</v>
      </c>
      <c r="BC42" s="39">
        <v>5</v>
      </c>
      <c r="BD42" s="39">
        <v>6</v>
      </c>
      <c r="BE42" s="39" t="s">
        <v>130</v>
      </c>
      <c r="BF42" s="39" t="s">
        <v>130</v>
      </c>
      <c r="BG42" s="39">
        <v>235.1</v>
      </c>
      <c r="BH42" s="39">
        <v>0.6</v>
      </c>
      <c r="BI42" s="39" t="s">
        <v>4565</v>
      </c>
      <c r="BJ42" s="39" t="s">
        <v>132</v>
      </c>
    </row>
    <row r="43" spans="1:62" x14ac:dyDescent="0.35">
      <c r="A43" s="40" t="s">
        <v>282</v>
      </c>
      <c r="B43" s="39" t="str">
        <f>IFERROR(INDEX(added_new_stocks!$F$6:$H$2155,MATCH($A43,added_new_stocks!$F$6:$F$2600,0),3),"")</f>
        <v>Large</v>
      </c>
      <c r="C43" s="39">
        <v>191.7</v>
      </c>
      <c r="D43" s="39">
        <v>80</v>
      </c>
      <c r="G43" s="39" t="s">
        <v>4633</v>
      </c>
      <c r="H43" s="39" t="s">
        <v>5057</v>
      </c>
      <c r="I43" s="39" t="s">
        <v>4989</v>
      </c>
      <c r="J43" s="39" t="s">
        <v>5058</v>
      </c>
      <c r="K43" s="40" t="s">
        <v>133</v>
      </c>
      <c r="L43" s="39" t="s">
        <v>5059</v>
      </c>
      <c r="M43" s="39" t="s">
        <v>4955</v>
      </c>
      <c r="N43" s="39">
        <v>25</v>
      </c>
      <c r="O43" s="39">
        <v>-5</v>
      </c>
      <c r="P43" s="39">
        <v>20</v>
      </c>
      <c r="Q43" s="39" t="s">
        <v>5060</v>
      </c>
      <c r="R43" s="39">
        <v>0.26</v>
      </c>
      <c r="S43" s="39">
        <v>-0.85</v>
      </c>
      <c r="T43" s="39">
        <v>-4.7</v>
      </c>
      <c r="U43" s="39">
        <v>4.41</v>
      </c>
      <c r="V43" s="39">
        <v>16.43</v>
      </c>
      <c r="W43" s="39">
        <v>3.26</v>
      </c>
      <c r="X43" s="39">
        <v>46.5</v>
      </c>
      <c r="Y43" s="39">
        <v>149.12</v>
      </c>
      <c r="Z43" s="39">
        <v>271.14999999999998</v>
      </c>
      <c r="AA43" s="39">
        <v>107.02</v>
      </c>
      <c r="AB43" s="39">
        <v>27.8</v>
      </c>
      <c r="AC43" s="39">
        <v>107.06</v>
      </c>
      <c r="AD43" s="39" t="s">
        <v>4606</v>
      </c>
      <c r="AE43" s="39" t="s">
        <v>134</v>
      </c>
      <c r="AF43" s="39">
        <v>32</v>
      </c>
      <c r="AG43" s="42">
        <v>9.8199999999999996E-2</v>
      </c>
      <c r="AH43" s="39">
        <v>634</v>
      </c>
      <c r="AI43" s="42">
        <v>0.1229</v>
      </c>
      <c r="AJ43" s="39" t="s">
        <v>5061</v>
      </c>
      <c r="AK43" s="42">
        <v>0.63970000000000005</v>
      </c>
      <c r="AL43" s="39" t="s">
        <v>5062</v>
      </c>
      <c r="AM43" s="42">
        <v>3.6299999999999999E-2</v>
      </c>
      <c r="AN43" s="42">
        <v>6.6000000000000003E-2</v>
      </c>
      <c r="AO43" s="41">
        <v>65</v>
      </c>
      <c r="AP43" s="39">
        <v>67</v>
      </c>
      <c r="AQ43" s="39">
        <v>49</v>
      </c>
      <c r="AR43" s="39">
        <v>222</v>
      </c>
      <c r="AS43" s="39">
        <v>17</v>
      </c>
      <c r="AT43" s="39" t="s">
        <v>129</v>
      </c>
      <c r="AU43" s="39">
        <v>28</v>
      </c>
      <c r="AV43" s="39" t="s">
        <v>6277</v>
      </c>
      <c r="AW43" s="39">
        <v>191.5</v>
      </c>
      <c r="AX43" s="39">
        <v>193.25</v>
      </c>
      <c r="AY43" s="39">
        <v>194.6</v>
      </c>
      <c r="AZ43" s="39">
        <v>188.4</v>
      </c>
      <c r="BA43" s="39">
        <v>187.05</v>
      </c>
      <c r="BB43" s="39">
        <v>185.3</v>
      </c>
      <c r="BC43" s="39">
        <v>12</v>
      </c>
      <c r="BD43" s="39">
        <v>3</v>
      </c>
      <c r="BE43" s="39">
        <v>5</v>
      </c>
      <c r="BF43" s="39" t="s">
        <v>130</v>
      </c>
      <c r="BG43" s="39">
        <v>393.3</v>
      </c>
      <c r="BH43" s="39">
        <v>2.1</v>
      </c>
      <c r="BI43" s="39" t="s">
        <v>4563</v>
      </c>
      <c r="BJ43" s="39" t="s">
        <v>131</v>
      </c>
    </row>
    <row r="44" spans="1:62" x14ac:dyDescent="0.35">
      <c r="A44" s="40" t="s">
        <v>1419</v>
      </c>
      <c r="B44" s="39" t="str">
        <f>IFERROR(INDEX(added_new_stocks!$F$6:$H$2155,MATCH($A44,added_new_stocks!$F$6:$F$2600,0),3),"")</f>
        <v>Small</v>
      </c>
      <c r="C44" s="39">
        <v>699.25</v>
      </c>
      <c r="D44" s="39">
        <v>48</v>
      </c>
      <c r="G44" s="39" t="s">
        <v>4625</v>
      </c>
      <c r="H44" s="39" t="s">
        <v>6738</v>
      </c>
      <c r="I44" s="39" t="s">
        <v>4996</v>
      </c>
      <c r="J44" s="39" t="s">
        <v>6739</v>
      </c>
      <c r="K44" s="40" t="s">
        <v>4615</v>
      </c>
      <c r="L44" s="39" t="s">
        <v>5008</v>
      </c>
      <c r="M44" s="39" t="s">
        <v>5047</v>
      </c>
      <c r="N44" s="39">
        <v>1</v>
      </c>
      <c r="O44" s="39">
        <v>-6</v>
      </c>
      <c r="P44" s="39">
        <v>-5</v>
      </c>
      <c r="Q44" s="39" t="s">
        <v>4611</v>
      </c>
      <c r="R44" s="39">
        <v>0.16</v>
      </c>
      <c r="S44" s="39">
        <v>0.16</v>
      </c>
      <c r="T44" s="39">
        <v>4.63</v>
      </c>
      <c r="U44" s="39">
        <v>14.2</v>
      </c>
      <c r="V44" s="39">
        <v>-2.5099999999999998</v>
      </c>
      <c r="W44" s="39">
        <v>-27.58</v>
      </c>
      <c r="X44" s="39">
        <v>-38.520000000000003</v>
      </c>
      <c r="Y44" s="39">
        <v>-35.44</v>
      </c>
      <c r="Z44" s="39" t="s">
        <v>4538</v>
      </c>
      <c r="AA44" s="39" t="s">
        <v>4538</v>
      </c>
      <c r="AB44" s="39" t="s">
        <v>4538</v>
      </c>
      <c r="AC44" s="39" t="s">
        <v>4538</v>
      </c>
      <c r="AD44" s="39" t="s">
        <v>4606</v>
      </c>
      <c r="AE44" s="39">
        <v>0.65</v>
      </c>
      <c r="AF44" s="39">
        <v>6</v>
      </c>
      <c r="AG44" s="42">
        <v>0.18179999999999999</v>
      </c>
      <c r="AH44" s="39">
        <v>42</v>
      </c>
      <c r="AI44" s="42">
        <v>0.1797</v>
      </c>
      <c r="AJ44" s="39" t="s">
        <v>6740</v>
      </c>
      <c r="AK44" s="42">
        <v>0.29770000000000002</v>
      </c>
      <c r="AL44" s="39" t="s">
        <v>6741</v>
      </c>
      <c r="AM44" s="42">
        <v>9.3700000000000006E-2</v>
      </c>
      <c r="AN44" s="42">
        <v>0.1178</v>
      </c>
      <c r="AO44" s="41">
        <v>55</v>
      </c>
      <c r="AP44" s="39">
        <v>15</v>
      </c>
      <c r="AQ44" s="39">
        <v>55</v>
      </c>
      <c r="AR44" s="39">
        <v>751</v>
      </c>
      <c r="AS44" s="39">
        <v>7</v>
      </c>
      <c r="AT44" s="39" t="s">
        <v>129</v>
      </c>
      <c r="AU44" s="39">
        <v>3</v>
      </c>
      <c r="AV44" s="39" t="s">
        <v>6278</v>
      </c>
      <c r="AW44" s="39">
        <v>710.1</v>
      </c>
      <c r="AX44" s="39">
        <v>718.85</v>
      </c>
      <c r="AY44" s="39">
        <v>729.95</v>
      </c>
      <c r="AZ44" s="39">
        <v>690.25</v>
      </c>
      <c r="BA44" s="39">
        <v>679.15</v>
      </c>
      <c r="BB44" s="39">
        <v>670.4</v>
      </c>
      <c r="BC44" s="39">
        <v>3</v>
      </c>
      <c r="BD44" s="39" t="s">
        <v>130</v>
      </c>
      <c r="BE44" s="39">
        <v>0.36</v>
      </c>
      <c r="BF44" s="39">
        <v>0.22</v>
      </c>
      <c r="BG44" s="39">
        <v>3</v>
      </c>
      <c r="BH44" s="39">
        <v>9</v>
      </c>
      <c r="BI44" s="39" t="s">
        <v>4563</v>
      </c>
      <c r="BJ44" s="39" t="s">
        <v>4563</v>
      </c>
    </row>
    <row r="45" spans="1:62" x14ac:dyDescent="0.35">
      <c r="A45" s="40" t="s">
        <v>603</v>
      </c>
      <c r="B45" s="39" t="str">
        <f>IFERROR(INDEX(added_new_stocks!$F$6:$H$2155,MATCH($A45,added_new_stocks!$F$6:$F$2600,0),3),"")</f>
        <v>Mid</v>
      </c>
      <c r="C45" s="48">
        <v>1706.1</v>
      </c>
      <c r="D45" s="39">
        <v>65</v>
      </c>
      <c r="G45" s="39" t="s">
        <v>4562</v>
      </c>
      <c r="H45" s="39" t="s">
        <v>6742</v>
      </c>
      <c r="I45" s="39" t="s">
        <v>4989</v>
      </c>
      <c r="J45" s="39" t="s">
        <v>6743</v>
      </c>
      <c r="K45" s="40" t="s">
        <v>133</v>
      </c>
      <c r="L45" s="39" t="s">
        <v>5065</v>
      </c>
      <c r="M45" s="39" t="s">
        <v>4620</v>
      </c>
      <c r="N45" s="39">
        <v>10</v>
      </c>
      <c r="O45" s="39">
        <v>-1</v>
      </c>
      <c r="P45" s="39">
        <v>9</v>
      </c>
      <c r="Q45" s="39" t="s">
        <v>14</v>
      </c>
      <c r="R45" s="39">
        <v>0.93</v>
      </c>
      <c r="S45" s="39">
        <v>-1.2</v>
      </c>
      <c r="T45" s="39">
        <v>-0.56000000000000005</v>
      </c>
      <c r="U45" s="39">
        <v>8.24</v>
      </c>
      <c r="V45" s="39">
        <v>23.01</v>
      </c>
      <c r="W45" s="39">
        <v>3.45</v>
      </c>
      <c r="X45" s="39">
        <v>-12.11</v>
      </c>
      <c r="Y45" s="39">
        <v>-3.56</v>
      </c>
      <c r="Z45" s="39">
        <v>27.25</v>
      </c>
      <c r="AA45" s="39">
        <v>10.65</v>
      </c>
      <c r="AB45" s="39">
        <v>56.93</v>
      </c>
      <c r="AC45" s="39">
        <v>316.81</v>
      </c>
      <c r="AD45" s="39" t="s">
        <v>4606</v>
      </c>
      <c r="AE45" s="39" t="s">
        <v>134</v>
      </c>
      <c r="AF45" s="39">
        <v>25</v>
      </c>
      <c r="AG45" s="42">
        <v>0.19570000000000001</v>
      </c>
      <c r="AH45" s="39">
        <v>146</v>
      </c>
      <c r="AI45" s="42">
        <v>6.6299999999999998E-2</v>
      </c>
      <c r="AJ45" s="39" t="s">
        <v>5066</v>
      </c>
      <c r="AK45" s="39" t="s">
        <v>5067</v>
      </c>
      <c r="AL45" s="39" t="s">
        <v>136</v>
      </c>
      <c r="AM45" s="42">
        <v>5.0099999999999999E-2</v>
      </c>
      <c r="AN45" s="42">
        <v>0.1144</v>
      </c>
      <c r="AO45" s="41">
        <v>65</v>
      </c>
      <c r="AP45" s="39">
        <v>10</v>
      </c>
      <c r="AQ45" s="39">
        <v>58</v>
      </c>
      <c r="AR45" s="45">
        <v>1694</v>
      </c>
      <c r="AS45" s="39">
        <v>0</v>
      </c>
      <c r="AT45" s="39" t="s">
        <v>4562</v>
      </c>
      <c r="AU45" s="39">
        <v>16</v>
      </c>
      <c r="AV45" s="39" t="s">
        <v>6279</v>
      </c>
      <c r="AW45" s="39">
        <v>1718.98</v>
      </c>
      <c r="AX45" s="39">
        <v>1735.57</v>
      </c>
      <c r="AY45" s="39">
        <v>1747.53</v>
      </c>
      <c r="AZ45" s="39">
        <v>1690.43</v>
      </c>
      <c r="BA45" s="39">
        <v>1678.47</v>
      </c>
      <c r="BB45" s="39">
        <v>1661.88</v>
      </c>
      <c r="BC45" s="39">
        <v>10</v>
      </c>
      <c r="BD45" s="39">
        <v>2</v>
      </c>
      <c r="BE45" s="39">
        <v>3</v>
      </c>
      <c r="BF45" s="39" t="s">
        <v>130</v>
      </c>
      <c r="BG45" s="39">
        <v>246.6</v>
      </c>
      <c r="BH45" s="39">
        <v>0.1</v>
      </c>
      <c r="BI45" s="39" t="s">
        <v>4639</v>
      </c>
      <c r="BJ45" s="39" t="s">
        <v>4563</v>
      </c>
    </row>
    <row r="46" spans="1:62" x14ac:dyDescent="0.35">
      <c r="A46" s="40" t="s">
        <v>4535</v>
      </c>
      <c r="B46" s="39" t="str">
        <f>IFERROR(INDEX(added_new_stocks!$F$6:$H$2155,MATCH($A46,added_new_stocks!$F$6:$F$2600,0),3),"")</f>
        <v/>
      </c>
      <c r="C46" s="48">
        <v>4755.75</v>
      </c>
      <c r="D46" s="39">
        <v>71</v>
      </c>
      <c r="G46" s="39" t="s">
        <v>129</v>
      </c>
      <c r="H46" s="39" t="s">
        <v>6744</v>
      </c>
      <c r="I46" s="39" t="s">
        <v>4624</v>
      </c>
      <c r="J46" s="39" t="s">
        <v>6745</v>
      </c>
      <c r="K46" s="40" t="s">
        <v>133</v>
      </c>
      <c r="L46" s="39" t="s">
        <v>5070</v>
      </c>
      <c r="M46" s="39" t="s">
        <v>4959</v>
      </c>
      <c r="N46" s="39">
        <v>8</v>
      </c>
      <c r="O46" s="39">
        <v>0</v>
      </c>
      <c r="P46" s="39">
        <v>8</v>
      </c>
      <c r="Q46" s="39" t="s">
        <v>14</v>
      </c>
      <c r="R46" s="39">
        <v>0.32</v>
      </c>
      <c r="S46" s="39">
        <v>1.59</v>
      </c>
      <c r="T46" s="39">
        <v>8.35</v>
      </c>
      <c r="U46" s="39">
        <v>14.31</v>
      </c>
      <c r="V46" s="39">
        <v>12.3</v>
      </c>
      <c r="W46" s="39">
        <v>-3.75</v>
      </c>
      <c r="X46" s="39">
        <v>-12.63</v>
      </c>
      <c r="Y46" s="39">
        <v>-11.7</v>
      </c>
      <c r="Z46" s="39">
        <v>-21</v>
      </c>
      <c r="AA46" s="39">
        <v>51.8</v>
      </c>
      <c r="AB46" s="39">
        <v>7.16</v>
      </c>
      <c r="AC46" s="39">
        <v>209.6</v>
      </c>
      <c r="AD46" s="39" t="s">
        <v>4606</v>
      </c>
      <c r="AE46" s="39" t="s">
        <v>134</v>
      </c>
      <c r="AF46" s="39">
        <v>17</v>
      </c>
      <c r="AG46" s="42">
        <v>9.1399999999999995E-2</v>
      </c>
      <c r="AH46" s="39">
        <v>131</v>
      </c>
      <c r="AI46" s="42">
        <v>3.1800000000000002E-2</v>
      </c>
      <c r="AJ46" s="39" t="s">
        <v>5071</v>
      </c>
      <c r="AK46" s="42">
        <v>0.1789</v>
      </c>
      <c r="AL46" s="39" t="s">
        <v>5072</v>
      </c>
      <c r="AM46" s="42">
        <v>2.7900000000000001E-2</v>
      </c>
      <c r="AN46" s="43">
        <v>0.08</v>
      </c>
      <c r="AO46" s="41">
        <v>80</v>
      </c>
      <c r="AP46" s="39">
        <v>27</v>
      </c>
      <c r="AQ46" s="39">
        <v>56</v>
      </c>
      <c r="AR46" s="45">
        <v>4994</v>
      </c>
      <c r="AS46" s="39">
        <v>6</v>
      </c>
      <c r="AT46" s="39" t="s">
        <v>4562</v>
      </c>
      <c r="AU46" s="39">
        <v>7</v>
      </c>
      <c r="AV46" s="39" t="s">
        <v>6280</v>
      </c>
      <c r="AW46" s="39">
        <v>4750.05</v>
      </c>
      <c r="AX46" s="39">
        <v>4784</v>
      </c>
      <c r="AY46" s="39">
        <v>4829.05</v>
      </c>
      <c r="AZ46" s="39">
        <v>4671.05</v>
      </c>
      <c r="BA46" s="39">
        <v>4626</v>
      </c>
      <c r="BB46" s="39">
        <v>4592.05</v>
      </c>
      <c r="BC46" s="39">
        <v>11</v>
      </c>
      <c r="BD46" s="39">
        <v>1</v>
      </c>
      <c r="BE46" s="39">
        <v>2</v>
      </c>
      <c r="BF46" s="39" t="s">
        <v>130</v>
      </c>
      <c r="BG46" s="48">
        <v>1540.6</v>
      </c>
      <c r="BH46" s="39">
        <v>0.3</v>
      </c>
      <c r="BI46" s="39" t="s">
        <v>4639</v>
      </c>
      <c r="BJ46" s="39" t="s">
        <v>132</v>
      </c>
    </row>
    <row r="47" spans="1:62" x14ac:dyDescent="0.35">
      <c r="A47" s="40" t="s">
        <v>306</v>
      </c>
      <c r="B47" s="39" t="str">
        <f>IFERROR(INDEX(added_new_stocks!$F$6:$H$2155,MATCH($A47,added_new_stocks!$F$6:$F$2600,0),3),"")</f>
        <v>Large</v>
      </c>
      <c r="C47" s="39">
        <v>134.55000000000001</v>
      </c>
      <c r="D47" s="39">
        <v>71</v>
      </c>
      <c r="G47" s="39" t="s">
        <v>129</v>
      </c>
      <c r="H47" s="39" t="s">
        <v>5079</v>
      </c>
      <c r="I47" s="39" t="s">
        <v>4624</v>
      </c>
      <c r="J47" s="39" t="s">
        <v>5080</v>
      </c>
      <c r="K47" s="40" t="s">
        <v>133</v>
      </c>
      <c r="L47" s="39" t="s">
        <v>5081</v>
      </c>
      <c r="M47" s="39" t="s">
        <v>4959</v>
      </c>
      <c r="N47" s="39">
        <v>9</v>
      </c>
      <c r="O47" s="39">
        <v>-3</v>
      </c>
      <c r="P47" s="39">
        <v>6</v>
      </c>
      <c r="Q47" s="39" t="s">
        <v>14</v>
      </c>
      <c r="R47" s="39">
        <v>-0.04</v>
      </c>
      <c r="S47" s="39">
        <v>0.82</v>
      </c>
      <c r="T47" s="39">
        <v>3.46</v>
      </c>
      <c r="U47" s="39">
        <v>20.94</v>
      </c>
      <c r="V47" s="39">
        <v>39.14</v>
      </c>
      <c r="W47" s="39">
        <v>34.619999999999997</v>
      </c>
      <c r="X47" s="39">
        <v>33.03</v>
      </c>
      <c r="Y47" s="39">
        <v>121.59</v>
      </c>
      <c r="Z47" s="39">
        <v>263.88</v>
      </c>
      <c r="AA47" s="39">
        <v>296.43</v>
      </c>
      <c r="AB47" s="39">
        <v>256.56</v>
      </c>
      <c r="AC47" s="39">
        <v>1049.71</v>
      </c>
      <c r="AD47" s="39" t="s">
        <v>4606</v>
      </c>
      <c r="AE47" s="39" t="s">
        <v>134</v>
      </c>
      <c r="AF47" s="39">
        <v>254</v>
      </c>
      <c r="AG47" s="42">
        <v>0.1933</v>
      </c>
      <c r="AH47" s="39">
        <v>739</v>
      </c>
      <c r="AI47" s="42">
        <v>0.17349999999999999</v>
      </c>
      <c r="AJ47" s="39" t="s">
        <v>5061</v>
      </c>
      <c r="AK47" s="42">
        <v>0.51139999999999997</v>
      </c>
      <c r="AL47" s="39" t="s">
        <v>5082</v>
      </c>
      <c r="AM47" s="39" t="s">
        <v>5083</v>
      </c>
      <c r="AN47" s="42">
        <v>5.79E-2</v>
      </c>
      <c r="AO47" s="41">
        <v>75</v>
      </c>
      <c r="AP47" s="39">
        <v>27</v>
      </c>
      <c r="AQ47" s="39">
        <v>68</v>
      </c>
      <c r="AR47" s="39">
        <v>143</v>
      </c>
      <c r="AS47" s="39">
        <v>7</v>
      </c>
      <c r="AT47" s="39" t="s">
        <v>129</v>
      </c>
      <c r="AU47" s="39">
        <v>22</v>
      </c>
      <c r="AV47" s="39" t="s">
        <v>6281</v>
      </c>
      <c r="AW47" s="39">
        <v>136.55000000000001</v>
      </c>
      <c r="AX47" s="39">
        <v>139.69999999999999</v>
      </c>
      <c r="AY47" s="39">
        <v>141.44999999999999</v>
      </c>
      <c r="AZ47" s="39">
        <v>131.65</v>
      </c>
      <c r="BA47" s="39">
        <v>129.9</v>
      </c>
      <c r="BB47" s="39">
        <v>126.75</v>
      </c>
      <c r="BC47" s="39">
        <v>10</v>
      </c>
      <c r="BD47" s="39">
        <v>4</v>
      </c>
      <c r="BE47" s="39">
        <v>5</v>
      </c>
      <c r="BF47" s="39" t="s">
        <v>130</v>
      </c>
      <c r="BG47" s="39">
        <v>43</v>
      </c>
      <c r="BH47" s="39">
        <v>0.3</v>
      </c>
      <c r="BI47" s="39" t="s">
        <v>132</v>
      </c>
      <c r="BJ47" s="39" t="s">
        <v>4563</v>
      </c>
    </row>
    <row r="48" spans="1:62" x14ac:dyDescent="0.35">
      <c r="A48" s="40" t="s">
        <v>1049</v>
      </c>
      <c r="B48" s="39" t="str">
        <f>IFERROR(INDEX(added_new_stocks!$F$6:$H$2155,MATCH($A48,added_new_stocks!$F$6:$F$2600,0),3),"")</f>
        <v>Mid</v>
      </c>
      <c r="C48" s="48">
        <v>2391.6999999999998</v>
      </c>
      <c r="D48" s="39">
        <v>60</v>
      </c>
      <c r="G48" s="39" t="s">
        <v>4562</v>
      </c>
      <c r="H48" s="39" t="s">
        <v>6746</v>
      </c>
      <c r="I48" s="39" t="s">
        <v>4624</v>
      </c>
      <c r="J48" s="39" t="s">
        <v>6747</v>
      </c>
      <c r="K48" s="40" t="s">
        <v>4615</v>
      </c>
      <c r="L48" s="39" t="s">
        <v>6748</v>
      </c>
      <c r="M48" s="39" t="s">
        <v>4620</v>
      </c>
      <c r="N48" s="39">
        <v>7</v>
      </c>
      <c r="O48" s="39">
        <v>-5</v>
      </c>
      <c r="P48" s="39">
        <v>2</v>
      </c>
      <c r="Q48" s="39" t="s">
        <v>4611</v>
      </c>
      <c r="R48" s="39">
        <v>-2.85</v>
      </c>
      <c r="S48" s="39">
        <v>10.41</v>
      </c>
      <c r="T48" s="39">
        <v>31.71</v>
      </c>
      <c r="U48" s="39">
        <v>66.790000000000006</v>
      </c>
      <c r="V48" s="39">
        <v>97.51</v>
      </c>
      <c r="W48" s="39">
        <v>63.28</v>
      </c>
      <c r="X48" s="39">
        <v>60.17</v>
      </c>
      <c r="Y48" s="39">
        <v>125.43</v>
      </c>
      <c r="Z48" s="39">
        <v>315.81</v>
      </c>
      <c r="AA48" s="39">
        <v>274.41000000000003</v>
      </c>
      <c r="AB48" s="39">
        <v>261.79000000000002</v>
      </c>
      <c r="AC48" s="39">
        <v>2025.38</v>
      </c>
      <c r="AD48" s="39" t="s">
        <v>4606</v>
      </c>
      <c r="AE48" s="39" t="s">
        <v>134</v>
      </c>
      <c r="AF48" s="39">
        <v>13</v>
      </c>
      <c r="AG48" s="42">
        <v>0.17549999999999999</v>
      </c>
      <c r="AH48" s="39">
        <v>75</v>
      </c>
      <c r="AI48" s="42">
        <v>6.08E-2</v>
      </c>
      <c r="AJ48" s="39" t="s">
        <v>5061</v>
      </c>
      <c r="AK48" s="42">
        <v>0.5403</v>
      </c>
      <c r="AL48" s="39" t="s">
        <v>5401</v>
      </c>
      <c r="AM48" s="42">
        <v>9.3700000000000006E-2</v>
      </c>
      <c r="AN48" s="42">
        <v>0.15770000000000001</v>
      </c>
      <c r="AO48" s="41">
        <v>65</v>
      </c>
      <c r="AP48" s="39">
        <v>24</v>
      </c>
      <c r="AQ48" s="39">
        <v>71</v>
      </c>
      <c r="AR48" s="45">
        <v>1829</v>
      </c>
      <c r="AS48" s="39">
        <v>-13</v>
      </c>
      <c r="AT48" s="39" t="s">
        <v>129</v>
      </c>
      <c r="AU48" s="39">
        <v>2</v>
      </c>
      <c r="AV48" s="39" t="s">
        <v>6282</v>
      </c>
      <c r="AW48" s="39">
        <v>2164.5300000000002</v>
      </c>
      <c r="AX48" s="39">
        <v>2226.67</v>
      </c>
      <c r="AY48" s="39">
        <v>2265.9299999999998</v>
      </c>
      <c r="AZ48" s="39">
        <v>2063.13</v>
      </c>
      <c r="BA48" s="39">
        <v>2023.87</v>
      </c>
      <c r="BB48" s="39">
        <v>1961.73</v>
      </c>
      <c r="BC48" s="39">
        <v>2</v>
      </c>
      <c r="BD48" s="39">
        <v>4</v>
      </c>
      <c r="BE48" s="39" t="s">
        <v>130</v>
      </c>
      <c r="BF48" s="39">
        <v>0.89</v>
      </c>
      <c r="BG48" s="39">
        <v>11</v>
      </c>
      <c r="BH48" s="39">
        <v>720.5</v>
      </c>
      <c r="BI48" s="39" t="s">
        <v>4563</v>
      </c>
      <c r="BJ48" s="39" t="s">
        <v>4565</v>
      </c>
    </row>
    <row r="49" spans="1:62" x14ac:dyDescent="0.35">
      <c r="A49" s="40" t="s">
        <v>6231</v>
      </c>
      <c r="B49" s="39" t="str">
        <f>IFERROR(INDEX(added_new_stocks!$F$6:$H$2155,MATCH($A49,added_new_stocks!$F$6:$F$2600,0),3),"")</f>
        <v/>
      </c>
      <c r="C49" s="48">
        <v>1206.8499999999999</v>
      </c>
      <c r="D49" s="39">
        <v>52</v>
      </c>
      <c r="G49" s="39" t="s">
        <v>4562</v>
      </c>
      <c r="H49" s="39" t="s">
        <v>6749</v>
      </c>
      <c r="I49" s="39" t="s">
        <v>4996</v>
      </c>
      <c r="J49" s="39" t="s">
        <v>6750</v>
      </c>
      <c r="K49" s="40" t="s">
        <v>133</v>
      </c>
      <c r="L49" s="39" t="s">
        <v>4998</v>
      </c>
      <c r="M49" s="39" t="s">
        <v>135</v>
      </c>
      <c r="N49" s="39">
        <v>10</v>
      </c>
      <c r="O49" s="39">
        <v>-1</v>
      </c>
      <c r="P49" s="39">
        <v>9</v>
      </c>
      <c r="Q49" s="39" t="s">
        <v>14</v>
      </c>
      <c r="R49" s="39">
        <v>1.33</v>
      </c>
      <c r="S49" s="39">
        <v>-1</v>
      </c>
      <c r="T49" s="39">
        <v>1.67</v>
      </c>
      <c r="U49" s="39">
        <v>28.94</v>
      </c>
      <c r="V49" s="39">
        <v>7.62</v>
      </c>
      <c r="W49" s="39">
        <v>-20.73</v>
      </c>
      <c r="X49" s="39">
        <v>9.1199999999999992</v>
      </c>
      <c r="Y49" s="39">
        <v>71.790000000000006</v>
      </c>
      <c r="Z49" s="39">
        <v>62.68</v>
      </c>
      <c r="AA49" s="39">
        <v>859.34</v>
      </c>
      <c r="AB49" s="39">
        <v>17239.8</v>
      </c>
      <c r="AC49" s="39" t="s">
        <v>4538</v>
      </c>
      <c r="AD49" s="39" t="s">
        <v>4606</v>
      </c>
      <c r="AE49" s="39" t="s">
        <v>134</v>
      </c>
      <c r="AF49" s="39">
        <v>1</v>
      </c>
      <c r="AG49" s="42">
        <v>2.1100000000000001E-2</v>
      </c>
      <c r="AH49" s="39">
        <v>22</v>
      </c>
      <c r="AI49" s="42">
        <v>0.10829999999999999</v>
      </c>
      <c r="AJ49" s="39" t="s">
        <v>6751</v>
      </c>
      <c r="AK49" s="42">
        <v>0.27039999999999997</v>
      </c>
      <c r="AL49" s="39" t="s">
        <v>6752</v>
      </c>
      <c r="AM49" s="42">
        <v>8.1500000000000003E-2</v>
      </c>
      <c r="AN49" s="42">
        <v>0.26050000000000001</v>
      </c>
      <c r="AO49" s="41">
        <v>60</v>
      </c>
      <c r="AP49" s="39">
        <v>45</v>
      </c>
      <c r="AQ49" s="39">
        <v>50</v>
      </c>
      <c r="AS49" s="39" t="s">
        <v>4564</v>
      </c>
      <c r="AW49" s="39">
        <v>1215.8</v>
      </c>
      <c r="AX49" s="39">
        <v>1226.4000000000001</v>
      </c>
      <c r="AY49" s="39">
        <v>1233.8</v>
      </c>
      <c r="AZ49" s="39">
        <v>1197.8</v>
      </c>
      <c r="BA49" s="39">
        <v>1190.4000000000001</v>
      </c>
      <c r="BB49" s="39">
        <v>1179.8</v>
      </c>
      <c r="BC49" s="39" t="s">
        <v>130</v>
      </c>
      <c r="BD49" s="39">
        <v>4</v>
      </c>
      <c r="BE49" s="39" t="s">
        <v>130</v>
      </c>
      <c r="BF49" s="39">
        <v>1.81</v>
      </c>
      <c r="BG49" s="39">
        <v>14</v>
      </c>
      <c r="BH49" s="39">
        <v>717.4</v>
      </c>
      <c r="BI49" s="39" t="s">
        <v>4651</v>
      </c>
      <c r="BJ49" s="39" t="s">
        <v>131</v>
      </c>
    </row>
    <row r="50" spans="1:62" x14ac:dyDescent="0.35">
      <c r="A50" s="40" t="s">
        <v>421</v>
      </c>
      <c r="B50" s="39" t="str">
        <f>IFERROR(INDEX(added_new_stocks!$F$6:$H$2155,MATCH($A50,added_new_stocks!$F$6:$F$2600,0),3),"")</f>
        <v>Large</v>
      </c>
      <c r="C50" s="48">
        <v>1057.95</v>
      </c>
      <c r="D50" s="39">
        <v>65</v>
      </c>
      <c r="G50" s="39" t="s">
        <v>4562</v>
      </c>
      <c r="H50" s="39" t="s">
        <v>6753</v>
      </c>
      <c r="I50" s="39" t="s">
        <v>4624</v>
      </c>
      <c r="J50" s="39" t="s">
        <v>6754</v>
      </c>
      <c r="K50" s="40" t="s">
        <v>4615</v>
      </c>
      <c r="L50" s="39" t="s">
        <v>6755</v>
      </c>
      <c r="M50" s="39" t="s">
        <v>4620</v>
      </c>
      <c r="N50" s="39">
        <v>18</v>
      </c>
      <c r="O50" s="39">
        <v>-12</v>
      </c>
      <c r="P50" s="39">
        <v>6</v>
      </c>
      <c r="Q50" s="39" t="s">
        <v>14</v>
      </c>
      <c r="R50" s="39">
        <v>-1.1200000000000001</v>
      </c>
      <c r="S50" s="39">
        <v>2.21</v>
      </c>
      <c r="T50" s="39">
        <v>17.09</v>
      </c>
      <c r="U50" s="39">
        <v>35.28</v>
      </c>
      <c r="V50" s="39">
        <v>27.07</v>
      </c>
      <c r="W50" s="39">
        <v>20.28</v>
      </c>
      <c r="X50" s="39">
        <v>42.84</v>
      </c>
      <c r="Y50" s="39">
        <v>39.28</v>
      </c>
      <c r="Z50" s="39">
        <v>110.73</v>
      </c>
      <c r="AA50" s="39">
        <v>175.08</v>
      </c>
      <c r="AB50" s="39">
        <v>57.89</v>
      </c>
      <c r="AC50" s="39">
        <v>778.15</v>
      </c>
      <c r="AD50" s="39" t="s">
        <v>4606</v>
      </c>
      <c r="AE50" s="39">
        <v>7.12</v>
      </c>
      <c r="AF50" s="39">
        <v>29</v>
      </c>
      <c r="AG50" s="42">
        <v>0.20280000000000001</v>
      </c>
      <c r="AH50" s="39">
        <v>447</v>
      </c>
      <c r="AI50" s="42">
        <v>0.15790000000000001</v>
      </c>
      <c r="AJ50" s="39" t="s">
        <v>6756</v>
      </c>
      <c r="AK50" s="42">
        <v>0.13600000000000001</v>
      </c>
      <c r="AL50" s="39" t="s">
        <v>5792</v>
      </c>
      <c r="AM50" s="42">
        <v>5.4399999999999997E-2</v>
      </c>
      <c r="AN50" s="42">
        <v>8.09E-2</v>
      </c>
      <c r="AO50" s="41">
        <v>50</v>
      </c>
      <c r="AP50" s="39">
        <v>18</v>
      </c>
      <c r="AQ50" s="39">
        <v>64</v>
      </c>
      <c r="AR50" s="39">
        <v>990</v>
      </c>
      <c r="AS50" s="39">
        <v>-3</v>
      </c>
      <c r="AT50" s="39" t="s">
        <v>4562</v>
      </c>
      <c r="AU50" s="39">
        <v>26</v>
      </c>
      <c r="AV50" s="39" t="s">
        <v>6283</v>
      </c>
      <c r="AW50" s="39">
        <v>1040.47</v>
      </c>
      <c r="AX50" s="39">
        <v>1058.23</v>
      </c>
      <c r="AY50" s="39">
        <v>1068.47</v>
      </c>
      <c r="AZ50" s="39">
        <v>1012.47</v>
      </c>
      <c r="BA50" s="39">
        <v>1002.23</v>
      </c>
      <c r="BB50" s="39">
        <v>984.47</v>
      </c>
      <c r="BC50" s="39">
        <v>7</v>
      </c>
      <c r="BD50" s="39">
        <v>5</v>
      </c>
      <c r="BE50" s="39">
        <v>4</v>
      </c>
      <c r="BF50" s="39" t="s">
        <v>130</v>
      </c>
      <c r="BG50" s="39">
        <v>221.7</v>
      </c>
      <c r="BH50" s="39">
        <v>0.2</v>
      </c>
      <c r="BI50" s="39" t="s">
        <v>4565</v>
      </c>
      <c r="BJ50" s="39" t="s">
        <v>132</v>
      </c>
    </row>
    <row r="51" spans="1:62" x14ac:dyDescent="0.35">
      <c r="A51" s="40" t="s">
        <v>1211</v>
      </c>
      <c r="B51" s="39" t="str">
        <f>IFERROR(INDEX(added_new_stocks!$F$6:$H$2155,MATCH($A51,added_new_stocks!$F$6:$F$2600,0),3),"")</f>
        <v>Small</v>
      </c>
      <c r="C51" s="48">
        <v>9424</v>
      </c>
      <c r="D51" s="39">
        <v>33</v>
      </c>
      <c r="G51" s="39" t="s">
        <v>4625</v>
      </c>
      <c r="H51" s="39" t="s">
        <v>6757</v>
      </c>
      <c r="I51" s="39" t="s">
        <v>4976</v>
      </c>
      <c r="J51" s="39" t="s">
        <v>6758</v>
      </c>
      <c r="K51" s="40" t="s">
        <v>133</v>
      </c>
      <c r="L51" s="39" t="s">
        <v>6759</v>
      </c>
      <c r="M51" s="39" t="s">
        <v>4620</v>
      </c>
      <c r="N51" s="39">
        <v>1</v>
      </c>
      <c r="O51" s="39">
        <v>-27</v>
      </c>
      <c r="P51" s="39">
        <v>-26</v>
      </c>
      <c r="Q51" s="39" t="s">
        <v>5026</v>
      </c>
      <c r="R51" s="39">
        <v>1.72</v>
      </c>
      <c r="S51" s="39">
        <v>6.58</v>
      </c>
      <c r="T51" s="39">
        <v>5.43</v>
      </c>
      <c r="U51" s="39">
        <v>-8.2200000000000006</v>
      </c>
      <c r="V51" s="39">
        <v>8.1300000000000008</v>
      </c>
      <c r="W51" s="39">
        <v>-5.55</v>
      </c>
      <c r="X51" s="39">
        <v>-22.82</v>
      </c>
      <c r="Y51" s="39">
        <v>-28.3</v>
      </c>
      <c r="Z51" s="39">
        <v>-2.61</v>
      </c>
      <c r="AA51" s="39">
        <v>91.89</v>
      </c>
      <c r="AB51" s="39">
        <v>21.49</v>
      </c>
      <c r="AC51" s="39">
        <v>8875.24</v>
      </c>
      <c r="AD51" s="39" t="s">
        <v>4606</v>
      </c>
      <c r="AE51" s="39">
        <v>0.64</v>
      </c>
      <c r="AF51" s="39">
        <v>2</v>
      </c>
      <c r="AG51" s="42">
        <v>2.5700000000000001E-2</v>
      </c>
      <c r="AH51" s="39">
        <v>25</v>
      </c>
      <c r="AI51" s="42">
        <v>3.5000000000000001E-3</v>
      </c>
      <c r="AJ51" s="39" t="s">
        <v>6760</v>
      </c>
      <c r="AK51" s="42">
        <v>0.23830000000000001</v>
      </c>
      <c r="AL51" s="39" t="s">
        <v>6761</v>
      </c>
      <c r="AM51" s="42">
        <v>4.7199999999999999E-2</v>
      </c>
      <c r="AN51" s="42">
        <v>9.3799999999999994E-2</v>
      </c>
      <c r="AO51" s="41">
        <v>35</v>
      </c>
      <c r="AP51" s="39">
        <v>20</v>
      </c>
      <c r="AQ51" s="39">
        <v>42</v>
      </c>
      <c r="AS51" s="39" t="s">
        <v>4564</v>
      </c>
      <c r="AW51" s="39">
        <v>9217.98</v>
      </c>
      <c r="AX51" s="39">
        <v>9362.92</v>
      </c>
      <c r="AY51" s="39">
        <v>9476.8799999999992</v>
      </c>
      <c r="AZ51" s="39">
        <v>8959.08</v>
      </c>
      <c r="BA51" s="39">
        <v>8845.1200000000008</v>
      </c>
      <c r="BB51" s="39">
        <v>8700.18</v>
      </c>
      <c r="BC51" s="39">
        <v>10</v>
      </c>
      <c r="BD51" s="39" t="s">
        <v>130</v>
      </c>
      <c r="BE51" s="39" t="s">
        <v>130</v>
      </c>
      <c r="BF51" s="39">
        <v>0.21</v>
      </c>
      <c r="BG51" s="39">
        <v>3</v>
      </c>
      <c r="BH51" s="48">
        <v>3308.7</v>
      </c>
      <c r="BI51" s="39" t="s">
        <v>132</v>
      </c>
      <c r="BJ51" s="39" t="s">
        <v>4651</v>
      </c>
    </row>
    <row r="52" spans="1:62" x14ac:dyDescent="0.35">
      <c r="A52" s="40" t="s">
        <v>526</v>
      </c>
      <c r="B52" s="39" t="str">
        <f>IFERROR(INDEX(added_new_stocks!$F$6:$H$2155,MATCH($A52,added_new_stocks!$F$6:$F$2600,0),3),"")</f>
        <v>Large</v>
      </c>
      <c r="C52" s="39">
        <v>118.65</v>
      </c>
      <c r="D52" s="39">
        <v>47</v>
      </c>
      <c r="G52" s="39" t="s">
        <v>4625</v>
      </c>
      <c r="H52" s="39" t="s">
        <v>5089</v>
      </c>
      <c r="I52" s="39" t="s">
        <v>4624</v>
      </c>
      <c r="J52" s="39" t="s">
        <v>5090</v>
      </c>
      <c r="K52" s="40" t="s">
        <v>4615</v>
      </c>
      <c r="L52" s="39" t="s">
        <v>5091</v>
      </c>
      <c r="M52" s="39" t="s">
        <v>4959</v>
      </c>
      <c r="N52" s="39">
        <v>4</v>
      </c>
      <c r="O52" s="39">
        <v>-25</v>
      </c>
      <c r="P52" s="39">
        <v>-21</v>
      </c>
      <c r="Q52" s="39" t="s">
        <v>5026</v>
      </c>
      <c r="R52" s="39">
        <v>3.49</v>
      </c>
      <c r="S52" s="39">
        <v>8.31</v>
      </c>
      <c r="T52" s="39">
        <v>15.07</v>
      </c>
      <c r="U52" s="39">
        <v>44.73</v>
      </c>
      <c r="V52" s="39">
        <v>58.73</v>
      </c>
      <c r="W52" s="39">
        <v>49.81</v>
      </c>
      <c r="X52" s="39">
        <v>101.96</v>
      </c>
      <c r="Y52" s="39">
        <v>119.52</v>
      </c>
      <c r="Z52" s="39">
        <v>184.87</v>
      </c>
      <c r="AA52" s="39">
        <v>134.72</v>
      </c>
      <c r="AB52" s="39">
        <v>47.03</v>
      </c>
      <c r="AC52" s="39">
        <v>49.87</v>
      </c>
      <c r="AD52" s="39" t="s">
        <v>4606</v>
      </c>
      <c r="AE52" s="39" t="s">
        <v>134</v>
      </c>
      <c r="AF52" s="39">
        <v>28</v>
      </c>
      <c r="AG52" s="42">
        <v>4.6399999999999997E-2</v>
      </c>
      <c r="AH52" s="39">
        <v>144</v>
      </c>
      <c r="AI52" s="42">
        <v>7.7600000000000002E-2</v>
      </c>
      <c r="AJ52" s="39" t="s">
        <v>5061</v>
      </c>
      <c r="AK52" s="42">
        <v>0.63170000000000004</v>
      </c>
      <c r="AL52" s="39" t="s">
        <v>136</v>
      </c>
      <c r="AM52" s="42">
        <v>0.1007</v>
      </c>
      <c r="AN52" s="42">
        <v>0.1087</v>
      </c>
      <c r="AO52" s="41">
        <v>50</v>
      </c>
      <c r="AP52" s="39">
        <v>26</v>
      </c>
      <c r="AQ52" s="39">
        <v>71</v>
      </c>
      <c r="AR52" s="39">
        <v>68</v>
      </c>
      <c r="AS52" s="39">
        <v>-36</v>
      </c>
      <c r="AT52" s="39" t="s">
        <v>4625</v>
      </c>
      <c r="AU52" s="39">
        <v>20</v>
      </c>
      <c r="AV52" s="39" t="s">
        <v>6284</v>
      </c>
      <c r="AW52" s="39">
        <v>107.97</v>
      </c>
      <c r="AX52" s="39">
        <v>110.68</v>
      </c>
      <c r="AY52" s="39">
        <v>112.17</v>
      </c>
      <c r="AZ52" s="39">
        <v>103.77</v>
      </c>
      <c r="BA52" s="39">
        <v>102.28</v>
      </c>
      <c r="BB52" s="39">
        <v>99.57</v>
      </c>
      <c r="BC52" s="39">
        <v>12</v>
      </c>
      <c r="BD52" s="39">
        <v>4</v>
      </c>
      <c r="BE52" s="39">
        <v>5</v>
      </c>
      <c r="BF52" s="39" t="s">
        <v>130</v>
      </c>
      <c r="BG52" s="39">
        <v>40</v>
      </c>
      <c r="BH52" s="39">
        <v>0.4</v>
      </c>
      <c r="BI52" s="39" t="s">
        <v>4563</v>
      </c>
      <c r="BJ52" s="39" t="s">
        <v>4563</v>
      </c>
    </row>
    <row r="53" spans="1:62" x14ac:dyDescent="0.35">
      <c r="A53" s="40" t="s">
        <v>827</v>
      </c>
      <c r="B53" s="39" t="str">
        <f>IFERROR(INDEX(added_new_stocks!$F$6:$H$2155,MATCH($A53,added_new_stocks!$F$6:$F$2600,0),3),"")</f>
        <v>Mid</v>
      </c>
      <c r="C53" s="39">
        <v>480.95</v>
      </c>
      <c r="D53" s="39">
        <v>64</v>
      </c>
      <c r="G53" s="39" t="s">
        <v>4562</v>
      </c>
      <c r="H53" s="39" t="s">
        <v>5092</v>
      </c>
      <c r="I53" s="39" t="s">
        <v>4989</v>
      </c>
      <c r="J53" s="39" t="s">
        <v>5093</v>
      </c>
      <c r="K53" s="40" t="s">
        <v>133</v>
      </c>
      <c r="L53" s="39" t="s">
        <v>4998</v>
      </c>
      <c r="M53" s="39" t="s">
        <v>4959</v>
      </c>
      <c r="N53" s="39">
        <v>18</v>
      </c>
      <c r="O53" s="39">
        <v>0</v>
      </c>
      <c r="P53" s="39">
        <v>18</v>
      </c>
      <c r="Q53" s="39" t="s">
        <v>14</v>
      </c>
      <c r="R53" s="39">
        <v>0.04</v>
      </c>
      <c r="S53" s="39">
        <v>-0.11</v>
      </c>
      <c r="T53" s="39">
        <v>1.53</v>
      </c>
      <c r="U53" s="39">
        <v>27.2</v>
      </c>
      <c r="V53" s="39">
        <v>32.99</v>
      </c>
      <c r="W53" s="39">
        <v>9.98</v>
      </c>
      <c r="X53" s="39" t="s">
        <v>4538</v>
      </c>
      <c r="Y53" s="39" t="s">
        <v>4538</v>
      </c>
      <c r="Z53" s="39" t="s">
        <v>4538</v>
      </c>
      <c r="AA53" s="39" t="s">
        <v>4538</v>
      </c>
      <c r="AB53" s="39" t="s">
        <v>4538</v>
      </c>
      <c r="AC53" s="39" t="s">
        <v>4538</v>
      </c>
      <c r="AD53" s="39" t="s">
        <v>4606</v>
      </c>
      <c r="AE53" s="39" t="s">
        <v>134</v>
      </c>
      <c r="AF53" s="39">
        <v>14</v>
      </c>
      <c r="AG53" s="42">
        <v>8.2600000000000007E-2</v>
      </c>
      <c r="AH53" s="39">
        <v>46</v>
      </c>
      <c r="AI53" s="42">
        <v>5.4699999999999999E-2</v>
      </c>
      <c r="AJ53" s="39" t="s">
        <v>5094</v>
      </c>
      <c r="AK53" s="42">
        <v>0.34360000000000002</v>
      </c>
      <c r="AL53" s="39" t="s">
        <v>5022</v>
      </c>
      <c r="AM53" s="42">
        <v>4.8899999999999999E-2</v>
      </c>
      <c r="AN53" s="42">
        <v>2.8799999999999999E-2</v>
      </c>
      <c r="AO53" s="41">
        <v>65</v>
      </c>
      <c r="AP53" s="39">
        <v>12</v>
      </c>
      <c r="AQ53" s="39">
        <v>43</v>
      </c>
      <c r="AR53" s="39">
        <v>541</v>
      </c>
      <c r="AS53" s="39">
        <v>14</v>
      </c>
      <c r="AT53" s="39" t="s">
        <v>129</v>
      </c>
      <c r="AU53" s="39">
        <v>4</v>
      </c>
      <c r="AV53" s="39" t="s">
        <v>6285</v>
      </c>
      <c r="AW53" s="39">
        <v>481.15</v>
      </c>
      <c r="AX53" s="39">
        <v>487</v>
      </c>
      <c r="AY53" s="39">
        <v>491.05</v>
      </c>
      <c r="AZ53" s="39">
        <v>471.25</v>
      </c>
      <c r="BA53" s="39">
        <v>467.2</v>
      </c>
      <c r="BB53" s="39">
        <v>461.35</v>
      </c>
      <c r="BC53" s="39">
        <v>1</v>
      </c>
      <c r="BD53" s="39" t="s">
        <v>130</v>
      </c>
      <c r="BE53" s="39">
        <v>0.57999999999999996</v>
      </c>
      <c r="BF53" s="39">
        <v>-0.24</v>
      </c>
      <c r="BH53" s="39">
        <v>8</v>
      </c>
      <c r="BI53" s="39" t="s">
        <v>132</v>
      </c>
      <c r="BJ53" s="39" t="s">
        <v>4563</v>
      </c>
    </row>
    <row r="54" spans="1:62" x14ac:dyDescent="0.35">
      <c r="A54" s="40" t="s">
        <v>932</v>
      </c>
      <c r="B54" s="39" t="str">
        <f>IFERROR(INDEX(added_new_stocks!$F$6:$H$2155,MATCH($A54,added_new_stocks!$F$6:$F$2600,0),3),"")</f>
        <v>Mid</v>
      </c>
      <c r="C54" s="48">
        <v>1143.6500000000001</v>
      </c>
      <c r="D54" s="39">
        <v>38</v>
      </c>
      <c r="G54" s="39" t="s">
        <v>4625</v>
      </c>
      <c r="H54" s="39" t="s">
        <v>6762</v>
      </c>
      <c r="I54" s="39" t="s">
        <v>4989</v>
      </c>
      <c r="J54" s="39" t="s">
        <v>6763</v>
      </c>
      <c r="K54" s="40" t="s">
        <v>4603</v>
      </c>
      <c r="L54" s="39" t="s">
        <v>6764</v>
      </c>
      <c r="N54" s="39">
        <v>12</v>
      </c>
      <c r="O54" s="39">
        <v>-10</v>
      </c>
      <c r="P54" s="39">
        <v>2</v>
      </c>
      <c r="Q54" s="39" t="s">
        <v>4611</v>
      </c>
      <c r="R54" s="39">
        <v>1.73</v>
      </c>
      <c r="S54" s="39">
        <v>0.28000000000000003</v>
      </c>
      <c r="T54" s="39">
        <v>-3.58</v>
      </c>
      <c r="U54" s="39">
        <v>4.75</v>
      </c>
      <c r="V54" s="39">
        <v>32.92</v>
      </c>
      <c r="W54" s="39">
        <v>16.66</v>
      </c>
      <c r="X54" s="39">
        <v>17.739999999999998</v>
      </c>
      <c r="Y54" s="39">
        <v>-13.59</v>
      </c>
      <c r="Z54" s="39">
        <v>78</v>
      </c>
      <c r="AA54" s="39">
        <v>113.91</v>
      </c>
      <c r="AB54" s="39">
        <v>48.95</v>
      </c>
      <c r="AC54" s="39">
        <v>475.71</v>
      </c>
      <c r="AD54" s="39" t="s">
        <v>4606</v>
      </c>
      <c r="AE54" s="39" t="s">
        <v>134</v>
      </c>
      <c r="AF54" s="39">
        <v>18</v>
      </c>
      <c r="AG54" s="42">
        <v>0.1336</v>
      </c>
      <c r="AH54" s="39">
        <v>102</v>
      </c>
      <c r="AI54" s="42">
        <v>7.1800000000000003E-2</v>
      </c>
      <c r="AJ54" s="39" t="s">
        <v>6765</v>
      </c>
      <c r="AK54" s="42">
        <v>9.2999999999999999E-2</v>
      </c>
      <c r="AL54" s="39" t="s">
        <v>5501</v>
      </c>
      <c r="AM54" s="39" t="s">
        <v>6766</v>
      </c>
      <c r="AN54" s="42">
        <v>0.1021</v>
      </c>
      <c r="AO54" s="41">
        <v>60</v>
      </c>
      <c r="AP54" s="39">
        <v>36</v>
      </c>
      <c r="AQ54" s="39">
        <v>52</v>
      </c>
      <c r="AR54" s="45">
        <v>1427</v>
      </c>
      <c r="AS54" s="39">
        <v>26</v>
      </c>
      <c r="AT54" s="39" t="s">
        <v>129</v>
      </c>
      <c r="AU54" s="39">
        <v>14</v>
      </c>
      <c r="AV54" s="39" t="s">
        <v>6286</v>
      </c>
      <c r="AW54" s="39">
        <v>1151.23</v>
      </c>
      <c r="AX54" s="39">
        <v>1167.22</v>
      </c>
      <c r="AY54" s="39">
        <v>1179.43</v>
      </c>
      <c r="AZ54" s="39">
        <v>1123.03</v>
      </c>
      <c r="BA54" s="39">
        <v>1110.82</v>
      </c>
      <c r="BB54" s="39">
        <v>1094.83</v>
      </c>
      <c r="BC54" s="39">
        <v>2</v>
      </c>
      <c r="BD54" s="39">
        <v>9</v>
      </c>
      <c r="BE54" s="39">
        <v>2</v>
      </c>
      <c r="BF54" s="39" t="s">
        <v>130</v>
      </c>
      <c r="BG54" s="39">
        <v>294.8</v>
      </c>
      <c r="BH54" s="39">
        <v>0.3</v>
      </c>
      <c r="BI54" s="39" t="s">
        <v>4563</v>
      </c>
      <c r="BJ54" s="39" t="s">
        <v>132</v>
      </c>
    </row>
    <row r="55" spans="1:62" x14ac:dyDescent="0.35">
      <c r="A55" s="40" t="s">
        <v>6230</v>
      </c>
      <c r="B55" s="39" t="str">
        <f>IFERROR(INDEX(added_new_stocks!$F$6:$H$2155,MATCH($A55,added_new_stocks!$F$6:$F$2600,0),3),"")</f>
        <v/>
      </c>
      <c r="C55" s="39">
        <v>182.4</v>
      </c>
      <c r="G55" s="39" t="s">
        <v>5349</v>
      </c>
      <c r="I55" s="39" t="s">
        <v>4989</v>
      </c>
      <c r="J55" s="39" t="s">
        <v>6767</v>
      </c>
      <c r="N55" s="39">
        <v>0</v>
      </c>
      <c r="O55" s="39">
        <v>-6</v>
      </c>
      <c r="P55" s="39">
        <v>-6</v>
      </c>
      <c r="Q55" s="39" t="s">
        <v>6768</v>
      </c>
      <c r="R55" s="39">
        <v>0.86</v>
      </c>
      <c r="S55" s="39">
        <v>-2.41</v>
      </c>
      <c r="T55" s="39">
        <v>17.98</v>
      </c>
      <c r="U55" s="39">
        <v>14.43</v>
      </c>
      <c r="V55" s="39" t="s">
        <v>4538</v>
      </c>
      <c r="W55" s="39" t="s">
        <v>4538</v>
      </c>
      <c r="X55" s="39" t="s">
        <v>4538</v>
      </c>
      <c r="Y55" s="39" t="s">
        <v>4538</v>
      </c>
      <c r="Z55" s="39" t="s">
        <v>4538</v>
      </c>
      <c r="AA55" s="39" t="s">
        <v>4538</v>
      </c>
      <c r="AB55" s="39" t="s">
        <v>4538</v>
      </c>
      <c r="AC55" s="39" t="s">
        <v>4538</v>
      </c>
      <c r="AD55" s="39" t="s">
        <v>4606</v>
      </c>
      <c r="AE55" s="39" t="s">
        <v>134</v>
      </c>
      <c r="AF55" s="39">
        <v>5</v>
      </c>
      <c r="AG55" s="42">
        <v>0.14230000000000001</v>
      </c>
      <c r="AH55" s="39">
        <v>54</v>
      </c>
      <c r="AI55" s="42">
        <v>2.5499999999999998E-2</v>
      </c>
      <c r="AJ55" s="39" t="s">
        <v>5061</v>
      </c>
      <c r="AK55" s="42">
        <v>0.5403</v>
      </c>
      <c r="AL55" s="39" t="s">
        <v>5401</v>
      </c>
      <c r="AM55" s="42">
        <v>7.0099999999999996E-2</v>
      </c>
      <c r="AN55" s="42">
        <v>0.2094</v>
      </c>
      <c r="AO55" s="41" t="s">
        <v>130</v>
      </c>
      <c r="AP55" s="39">
        <v>0</v>
      </c>
      <c r="AQ55" s="39">
        <v>32</v>
      </c>
      <c r="AS55" s="39" t="s">
        <v>4564</v>
      </c>
      <c r="AW55" s="39">
        <v>186.48</v>
      </c>
      <c r="AX55" s="39">
        <v>194.97</v>
      </c>
      <c r="AY55" s="39">
        <v>201.73</v>
      </c>
      <c r="AZ55" s="39">
        <v>171.23</v>
      </c>
      <c r="BA55" s="39">
        <v>164.47</v>
      </c>
      <c r="BB55" s="39">
        <v>155.97999999999999</v>
      </c>
      <c r="BC55" s="39">
        <v>0.51</v>
      </c>
      <c r="BD55" s="39">
        <v>136</v>
      </c>
      <c r="BE55" s="39">
        <v>299.89999999999998</v>
      </c>
      <c r="BG55" s="39">
        <v>0.47</v>
      </c>
      <c r="BI55" s="39" t="s">
        <v>4695</v>
      </c>
      <c r="BJ55" s="39" t="s">
        <v>132</v>
      </c>
    </row>
    <row r="56" spans="1:62" x14ac:dyDescent="0.35">
      <c r="A56" s="40" t="s">
        <v>665</v>
      </c>
      <c r="B56" s="39" t="str">
        <f>IFERROR(INDEX(added_new_stocks!$F$6:$H$2155,MATCH($A56,added_new_stocks!$F$6:$F$2600,0),3),"")</f>
        <v>Mid</v>
      </c>
      <c r="C56" s="48">
        <v>6261.05</v>
      </c>
      <c r="D56" s="39">
        <v>41</v>
      </c>
      <c r="G56" s="39" t="s">
        <v>4625</v>
      </c>
      <c r="H56" s="39" t="s">
        <v>6769</v>
      </c>
      <c r="I56" s="39" t="s">
        <v>4996</v>
      </c>
      <c r="J56" s="39" t="s">
        <v>6770</v>
      </c>
      <c r="K56" s="40" t="s">
        <v>133</v>
      </c>
      <c r="L56" s="39" t="s">
        <v>5097</v>
      </c>
      <c r="N56" s="39">
        <v>3</v>
      </c>
      <c r="O56" s="39">
        <v>-30</v>
      </c>
      <c r="P56" s="39">
        <v>-27</v>
      </c>
      <c r="Q56" s="39" t="s">
        <v>5026</v>
      </c>
      <c r="R56" s="39">
        <v>-0.22</v>
      </c>
      <c r="S56" s="39">
        <v>-2.97</v>
      </c>
      <c r="T56" s="39">
        <v>-9.65</v>
      </c>
      <c r="U56" s="39">
        <v>1.8</v>
      </c>
      <c r="V56" s="39">
        <v>-0.73</v>
      </c>
      <c r="W56" s="39">
        <v>-19.010000000000002</v>
      </c>
      <c r="X56" s="39">
        <v>-26.74</v>
      </c>
      <c r="Y56" s="39">
        <v>8.09</v>
      </c>
      <c r="Z56" s="39">
        <v>178.24</v>
      </c>
      <c r="AA56" s="39">
        <v>178.46</v>
      </c>
      <c r="AB56" s="39">
        <v>80.56</v>
      </c>
      <c r="AC56" s="39">
        <v>184.72</v>
      </c>
      <c r="AD56" s="39" t="s">
        <v>4606</v>
      </c>
      <c r="AE56" s="39" t="s">
        <v>134</v>
      </c>
      <c r="AF56" s="39">
        <v>22</v>
      </c>
      <c r="AG56" s="42">
        <v>5.7799999999999997E-2</v>
      </c>
      <c r="AH56" s="39">
        <v>93</v>
      </c>
      <c r="AI56" s="42">
        <v>4.24E-2</v>
      </c>
      <c r="AJ56" s="39" t="s">
        <v>5098</v>
      </c>
      <c r="AK56" s="39" t="s">
        <v>5099</v>
      </c>
      <c r="AL56" s="39" t="s">
        <v>5100</v>
      </c>
      <c r="AM56" s="42">
        <v>2.75E-2</v>
      </c>
      <c r="AN56" s="42">
        <v>6.2100000000000002E-2</v>
      </c>
      <c r="AO56" s="41">
        <v>55</v>
      </c>
      <c r="AP56" s="39">
        <v>21</v>
      </c>
      <c r="AQ56" s="39">
        <v>51</v>
      </c>
      <c r="AR56" s="45">
        <v>7108</v>
      </c>
      <c r="AS56" s="39">
        <v>11</v>
      </c>
      <c r="AT56" s="39" t="s">
        <v>4562</v>
      </c>
      <c r="AU56" s="39">
        <v>5</v>
      </c>
      <c r="AV56" s="39" t="s">
        <v>6287</v>
      </c>
      <c r="AW56" s="39">
        <v>6476.17</v>
      </c>
      <c r="AX56" s="39">
        <v>6557.83</v>
      </c>
      <c r="AY56" s="39">
        <v>6605.72</v>
      </c>
      <c r="AZ56" s="39">
        <v>6346.62</v>
      </c>
      <c r="BA56" s="39">
        <v>6298.73</v>
      </c>
      <c r="BB56" s="39">
        <v>6217.07</v>
      </c>
      <c r="BC56" s="39">
        <v>4</v>
      </c>
      <c r="BD56" s="39">
        <v>7</v>
      </c>
      <c r="BE56" s="39">
        <v>4</v>
      </c>
      <c r="BF56" s="39" t="s">
        <v>130</v>
      </c>
      <c r="BG56" s="48">
        <v>1213.8</v>
      </c>
      <c r="BH56" s="39">
        <v>0.2</v>
      </c>
      <c r="BI56" s="39" t="s">
        <v>4651</v>
      </c>
      <c r="BJ56" s="39" t="s">
        <v>132</v>
      </c>
    </row>
    <row r="57" spans="1:62" x14ac:dyDescent="0.35">
      <c r="A57" s="40" t="s">
        <v>698</v>
      </c>
      <c r="B57" s="39" t="str">
        <f>IFERROR(INDEX(added_new_stocks!$F$6:$H$2155,MATCH($A57,added_new_stocks!$F$6:$F$2600,0),3),"")</f>
        <v>Mid</v>
      </c>
      <c r="C57" s="39">
        <v>741.45</v>
      </c>
      <c r="D57" s="39">
        <v>68</v>
      </c>
      <c r="G57" s="39" t="s">
        <v>4562</v>
      </c>
      <c r="H57" s="39" t="s">
        <v>6771</v>
      </c>
      <c r="I57" s="39" t="s">
        <v>4989</v>
      </c>
      <c r="J57" s="39" t="s">
        <v>5102</v>
      </c>
      <c r="K57" s="40" t="s">
        <v>133</v>
      </c>
      <c r="L57" s="39" t="s">
        <v>5103</v>
      </c>
      <c r="M57" s="39" t="s">
        <v>135</v>
      </c>
      <c r="N57" s="39">
        <v>14</v>
      </c>
      <c r="O57" s="39">
        <v>-2</v>
      </c>
      <c r="P57" s="39">
        <v>12</v>
      </c>
      <c r="Q57" s="39" t="s">
        <v>14</v>
      </c>
      <c r="R57" s="39">
        <v>0.97</v>
      </c>
      <c r="S57" s="39">
        <v>0.45</v>
      </c>
      <c r="T57" s="39">
        <v>-3.14</v>
      </c>
      <c r="U57" s="39">
        <v>1.56</v>
      </c>
      <c r="V57" s="39">
        <v>3.77</v>
      </c>
      <c r="W57" s="39">
        <v>24.35</v>
      </c>
      <c r="X57" s="39">
        <v>35.07</v>
      </c>
      <c r="Y57" s="39">
        <v>92.95</v>
      </c>
      <c r="Z57" s="39">
        <v>115.08</v>
      </c>
      <c r="AA57" s="39">
        <v>105.73</v>
      </c>
      <c r="AB57" s="39">
        <v>119.36</v>
      </c>
      <c r="AC57" s="39">
        <v>1002.12</v>
      </c>
      <c r="AD57" s="39" t="s">
        <v>4606</v>
      </c>
      <c r="AE57" s="39" t="s">
        <v>134</v>
      </c>
      <c r="AF57" s="39">
        <v>23</v>
      </c>
      <c r="AG57" s="42">
        <v>0.23599999999999999</v>
      </c>
      <c r="AH57" s="39">
        <v>143</v>
      </c>
      <c r="AI57" s="42">
        <v>0.1106</v>
      </c>
      <c r="AJ57" s="39" t="s">
        <v>5104</v>
      </c>
      <c r="AK57" s="39" t="s">
        <v>5105</v>
      </c>
      <c r="AL57" s="39" t="s">
        <v>5000</v>
      </c>
      <c r="AM57" s="42">
        <v>7.6999999999999999E-2</v>
      </c>
      <c r="AN57" s="42">
        <v>0.20369999999999999</v>
      </c>
      <c r="AO57" s="41">
        <v>80</v>
      </c>
      <c r="AP57" s="39">
        <v>30</v>
      </c>
      <c r="AQ57" s="39">
        <v>48</v>
      </c>
      <c r="AR57" s="39">
        <v>832</v>
      </c>
      <c r="AS57" s="39">
        <v>18</v>
      </c>
      <c r="AT57" s="39" t="s">
        <v>129</v>
      </c>
      <c r="AU57" s="39">
        <v>20</v>
      </c>
      <c r="AV57" s="39" t="s">
        <v>6288</v>
      </c>
      <c r="AW57" s="39">
        <v>722.9</v>
      </c>
      <c r="AX57" s="39">
        <v>741.1</v>
      </c>
      <c r="AY57" s="39">
        <v>751.7</v>
      </c>
      <c r="AZ57" s="39">
        <v>694.1</v>
      </c>
      <c r="BA57" s="39">
        <v>683.5</v>
      </c>
      <c r="BB57" s="39">
        <v>665.3</v>
      </c>
      <c r="BC57" s="39">
        <v>10</v>
      </c>
      <c r="BD57" s="39">
        <v>4</v>
      </c>
      <c r="BE57" s="39">
        <v>2</v>
      </c>
      <c r="BF57" s="39">
        <v>1</v>
      </c>
      <c r="BG57" s="39">
        <v>182</v>
      </c>
      <c r="BH57" s="39">
        <v>0.3</v>
      </c>
      <c r="BI57" s="39" t="s">
        <v>4563</v>
      </c>
      <c r="BJ57" s="39" t="s">
        <v>4563</v>
      </c>
    </row>
    <row r="58" spans="1:62" x14ac:dyDescent="0.35">
      <c r="A58" s="40" t="s">
        <v>326</v>
      </c>
      <c r="B58" s="39" t="str">
        <f>IFERROR(INDEX(added_new_stocks!$F$6:$H$2155,MATCH($A58,added_new_stocks!$F$6:$F$2600,0),3),"")</f>
        <v>Large</v>
      </c>
      <c r="C58" s="39">
        <v>741.45</v>
      </c>
      <c r="D58" s="39">
        <v>68</v>
      </c>
      <c r="G58" s="39" t="s">
        <v>4562</v>
      </c>
      <c r="H58" s="39" t="s">
        <v>6771</v>
      </c>
      <c r="I58" s="39" t="s">
        <v>4989</v>
      </c>
      <c r="J58" s="39" t="s">
        <v>5102</v>
      </c>
      <c r="K58" s="40" t="s">
        <v>133</v>
      </c>
      <c r="L58" s="39" t="s">
        <v>5103</v>
      </c>
      <c r="M58" s="39" t="s">
        <v>135</v>
      </c>
      <c r="N58" s="39">
        <v>14</v>
      </c>
      <c r="O58" s="39">
        <v>-2</v>
      </c>
      <c r="P58" s="39">
        <v>12</v>
      </c>
      <c r="Q58" s="39" t="s">
        <v>14</v>
      </c>
      <c r="R58" s="39">
        <v>0.97</v>
      </c>
      <c r="S58" s="39">
        <v>0.45</v>
      </c>
      <c r="T58" s="39">
        <v>-3.14</v>
      </c>
      <c r="U58" s="39">
        <v>1.56</v>
      </c>
      <c r="V58" s="39">
        <v>3.77</v>
      </c>
      <c r="W58" s="39">
        <v>24.35</v>
      </c>
      <c r="X58" s="39">
        <v>35.07</v>
      </c>
      <c r="Y58" s="39">
        <v>92.95</v>
      </c>
      <c r="Z58" s="39">
        <v>115.08</v>
      </c>
      <c r="AA58" s="39">
        <v>105.73</v>
      </c>
      <c r="AB58" s="39">
        <v>119.36</v>
      </c>
      <c r="AC58" s="39">
        <v>1002.12</v>
      </c>
      <c r="AD58" s="39" t="s">
        <v>4606</v>
      </c>
      <c r="AE58" s="39" t="s">
        <v>134</v>
      </c>
      <c r="AF58" s="39">
        <v>23</v>
      </c>
      <c r="AG58" s="42">
        <v>0.23599999999999999</v>
      </c>
      <c r="AH58" s="39">
        <v>143</v>
      </c>
      <c r="AI58" s="42">
        <v>0.1106</v>
      </c>
      <c r="AJ58" s="39" t="s">
        <v>5104</v>
      </c>
      <c r="AK58" s="39" t="s">
        <v>5105</v>
      </c>
      <c r="AL58" s="39" t="s">
        <v>5000</v>
      </c>
      <c r="AM58" s="42">
        <v>7.6999999999999999E-2</v>
      </c>
      <c r="AN58" s="42">
        <v>0.20369999999999999</v>
      </c>
      <c r="AO58" s="41">
        <v>65</v>
      </c>
      <c r="AP58" s="39">
        <v>27</v>
      </c>
      <c r="AQ58" s="39">
        <v>52</v>
      </c>
      <c r="AR58" s="45">
        <v>20029</v>
      </c>
      <c r="AS58" s="39">
        <v>10</v>
      </c>
      <c r="AT58" s="39" t="s">
        <v>4562</v>
      </c>
      <c r="AU58" s="39">
        <v>6</v>
      </c>
      <c r="AV58" s="39" t="s">
        <v>6289</v>
      </c>
      <c r="AW58" s="39">
        <v>18450.28</v>
      </c>
      <c r="AX58" s="39">
        <v>18621.22</v>
      </c>
      <c r="AY58" s="39">
        <v>18736.580000000002</v>
      </c>
      <c r="AZ58" s="39">
        <v>18163.98</v>
      </c>
      <c r="BA58" s="39">
        <v>18048.62</v>
      </c>
      <c r="BB58" s="39">
        <v>17877.68</v>
      </c>
      <c r="BC58" s="39">
        <v>14</v>
      </c>
      <c r="BD58" s="39" t="s">
        <v>130</v>
      </c>
      <c r="BE58" s="39">
        <v>3</v>
      </c>
      <c r="BF58" s="39" t="s">
        <v>130</v>
      </c>
      <c r="BG58" s="48">
        <v>6534.5</v>
      </c>
      <c r="BH58" s="39">
        <v>0.4</v>
      </c>
      <c r="BI58" s="39" t="s">
        <v>4651</v>
      </c>
      <c r="BJ58" s="39" t="s">
        <v>4563</v>
      </c>
    </row>
    <row r="59" spans="1:62" x14ac:dyDescent="0.35">
      <c r="A59" s="40" t="s">
        <v>290</v>
      </c>
      <c r="B59" s="39" t="str">
        <f>IFERROR(INDEX(added_new_stocks!$F$6:$H$2155,MATCH($A59,added_new_stocks!$F$6:$F$2600,0),3),"")</f>
        <v>Large</v>
      </c>
      <c r="C59" s="48">
        <v>18609.849999999999</v>
      </c>
      <c r="D59" s="39">
        <v>65</v>
      </c>
      <c r="G59" s="39" t="s">
        <v>4562</v>
      </c>
      <c r="H59" s="39" t="s">
        <v>5106</v>
      </c>
      <c r="I59" s="39" t="s">
        <v>4989</v>
      </c>
      <c r="J59" s="39" t="s">
        <v>5107</v>
      </c>
      <c r="K59" s="40" t="s">
        <v>133</v>
      </c>
      <c r="L59" s="39" t="s">
        <v>5108</v>
      </c>
      <c r="M59" s="39" t="s">
        <v>4620</v>
      </c>
      <c r="N59" s="39">
        <v>11</v>
      </c>
      <c r="O59" s="39">
        <v>-1</v>
      </c>
      <c r="P59" s="39">
        <v>10</v>
      </c>
      <c r="Q59" s="39" t="s">
        <v>14</v>
      </c>
      <c r="R59" s="39">
        <v>-7.0000000000000007E-2</v>
      </c>
      <c r="S59" s="39">
        <v>1.32</v>
      </c>
      <c r="T59" s="39">
        <v>-1.83</v>
      </c>
      <c r="U59" s="39">
        <v>0.36</v>
      </c>
      <c r="V59" s="39">
        <v>2.4900000000000002</v>
      </c>
      <c r="W59" s="39">
        <v>7.9</v>
      </c>
      <c r="X59" s="39">
        <v>6.14</v>
      </c>
      <c r="Y59" s="39">
        <v>34.619999999999997</v>
      </c>
      <c r="Z59" s="39">
        <v>32.86</v>
      </c>
      <c r="AA59" s="39">
        <v>28.66</v>
      </c>
      <c r="AB59" s="39">
        <v>-15.47</v>
      </c>
      <c r="AC59" s="39">
        <v>126.47</v>
      </c>
      <c r="AD59" s="39" t="s">
        <v>4606</v>
      </c>
      <c r="AE59" s="39" t="s">
        <v>134</v>
      </c>
      <c r="AF59" s="39">
        <v>132</v>
      </c>
      <c r="AG59" s="42">
        <v>5.6000000000000001E-2</v>
      </c>
      <c r="AH59" s="39">
        <v>171</v>
      </c>
      <c r="AI59" s="42">
        <v>3.8800000000000001E-2</v>
      </c>
      <c r="AJ59" s="39" t="s">
        <v>5109</v>
      </c>
      <c r="AK59" s="42">
        <v>0.67759999999999998</v>
      </c>
      <c r="AL59" s="39" t="s">
        <v>5110</v>
      </c>
      <c r="AM59" s="42">
        <v>2.98E-2</v>
      </c>
      <c r="AN59" s="42">
        <v>7.3200000000000001E-2</v>
      </c>
      <c r="AO59" s="41">
        <v>70</v>
      </c>
      <c r="AP59" s="39">
        <v>87</v>
      </c>
      <c r="AQ59" s="39">
        <v>47</v>
      </c>
      <c r="AR59" s="39">
        <v>434</v>
      </c>
      <c r="AS59" s="39">
        <v>24</v>
      </c>
      <c r="AT59" s="39" t="s">
        <v>129</v>
      </c>
      <c r="AU59" s="39">
        <v>29</v>
      </c>
      <c r="AV59" s="39" t="s">
        <v>6290</v>
      </c>
      <c r="AW59" s="39">
        <v>353.27</v>
      </c>
      <c r="AX59" s="39">
        <v>356.28</v>
      </c>
      <c r="AY59" s="39">
        <v>358.42</v>
      </c>
      <c r="AZ59" s="39">
        <v>348.12</v>
      </c>
      <c r="BA59" s="39">
        <v>345.98</v>
      </c>
      <c r="BB59" s="39">
        <v>342.97</v>
      </c>
      <c r="BC59" s="39">
        <v>6</v>
      </c>
      <c r="BD59" s="39">
        <v>4</v>
      </c>
      <c r="BE59" s="39">
        <v>7</v>
      </c>
      <c r="BF59" s="39" t="s">
        <v>130</v>
      </c>
      <c r="BG59" s="39">
        <v>702.4</v>
      </c>
      <c r="BH59" s="39">
        <v>2</v>
      </c>
      <c r="BI59" s="39" t="s">
        <v>4563</v>
      </c>
      <c r="BJ59" s="39" t="s">
        <v>4563</v>
      </c>
    </row>
    <row r="60" spans="1:62" x14ac:dyDescent="0.35">
      <c r="A60" s="40" t="s">
        <v>752</v>
      </c>
      <c r="B60" s="39" t="str">
        <f>IFERROR(INDEX(added_new_stocks!$F$6:$H$2155,MATCH($A60,added_new_stocks!$F$6:$F$2600,0),3),"")</f>
        <v>Mid</v>
      </c>
      <c r="C60" s="39">
        <v>351.8</v>
      </c>
      <c r="D60" s="39">
        <v>74</v>
      </c>
      <c r="G60" s="39" t="s">
        <v>129</v>
      </c>
      <c r="H60" s="39" t="s">
        <v>5111</v>
      </c>
      <c r="I60" s="39" t="s">
        <v>4989</v>
      </c>
      <c r="J60" s="39" t="s">
        <v>5112</v>
      </c>
      <c r="K60" s="40" t="s">
        <v>133</v>
      </c>
      <c r="L60" s="39" t="s">
        <v>6772</v>
      </c>
      <c r="M60" s="39" t="s">
        <v>135</v>
      </c>
      <c r="N60" s="39">
        <v>29</v>
      </c>
      <c r="O60" s="39">
        <v>-1</v>
      </c>
      <c r="P60" s="39">
        <v>28</v>
      </c>
      <c r="Q60" s="39" t="s">
        <v>5060</v>
      </c>
      <c r="R60" s="39">
        <v>-1.39</v>
      </c>
      <c r="S60" s="39">
        <v>2.06</v>
      </c>
      <c r="T60" s="39">
        <v>-5.8</v>
      </c>
      <c r="U60" s="39">
        <v>-2.4</v>
      </c>
      <c r="V60" s="39">
        <v>9.6</v>
      </c>
      <c r="W60" s="39">
        <v>6.43</v>
      </c>
      <c r="X60" s="39">
        <v>7.08</v>
      </c>
      <c r="Y60" s="39">
        <v>-25.56</v>
      </c>
      <c r="Z60" s="39">
        <v>-15.22</v>
      </c>
      <c r="AA60" s="39">
        <v>-0.93</v>
      </c>
      <c r="AB60" s="39">
        <v>-3.19</v>
      </c>
      <c r="AC60" s="39">
        <v>288.16000000000003</v>
      </c>
      <c r="AD60" s="39" t="s">
        <v>4606</v>
      </c>
      <c r="AE60" s="39" t="s">
        <v>134</v>
      </c>
      <c r="AF60" s="39">
        <v>193</v>
      </c>
      <c r="AG60" s="42">
        <v>9.9900000000000003E-2</v>
      </c>
      <c r="AH60" s="39">
        <v>608</v>
      </c>
      <c r="AI60" s="42">
        <v>0.1255</v>
      </c>
      <c r="AJ60" s="39" t="s">
        <v>5061</v>
      </c>
      <c r="AK60" s="42">
        <v>0.52980000000000005</v>
      </c>
      <c r="AL60" s="39" t="s">
        <v>5114</v>
      </c>
      <c r="AM60" s="42">
        <v>1.52E-2</v>
      </c>
      <c r="AN60" s="42">
        <v>7.8700000000000006E-2</v>
      </c>
      <c r="AO60" s="41">
        <v>55</v>
      </c>
      <c r="AP60" s="39">
        <v>27</v>
      </c>
      <c r="AQ60" s="39">
        <v>61</v>
      </c>
      <c r="AR60" s="39">
        <v>647</v>
      </c>
      <c r="AS60" s="39">
        <v>10</v>
      </c>
      <c r="AT60" s="39" t="s">
        <v>129</v>
      </c>
      <c r="AU60" s="39">
        <v>13</v>
      </c>
      <c r="AV60" s="39" t="s">
        <v>6291</v>
      </c>
      <c r="AW60" s="39">
        <v>592.48</v>
      </c>
      <c r="AX60" s="39">
        <v>597.57000000000005</v>
      </c>
      <c r="AY60" s="39">
        <v>605.58000000000004</v>
      </c>
      <c r="AZ60" s="39">
        <v>579.38</v>
      </c>
      <c r="BA60" s="39">
        <v>571.37</v>
      </c>
      <c r="BB60" s="39">
        <v>566.28</v>
      </c>
      <c r="BC60" s="39">
        <v>11</v>
      </c>
      <c r="BD60" s="39">
        <v>5</v>
      </c>
      <c r="BE60" s="39">
        <v>4</v>
      </c>
      <c r="BF60" s="39" t="s">
        <v>130</v>
      </c>
      <c r="BG60" s="39">
        <v>177.1</v>
      </c>
      <c r="BH60" s="39">
        <v>0.3</v>
      </c>
      <c r="BI60" s="39" t="s">
        <v>4565</v>
      </c>
      <c r="BJ60" s="39" t="s">
        <v>132</v>
      </c>
    </row>
    <row r="61" spans="1:62" x14ac:dyDescent="0.35">
      <c r="A61" s="40" t="s">
        <v>910</v>
      </c>
      <c r="B61" s="39" t="str">
        <f>IFERROR(INDEX(added_new_stocks!$F$6:$H$2155,MATCH($A61,added_new_stocks!$F$6:$F$2600,0),3),"")</f>
        <v>Mid</v>
      </c>
      <c r="C61" s="39">
        <v>595.70000000000005</v>
      </c>
      <c r="D61" s="39">
        <v>28</v>
      </c>
      <c r="G61" s="39" t="s">
        <v>4963</v>
      </c>
      <c r="H61" s="39" t="s">
        <v>6773</v>
      </c>
      <c r="I61" s="39" t="s">
        <v>4989</v>
      </c>
      <c r="J61" s="39" t="s">
        <v>6774</v>
      </c>
      <c r="K61" s="40" t="s">
        <v>4603</v>
      </c>
      <c r="L61" s="39" t="s">
        <v>6775</v>
      </c>
      <c r="M61" s="39" t="s">
        <v>4959</v>
      </c>
      <c r="N61" s="39">
        <v>5</v>
      </c>
      <c r="O61" s="39">
        <v>-21</v>
      </c>
      <c r="P61" s="39">
        <v>-16</v>
      </c>
      <c r="Q61" s="39" t="s">
        <v>4605</v>
      </c>
      <c r="R61" s="39">
        <v>0.16</v>
      </c>
      <c r="S61" s="39">
        <v>-0.03</v>
      </c>
      <c r="T61" s="39">
        <v>2.42</v>
      </c>
      <c r="U61" s="39">
        <v>9.98</v>
      </c>
      <c r="V61" s="39">
        <v>25.09</v>
      </c>
      <c r="W61" s="39">
        <v>27.98</v>
      </c>
      <c r="X61" s="39">
        <v>16.37</v>
      </c>
      <c r="Y61" s="39">
        <v>90.75</v>
      </c>
      <c r="Z61" s="39">
        <v>227.94</v>
      </c>
      <c r="AA61" s="39">
        <v>198.67</v>
      </c>
      <c r="AB61" s="39">
        <v>315.7</v>
      </c>
      <c r="AC61" s="39">
        <v>1678.21</v>
      </c>
      <c r="AD61" s="39" t="s">
        <v>4606</v>
      </c>
      <c r="AE61" s="39" t="s">
        <v>134</v>
      </c>
      <c r="AF61" s="39">
        <v>19</v>
      </c>
      <c r="AG61" s="42">
        <v>0.23230000000000001</v>
      </c>
      <c r="AH61" s="39">
        <v>129</v>
      </c>
      <c r="AI61" s="42">
        <v>0.1368</v>
      </c>
      <c r="AJ61" s="39" t="s">
        <v>6776</v>
      </c>
      <c r="AK61" s="42">
        <v>0.14979999999999999</v>
      </c>
      <c r="AL61" s="39" t="s">
        <v>5589</v>
      </c>
      <c r="AM61" s="42">
        <v>6.6299999999999998E-2</v>
      </c>
      <c r="AN61" s="42">
        <v>0.127</v>
      </c>
      <c r="AO61" s="41">
        <v>55</v>
      </c>
      <c r="AP61" s="39">
        <v>27</v>
      </c>
      <c r="AQ61" s="39">
        <v>73</v>
      </c>
      <c r="AR61" s="39">
        <v>443</v>
      </c>
      <c r="AS61" s="39">
        <v>-9</v>
      </c>
      <c r="AT61" s="39" t="s">
        <v>129</v>
      </c>
      <c r="AU61" s="39">
        <v>12</v>
      </c>
      <c r="AV61" s="39" t="s">
        <v>6292</v>
      </c>
      <c r="AW61" s="39">
        <v>489.18</v>
      </c>
      <c r="AX61" s="39">
        <v>493.82</v>
      </c>
      <c r="AY61" s="39">
        <v>499.98</v>
      </c>
      <c r="AZ61" s="39">
        <v>478.38</v>
      </c>
      <c r="BA61" s="39">
        <v>472.22</v>
      </c>
      <c r="BB61" s="39">
        <v>467.58</v>
      </c>
      <c r="BC61" s="39">
        <v>13</v>
      </c>
      <c r="BD61" s="39">
        <v>1</v>
      </c>
      <c r="BE61" s="39">
        <v>6</v>
      </c>
      <c r="BF61" s="39" t="s">
        <v>130</v>
      </c>
      <c r="BG61" s="39">
        <v>159.1</v>
      </c>
      <c r="BH61" s="39">
        <v>0.3</v>
      </c>
      <c r="BI61" s="39" t="s">
        <v>4563</v>
      </c>
      <c r="BJ61" s="39" t="s">
        <v>4563</v>
      </c>
    </row>
    <row r="62" spans="1:62" x14ac:dyDescent="0.35">
      <c r="A62" s="40" t="s">
        <v>1534</v>
      </c>
      <c r="B62" s="39" t="str">
        <f>IFERROR(INDEX(added_new_stocks!$F$6:$H$2155,MATCH($A62,added_new_stocks!$F$6:$F$2600,0),3),"")</f>
        <v>Small</v>
      </c>
      <c r="C62" s="39">
        <v>493.15</v>
      </c>
      <c r="D62" s="39">
        <v>71</v>
      </c>
      <c r="G62" s="39" t="s">
        <v>129</v>
      </c>
      <c r="H62" s="39" t="s">
        <v>5115</v>
      </c>
      <c r="I62" s="39" t="s">
        <v>4624</v>
      </c>
      <c r="J62" s="39" t="s">
        <v>5116</v>
      </c>
      <c r="K62" s="40" t="s">
        <v>133</v>
      </c>
      <c r="L62" s="39" t="s">
        <v>4998</v>
      </c>
      <c r="M62" s="39" t="s">
        <v>4959</v>
      </c>
      <c r="N62" s="39">
        <v>13</v>
      </c>
      <c r="O62" s="39">
        <v>-4</v>
      </c>
      <c r="P62" s="39">
        <v>9</v>
      </c>
      <c r="Q62" s="39" t="s">
        <v>14</v>
      </c>
      <c r="R62" s="39">
        <v>-0.13</v>
      </c>
      <c r="S62" s="39">
        <v>5.96</v>
      </c>
      <c r="T62" s="39">
        <v>18.63</v>
      </c>
      <c r="U62" s="39">
        <v>46.53</v>
      </c>
      <c r="V62" s="39">
        <v>78.23</v>
      </c>
      <c r="W62" s="39">
        <v>64.930000000000007</v>
      </c>
      <c r="X62" s="39">
        <v>53.75</v>
      </c>
      <c r="Y62" s="39">
        <v>19.579999999999998</v>
      </c>
      <c r="Z62" s="39">
        <v>185.64</v>
      </c>
      <c r="AA62" s="39">
        <v>644.94000000000005</v>
      </c>
      <c r="AB62" s="39">
        <v>66.349999999999994</v>
      </c>
      <c r="AC62" s="39">
        <v>277.75</v>
      </c>
      <c r="AD62" s="39" t="s">
        <v>4606</v>
      </c>
      <c r="AE62" s="39" t="s">
        <v>134</v>
      </c>
      <c r="AF62" s="39">
        <v>20</v>
      </c>
      <c r="AG62" s="42">
        <v>0.2122</v>
      </c>
      <c r="AH62" s="39">
        <v>148</v>
      </c>
      <c r="AI62" s="42">
        <v>0.11310000000000001</v>
      </c>
      <c r="AJ62" s="39" t="s">
        <v>5117</v>
      </c>
      <c r="AK62" s="42">
        <v>0.39150000000000001</v>
      </c>
      <c r="AL62" s="39" t="s">
        <v>5118</v>
      </c>
      <c r="AM62" s="42">
        <v>5.5300000000000002E-2</v>
      </c>
      <c r="AN62" s="42">
        <v>0.18990000000000001</v>
      </c>
      <c r="AO62" s="41">
        <v>50</v>
      </c>
      <c r="AP62" s="39">
        <v>33</v>
      </c>
      <c r="AQ62" s="39">
        <v>46</v>
      </c>
      <c r="AR62" s="39">
        <v>250</v>
      </c>
      <c r="AS62" s="39">
        <v>63</v>
      </c>
      <c r="AT62" s="39" t="s">
        <v>4633</v>
      </c>
      <c r="AU62" s="39">
        <v>2</v>
      </c>
      <c r="AV62" s="39" t="s">
        <v>6293</v>
      </c>
      <c r="AW62" s="39">
        <v>154.66999999999999</v>
      </c>
      <c r="AX62" s="39">
        <v>155.78</v>
      </c>
      <c r="AY62" s="39">
        <v>157.32</v>
      </c>
      <c r="AZ62" s="39">
        <v>152.02000000000001</v>
      </c>
      <c r="BA62" s="39">
        <v>150.47999999999999</v>
      </c>
      <c r="BB62" s="39">
        <v>149.37</v>
      </c>
      <c r="BC62" s="39">
        <v>3</v>
      </c>
      <c r="BD62" s="39">
        <v>6</v>
      </c>
      <c r="BE62" s="39">
        <v>1</v>
      </c>
      <c r="BF62" s="39" t="s">
        <v>130</v>
      </c>
      <c r="BG62" s="39">
        <v>61.3</v>
      </c>
      <c r="BH62" s="39">
        <v>0.4</v>
      </c>
      <c r="BI62" s="39" t="s">
        <v>132</v>
      </c>
      <c r="BJ62" s="39" t="s">
        <v>4563</v>
      </c>
    </row>
    <row r="63" spans="1:62" x14ac:dyDescent="0.35">
      <c r="A63" s="40" t="s">
        <v>782</v>
      </c>
      <c r="B63" s="39" t="str">
        <f>IFERROR(INDEX(added_new_stocks!$F$6:$H$2155,MATCH($A63,added_new_stocks!$F$6:$F$2600,0),3),"")</f>
        <v>Mid</v>
      </c>
      <c r="C63" s="39">
        <v>164.2</v>
      </c>
      <c r="D63" s="39">
        <v>50</v>
      </c>
      <c r="G63" s="39" t="s">
        <v>4562</v>
      </c>
      <c r="H63" s="39" t="s">
        <v>6777</v>
      </c>
      <c r="I63" s="39" t="s">
        <v>4989</v>
      </c>
      <c r="J63" s="39" t="s">
        <v>6778</v>
      </c>
      <c r="K63" s="40" t="s">
        <v>4615</v>
      </c>
      <c r="L63" s="39" t="s">
        <v>6779</v>
      </c>
      <c r="M63" s="39" t="s">
        <v>5047</v>
      </c>
      <c r="N63" s="39">
        <v>5</v>
      </c>
      <c r="O63" s="39">
        <v>-12</v>
      </c>
      <c r="P63" s="39">
        <v>-7</v>
      </c>
      <c r="Q63" s="39" t="s">
        <v>4605</v>
      </c>
      <c r="R63" s="39">
        <v>0.4</v>
      </c>
      <c r="S63" s="39">
        <v>6.62</v>
      </c>
      <c r="T63" s="39">
        <v>4.79</v>
      </c>
      <c r="U63" s="39">
        <v>-1.76</v>
      </c>
      <c r="V63" s="39">
        <v>15.47</v>
      </c>
      <c r="W63" s="39">
        <v>2.59</v>
      </c>
      <c r="X63" s="39">
        <v>25.49</v>
      </c>
      <c r="Y63" s="39">
        <v>-5.61</v>
      </c>
      <c r="Z63" s="39">
        <v>71.13</v>
      </c>
      <c r="AA63" s="39">
        <v>197.19</v>
      </c>
      <c r="AB63" s="39">
        <v>143.08000000000001</v>
      </c>
      <c r="AC63" s="39">
        <v>1729.53</v>
      </c>
      <c r="AD63" s="39" t="s">
        <v>5015</v>
      </c>
      <c r="AE63" s="39" t="s">
        <v>134</v>
      </c>
      <c r="AF63" s="39">
        <v>2</v>
      </c>
      <c r="AG63" s="42">
        <v>8.4500000000000006E-2</v>
      </c>
      <c r="AH63" s="39">
        <v>42</v>
      </c>
      <c r="AI63" s="42">
        <v>0.1012</v>
      </c>
      <c r="AJ63" s="39" t="s">
        <v>6780</v>
      </c>
      <c r="AK63" s="42">
        <v>8.8700000000000001E-2</v>
      </c>
      <c r="AL63" s="39" t="s">
        <v>6781</v>
      </c>
      <c r="AM63" s="42">
        <v>0.15240000000000001</v>
      </c>
      <c r="AN63" s="42">
        <v>0.30409999999999998</v>
      </c>
      <c r="AO63" s="41">
        <v>60</v>
      </c>
      <c r="AP63" s="39">
        <v>12</v>
      </c>
      <c r="AQ63" s="39">
        <v>37</v>
      </c>
      <c r="AR63" s="39">
        <v>333</v>
      </c>
      <c r="AS63" s="39">
        <v>9</v>
      </c>
      <c r="AT63" s="39" t="s">
        <v>129</v>
      </c>
      <c r="AU63" s="39">
        <v>6</v>
      </c>
      <c r="AV63" s="39" t="s">
        <v>6294</v>
      </c>
      <c r="AW63" s="39">
        <v>309.5</v>
      </c>
      <c r="AX63" s="39">
        <v>313.95</v>
      </c>
      <c r="AY63" s="39">
        <v>321.39999999999998</v>
      </c>
      <c r="AZ63" s="39">
        <v>297.60000000000002</v>
      </c>
      <c r="BA63" s="39">
        <v>290.14999999999998</v>
      </c>
      <c r="BB63" s="39">
        <v>285.7</v>
      </c>
      <c r="BC63" s="39">
        <v>7</v>
      </c>
      <c r="BD63" s="39">
        <v>3</v>
      </c>
      <c r="BE63" s="39">
        <v>1</v>
      </c>
      <c r="BF63" s="39" t="s">
        <v>130</v>
      </c>
      <c r="BG63" s="39">
        <v>39.6</v>
      </c>
      <c r="BH63" s="39">
        <v>0.1</v>
      </c>
      <c r="BI63" s="39" t="s">
        <v>132</v>
      </c>
      <c r="BJ63" s="39" t="s">
        <v>132</v>
      </c>
    </row>
    <row r="64" spans="1:62" x14ac:dyDescent="0.35">
      <c r="A64" s="40" t="s">
        <v>784</v>
      </c>
      <c r="B64" s="39" t="str">
        <f>IFERROR(INDEX(added_new_stocks!$F$6:$H$2155,MATCH($A64,added_new_stocks!$F$6:$F$2600,0),3),"")</f>
        <v>Mid</v>
      </c>
      <c r="C64" s="39">
        <v>301.95</v>
      </c>
      <c r="D64" s="39">
        <v>44</v>
      </c>
      <c r="G64" s="39" t="s">
        <v>4625</v>
      </c>
      <c r="H64" s="39" t="s">
        <v>6782</v>
      </c>
      <c r="I64" s="39" t="s">
        <v>5677</v>
      </c>
      <c r="J64" s="39" t="s">
        <v>6783</v>
      </c>
      <c r="K64" s="40" t="s">
        <v>133</v>
      </c>
      <c r="L64" s="39" t="s">
        <v>4998</v>
      </c>
      <c r="M64" s="39" t="s">
        <v>4620</v>
      </c>
      <c r="N64" s="39">
        <v>10</v>
      </c>
      <c r="O64" s="39">
        <v>-3</v>
      </c>
      <c r="P64" s="39">
        <v>7</v>
      </c>
      <c r="Q64" s="39" t="s">
        <v>14</v>
      </c>
      <c r="R64" s="39">
        <v>-0.08</v>
      </c>
      <c r="S64" s="39">
        <v>-1.87</v>
      </c>
      <c r="T64" s="39">
        <v>0.35</v>
      </c>
      <c r="U64" s="39">
        <v>-8.9700000000000006</v>
      </c>
      <c r="V64" s="39">
        <v>-25</v>
      </c>
      <c r="W64" s="39">
        <v>-27.07</v>
      </c>
      <c r="X64" s="39">
        <v>-38.86</v>
      </c>
      <c r="Y64" s="39" t="s">
        <v>4538</v>
      </c>
      <c r="Z64" s="39" t="s">
        <v>4538</v>
      </c>
      <c r="AA64" s="39" t="s">
        <v>4538</v>
      </c>
      <c r="AB64" s="39" t="s">
        <v>4538</v>
      </c>
      <c r="AC64" s="39" t="s">
        <v>4538</v>
      </c>
      <c r="AD64" s="39" t="s">
        <v>4606</v>
      </c>
      <c r="AE64" s="39" t="s">
        <v>134</v>
      </c>
      <c r="AF64" s="39">
        <v>14</v>
      </c>
      <c r="AG64" s="42">
        <v>6.2600000000000003E-2</v>
      </c>
      <c r="AH64" s="39">
        <v>83</v>
      </c>
      <c r="AI64" s="42">
        <v>0.115</v>
      </c>
      <c r="AJ64" s="39" t="s">
        <v>6784</v>
      </c>
      <c r="AK64" s="42">
        <v>0.5766</v>
      </c>
      <c r="AL64" s="39" t="s">
        <v>6785</v>
      </c>
      <c r="AM64" s="42">
        <v>3.6200000000000003E-2</v>
      </c>
      <c r="AN64" s="42">
        <v>5.21E-2</v>
      </c>
      <c r="AO64" s="41">
        <v>50</v>
      </c>
      <c r="AP64" s="39">
        <v>16</v>
      </c>
      <c r="AQ64" s="39">
        <v>56</v>
      </c>
      <c r="AR64" s="45">
        <v>2500</v>
      </c>
      <c r="AS64" s="39">
        <v>4</v>
      </c>
      <c r="AT64" s="39" t="s">
        <v>4562</v>
      </c>
      <c r="AU64" s="39">
        <v>8</v>
      </c>
      <c r="AV64" s="39" t="s">
        <v>6295</v>
      </c>
      <c r="AW64" s="39">
        <v>2448.12</v>
      </c>
      <c r="AX64" s="39">
        <v>2481.63</v>
      </c>
      <c r="AY64" s="39">
        <v>2504.3200000000002</v>
      </c>
      <c r="AZ64" s="39">
        <v>2391.92</v>
      </c>
      <c r="BA64" s="39">
        <v>2369.23</v>
      </c>
      <c r="BB64" s="39">
        <v>2335.7199999999998</v>
      </c>
      <c r="BC64" s="39">
        <v>6</v>
      </c>
      <c r="BD64" s="39">
        <v>1</v>
      </c>
      <c r="BE64" s="39">
        <v>3</v>
      </c>
      <c r="BF64" s="39" t="s">
        <v>130</v>
      </c>
      <c r="BG64" s="39">
        <v>466.4</v>
      </c>
      <c r="BH64" s="39">
        <v>0.2</v>
      </c>
      <c r="BI64" s="39" t="s">
        <v>4639</v>
      </c>
    </row>
    <row r="65" spans="1:62" x14ac:dyDescent="0.35">
      <c r="A65" s="40" t="s">
        <v>919</v>
      </c>
      <c r="B65" s="39" t="str">
        <f>IFERROR(INDEX(added_new_stocks!$F$6:$H$2155,MATCH($A65,added_new_stocks!$F$6:$F$2600,0),3),"")</f>
        <v>Mid</v>
      </c>
      <c r="C65" s="48">
        <v>2383.6999999999998</v>
      </c>
      <c r="D65" s="39">
        <v>71</v>
      </c>
      <c r="G65" s="39" t="s">
        <v>129</v>
      </c>
      <c r="H65" s="39" t="s">
        <v>6786</v>
      </c>
      <c r="I65" s="39" t="s">
        <v>4624</v>
      </c>
      <c r="J65" s="39" t="s">
        <v>6787</v>
      </c>
      <c r="K65" s="40" t="s">
        <v>133</v>
      </c>
      <c r="L65" s="39" t="s">
        <v>4998</v>
      </c>
      <c r="M65" s="39" t="s">
        <v>4959</v>
      </c>
      <c r="N65" s="39">
        <v>9</v>
      </c>
      <c r="O65" s="39">
        <v>-1</v>
      </c>
      <c r="P65" s="39">
        <v>8</v>
      </c>
      <c r="Q65" s="39" t="s">
        <v>14</v>
      </c>
      <c r="R65" s="39">
        <v>0.61</v>
      </c>
      <c r="S65" s="39">
        <v>-4.32</v>
      </c>
      <c r="T65" s="39">
        <v>2.15</v>
      </c>
      <c r="U65" s="39">
        <v>11.05</v>
      </c>
      <c r="V65" s="39">
        <v>5.67</v>
      </c>
      <c r="W65" s="39">
        <v>7.35</v>
      </c>
      <c r="X65" s="39">
        <v>3.41</v>
      </c>
      <c r="Y65" s="39">
        <v>-33.53</v>
      </c>
      <c r="Z65" s="39" t="s">
        <v>4538</v>
      </c>
      <c r="AA65" s="39" t="s">
        <v>4538</v>
      </c>
      <c r="AB65" s="39" t="s">
        <v>4538</v>
      </c>
      <c r="AC65" s="39" t="s">
        <v>4538</v>
      </c>
      <c r="AD65" s="39" t="s">
        <v>4974</v>
      </c>
      <c r="AE65" s="39" t="s">
        <v>134</v>
      </c>
      <c r="AF65" s="39">
        <v>18</v>
      </c>
      <c r="AG65" s="42">
        <v>3.6900000000000002E-2</v>
      </c>
      <c r="AH65" s="39">
        <v>193</v>
      </c>
      <c r="AI65" s="42">
        <v>0.35780000000000001</v>
      </c>
      <c r="AJ65" s="39" t="s">
        <v>6788</v>
      </c>
      <c r="AK65" s="42">
        <v>0.1991</v>
      </c>
      <c r="AL65" s="39" t="s">
        <v>195</v>
      </c>
      <c r="AM65" s="42">
        <v>5.96E-2</v>
      </c>
      <c r="AN65" s="42">
        <v>0.19700000000000001</v>
      </c>
      <c r="AO65" s="41">
        <v>50</v>
      </c>
      <c r="AP65" s="39">
        <v>39</v>
      </c>
      <c r="AQ65" s="39">
        <v>59</v>
      </c>
      <c r="AR65" s="39">
        <v>864</v>
      </c>
      <c r="AS65" s="39">
        <v>17</v>
      </c>
      <c r="AT65" s="39" t="s">
        <v>129</v>
      </c>
      <c r="AU65" s="39">
        <v>11</v>
      </c>
      <c r="AV65" s="39" t="s">
        <v>6296</v>
      </c>
      <c r="AW65" s="39">
        <v>750.97</v>
      </c>
      <c r="AX65" s="39">
        <v>763.03</v>
      </c>
      <c r="AY65" s="39">
        <v>771.32</v>
      </c>
      <c r="AZ65" s="39">
        <v>730.62</v>
      </c>
      <c r="BA65" s="39">
        <v>722.33</v>
      </c>
      <c r="BB65" s="39">
        <v>710.27</v>
      </c>
      <c r="BC65" s="39">
        <v>9</v>
      </c>
      <c r="BD65" s="39">
        <v>4</v>
      </c>
      <c r="BE65" s="39">
        <v>5</v>
      </c>
      <c r="BF65" s="39" t="s">
        <v>130</v>
      </c>
      <c r="BG65" s="39">
        <v>545.29999999999995</v>
      </c>
      <c r="BH65" s="39">
        <v>0.7</v>
      </c>
      <c r="BI65" s="39" t="s">
        <v>4563</v>
      </c>
      <c r="BJ65" s="39" t="s">
        <v>4563</v>
      </c>
    </row>
    <row r="66" spans="1:62" x14ac:dyDescent="0.35">
      <c r="A66" s="40" t="s">
        <v>2105</v>
      </c>
      <c r="B66" s="39" t="str">
        <f>IFERROR(INDEX(added_new_stocks!$F$6:$H$2155,MATCH($A66,added_new_stocks!$F$6:$F$2600,0),3),"")</f>
        <v>Small</v>
      </c>
      <c r="C66" s="39">
        <v>749.85</v>
      </c>
      <c r="D66" s="39">
        <v>64</v>
      </c>
      <c r="G66" s="39" t="s">
        <v>4562</v>
      </c>
      <c r="H66" s="39" t="s">
        <v>6789</v>
      </c>
      <c r="I66" s="39" t="s">
        <v>4989</v>
      </c>
      <c r="J66" s="39" t="s">
        <v>6790</v>
      </c>
      <c r="K66" s="40" t="s">
        <v>133</v>
      </c>
      <c r="L66" s="39" t="s">
        <v>6791</v>
      </c>
      <c r="M66" s="39" t="s">
        <v>4959</v>
      </c>
      <c r="N66" s="39">
        <v>16</v>
      </c>
      <c r="O66" s="39">
        <v>0</v>
      </c>
      <c r="P66" s="39">
        <v>16</v>
      </c>
      <c r="Q66" s="39" t="s">
        <v>14</v>
      </c>
      <c r="R66" s="39">
        <v>0.23</v>
      </c>
      <c r="S66" s="39">
        <v>0.35</v>
      </c>
      <c r="T66" s="39">
        <v>2.4500000000000002</v>
      </c>
      <c r="U66" s="39">
        <v>8.6300000000000008</v>
      </c>
      <c r="V66" s="39">
        <v>32.32</v>
      </c>
      <c r="W66" s="39">
        <v>40.130000000000003</v>
      </c>
      <c r="X66" s="39">
        <v>18.39</v>
      </c>
      <c r="Y66" s="39">
        <v>32.42</v>
      </c>
      <c r="Z66" s="39">
        <v>93.38</v>
      </c>
      <c r="AA66" s="39">
        <v>81.8</v>
      </c>
      <c r="AB66" s="39">
        <v>136.77000000000001</v>
      </c>
      <c r="AC66" s="39">
        <v>3439.82</v>
      </c>
      <c r="AD66" s="39" t="s">
        <v>5015</v>
      </c>
      <c r="AE66" s="39" t="s">
        <v>134</v>
      </c>
      <c r="AF66" s="39">
        <v>51</v>
      </c>
      <c r="AG66" s="42">
        <v>0.25159999999999999</v>
      </c>
      <c r="AH66" s="39">
        <v>133</v>
      </c>
      <c r="AI66" s="42">
        <v>0.1072</v>
      </c>
      <c r="AJ66" s="39" t="s">
        <v>6792</v>
      </c>
      <c r="AK66" s="42">
        <v>0.2999</v>
      </c>
      <c r="AL66" s="39" t="s">
        <v>6793</v>
      </c>
      <c r="AM66" s="42">
        <v>6.1699999999999998E-2</v>
      </c>
      <c r="AN66" s="42">
        <v>0.18679999999999999</v>
      </c>
      <c r="AO66" s="41">
        <v>65</v>
      </c>
      <c r="AP66" s="39">
        <v>55</v>
      </c>
      <c r="AQ66" s="39">
        <v>55</v>
      </c>
      <c r="AR66" s="39">
        <v>237</v>
      </c>
      <c r="AS66" s="39">
        <v>20</v>
      </c>
      <c r="AT66" s="39" t="s">
        <v>129</v>
      </c>
      <c r="AU66" s="39">
        <v>4</v>
      </c>
      <c r="AV66" s="39" t="s">
        <v>6297</v>
      </c>
      <c r="AW66" s="39">
        <v>204.37</v>
      </c>
      <c r="AX66" s="39">
        <v>211.03</v>
      </c>
      <c r="AY66" s="39">
        <v>215.32</v>
      </c>
      <c r="AZ66" s="39">
        <v>193.42</v>
      </c>
      <c r="BA66" s="39">
        <v>189.13</v>
      </c>
      <c r="BB66" s="39">
        <v>182.47</v>
      </c>
      <c r="BC66" s="39">
        <v>8</v>
      </c>
      <c r="BD66" s="39">
        <v>7</v>
      </c>
      <c r="BE66" s="39">
        <v>2</v>
      </c>
      <c r="BF66" s="39" t="s">
        <v>130</v>
      </c>
      <c r="BG66" s="39">
        <v>203.7</v>
      </c>
      <c r="BH66" s="39">
        <v>1</v>
      </c>
      <c r="BI66" s="39" t="s">
        <v>131</v>
      </c>
      <c r="BJ66" s="39" t="s">
        <v>4565</v>
      </c>
    </row>
    <row r="67" spans="1:62" x14ac:dyDescent="0.35">
      <c r="A67" s="40" t="s">
        <v>595</v>
      </c>
      <c r="B67" s="39" t="str">
        <f>IFERROR(INDEX(added_new_stocks!$F$6:$H$2155,MATCH($A67,added_new_stocks!$F$6:$F$2600,0),3),"")</f>
        <v>Mid</v>
      </c>
      <c r="C67" s="39">
        <v>206.35</v>
      </c>
      <c r="D67" s="39">
        <v>52</v>
      </c>
      <c r="G67" s="39" t="s">
        <v>4562</v>
      </c>
      <c r="H67" s="39" t="s">
        <v>6794</v>
      </c>
      <c r="I67" s="39" t="s">
        <v>4989</v>
      </c>
      <c r="J67" s="39" t="s">
        <v>6795</v>
      </c>
      <c r="K67" s="40" t="s">
        <v>4615</v>
      </c>
      <c r="L67" s="39" t="s">
        <v>6796</v>
      </c>
      <c r="M67" s="39" t="s">
        <v>4955</v>
      </c>
      <c r="N67" s="39">
        <v>6</v>
      </c>
      <c r="O67" s="39">
        <v>-15</v>
      </c>
      <c r="P67" s="39">
        <v>-9</v>
      </c>
      <c r="Q67" s="39" t="s">
        <v>4605</v>
      </c>
      <c r="R67" s="39">
        <v>1.28</v>
      </c>
      <c r="S67" s="39">
        <v>1.35</v>
      </c>
      <c r="T67" s="39">
        <v>-2.48</v>
      </c>
      <c r="U67" s="39">
        <v>25.52</v>
      </c>
      <c r="V67" s="39">
        <v>64.099999999999994</v>
      </c>
      <c r="W67" s="39">
        <v>34.869999999999997</v>
      </c>
      <c r="X67" s="39">
        <v>24.72</v>
      </c>
      <c r="Y67" s="39">
        <v>36.97</v>
      </c>
      <c r="Z67" s="39">
        <v>49.85</v>
      </c>
      <c r="AA67" s="39">
        <v>2.56</v>
      </c>
      <c r="AB67" s="39">
        <v>-23.15</v>
      </c>
      <c r="AC67" s="39" t="s">
        <v>4538</v>
      </c>
      <c r="AD67" s="39" t="s">
        <v>5015</v>
      </c>
      <c r="AE67" s="39">
        <v>19.059999999999999</v>
      </c>
      <c r="AF67" s="39">
        <v>1</v>
      </c>
      <c r="AG67" s="42">
        <v>1.55E-2</v>
      </c>
      <c r="AH67" s="39">
        <v>43</v>
      </c>
      <c r="AI67" s="42">
        <v>0.114</v>
      </c>
      <c r="AJ67" s="39" t="s">
        <v>6797</v>
      </c>
      <c r="AK67" s="42">
        <v>0.12330000000000001</v>
      </c>
      <c r="AL67" s="39" t="s">
        <v>6798</v>
      </c>
      <c r="AM67" s="42">
        <v>8.2100000000000006E-2</v>
      </c>
      <c r="AN67" s="42">
        <v>0.3498</v>
      </c>
      <c r="AO67" s="41">
        <v>65</v>
      </c>
      <c r="AP67" s="39">
        <v>21</v>
      </c>
      <c r="AQ67" s="39">
        <v>57</v>
      </c>
      <c r="AR67" s="45">
        <v>1309</v>
      </c>
      <c r="AS67" s="39">
        <v>15</v>
      </c>
      <c r="AT67" s="39" t="s">
        <v>129</v>
      </c>
      <c r="AU67" s="39">
        <v>11</v>
      </c>
      <c r="AV67" s="39" t="s">
        <v>6298</v>
      </c>
      <c r="AW67" s="39">
        <v>1144.8800000000001</v>
      </c>
      <c r="AX67" s="39">
        <v>1154.77</v>
      </c>
      <c r="AY67" s="39">
        <v>1165.6300000000001</v>
      </c>
      <c r="AZ67" s="39">
        <v>1124.1300000000001</v>
      </c>
      <c r="BA67" s="39">
        <v>1113.27</v>
      </c>
      <c r="BB67" s="39">
        <v>1103.3800000000001</v>
      </c>
      <c r="BC67" s="39">
        <v>9</v>
      </c>
      <c r="BD67" s="39">
        <v>3</v>
      </c>
      <c r="BE67" s="39">
        <v>2</v>
      </c>
      <c r="BF67" s="39" t="s">
        <v>130</v>
      </c>
      <c r="BG67" s="39">
        <v>287.10000000000002</v>
      </c>
      <c r="BH67" s="39">
        <v>0.3</v>
      </c>
      <c r="BI67" s="39" t="s">
        <v>4565</v>
      </c>
      <c r="BJ67" s="39" t="s">
        <v>4563</v>
      </c>
    </row>
    <row r="68" spans="1:62" x14ac:dyDescent="0.35">
      <c r="A68" s="40" t="s">
        <v>1566</v>
      </c>
      <c r="B68" s="39" t="str">
        <f>IFERROR(INDEX(added_new_stocks!$F$6:$H$2155,MATCH($A68,added_new_stocks!$F$6:$F$2600,0),3),"")</f>
        <v>Small</v>
      </c>
      <c r="C68" s="48">
        <v>1142.3499999999999</v>
      </c>
      <c r="D68" s="39">
        <v>64</v>
      </c>
      <c r="G68" s="39" t="s">
        <v>4562</v>
      </c>
      <c r="H68" s="39" t="s">
        <v>6799</v>
      </c>
      <c r="I68" s="39" t="s">
        <v>4989</v>
      </c>
      <c r="J68" s="39" t="s">
        <v>6800</v>
      </c>
      <c r="K68" s="40" t="s">
        <v>133</v>
      </c>
      <c r="L68" s="39" t="s">
        <v>6801</v>
      </c>
      <c r="M68" s="39" t="s">
        <v>4959</v>
      </c>
      <c r="N68" s="39">
        <v>12</v>
      </c>
      <c r="O68" s="39">
        <v>-1</v>
      </c>
      <c r="P68" s="39">
        <v>11</v>
      </c>
      <c r="Q68" s="39" t="s">
        <v>14</v>
      </c>
      <c r="R68" s="39">
        <v>0.49</v>
      </c>
      <c r="S68" s="39" t="s">
        <v>4538</v>
      </c>
      <c r="T68" s="39">
        <v>-6.75</v>
      </c>
      <c r="U68" s="39">
        <v>-0.76</v>
      </c>
      <c r="V68" s="39">
        <v>14.98</v>
      </c>
      <c r="W68" s="39">
        <v>30.66</v>
      </c>
      <c r="X68" s="39">
        <v>35.24</v>
      </c>
      <c r="Y68" s="39">
        <v>42.5</v>
      </c>
      <c r="Z68" s="39">
        <v>316.31</v>
      </c>
      <c r="AA68" s="39">
        <v>302.95</v>
      </c>
      <c r="AB68" s="39">
        <v>208.12</v>
      </c>
      <c r="AC68" s="39">
        <v>1027.69</v>
      </c>
      <c r="AD68" s="39" t="s">
        <v>4606</v>
      </c>
      <c r="AE68" s="39">
        <v>0.02</v>
      </c>
      <c r="AF68" s="39">
        <v>26</v>
      </c>
      <c r="AG68" s="42">
        <v>0.27060000000000001</v>
      </c>
      <c r="AH68" s="39">
        <v>133</v>
      </c>
      <c r="AI68" s="42">
        <v>9.98E-2</v>
      </c>
      <c r="AJ68" s="39" t="s">
        <v>6802</v>
      </c>
      <c r="AK68" s="42">
        <v>0.29509999999999997</v>
      </c>
      <c r="AL68" s="39" t="s">
        <v>6803</v>
      </c>
      <c r="AM68" s="42">
        <v>9.8000000000000004E-2</v>
      </c>
      <c r="AN68" s="42">
        <v>0.1401</v>
      </c>
      <c r="AO68" s="41">
        <v>55</v>
      </c>
      <c r="AP68" s="39">
        <v>30</v>
      </c>
      <c r="AQ68" s="39">
        <v>66</v>
      </c>
      <c r="AR68" s="39">
        <v>754</v>
      </c>
      <c r="AS68" s="39">
        <v>-8</v>
      </c>
      <c r="AT68" s="39" t="s">
        <v>129</v>
      </c>
      <c r="AU68" s="39">
        <v>1</v>
      </c>
      <c r="AV68" s="39" t="s">
        <v>6299</v>
      </c>
      <c r="AW68" s="39">
        <v>824.78</v>
      </c>
      <c r="AX68" s="39">
        <v>830.42</v>
      </c>
      <c r="AY68" s="39">
        <v>838.83</v>
      </c>
      <c r="AZ68" s="39">
        <v>810.73</v>
      </c>
      <c r="BA68" s="39">
        <v>802.32</v>
      </c>
      <c r="BB68" s="39">
        <v>796.68</v>
      </c>
      <c r="BC68" s="39">
        <v>3</v>
      </c>
      <c r="BD68" s="39">
        <v>2</v>
      </c>
      <c r="BE68" s="39" t="s">
        <v>130</v>
      </c>
      <c r="BF68" s="39">
        <v>1.1100000000000001</v>
      </c>
      <c r="BG68" s="39">
        <v>11</v>
      </c>
      <c r="BH68" s="39">
        <v>389.5</v>
      </c>
      <c r="BI68" s="39" t="s">
        <v>131</v>
      </c>
      <c r="BJ68" s="39" t="s">
        <v>131</v>
      </c>
    </row>
    <row r="69" spans="1:62" x14ac:dyDescent="0.35">
      <c r="A69" s="40" t="s">
        <v>750</v>
      </c>
      <c r="B69" s="39" t="str">
        <f>IFERROR(INDEX(added_new_stocks!$F$6:$H$2155,MATCH($A69,added_new_stocks!$F$6:$F$2600,0),3),"")</f>
        <v>Mid</v>
      </c>
      <c r="C69" s="39">
        <v>823.55</v>
      </c>
      <c r="D69" s="39">
        <v>65</v>
      </c>
      <c r="G69" s="39" t="s">
        <v>4562</v>
      </c>
      <c r="H69" s="39" t="s">
        <v>6804</v>
      </c>
      <c r="I69" s="39" t="s">
        <v>4624</v>
      </c>
      <c r="J69" s="39" t="s">
        <v>6805</v>
      </c>
      <c r="K69" s="40" t="s">
        <v>133</v>
      </c>
      <c r="L69" s="39" t="s">
        <v>6806</v>
      </c>
      <c r="M69" s="39" t="s">
        <v>4959</v>
      </c>
      <c r="N69" s="39">
        <v>3</v>
      </c>
      <c r="O69" s="39">
        <v>-2</v>
      </c>
      <c r="P69" s="39">
        <v>1</v>
      </c>
      <c r="Q69" s="39" t="s">
        <v>4611</v>
      </c>
      <c r="R69" s="39">
        <v>0.75</v>
      </c>
      <c r="S69" s="39">
        <v>2.4300000000000002</v>
      </c>
      <c r="T69" s="39">
        <v>13.99</v>
      </c>
      <c r="U69" s="39">
        <v>27.98</v>
      </c>
      <c r="V69" s="39">
        <v>22.91</v>
      </c>
      <c r="W69" s="39">
        <v>35.49</v>
      </c>
      <c r="X69" s="39">
        <v>63.26</v>
      </c>
      <c r="Y69" s="39">
        <v>20.2</v>
      </c>
      <c r="Z69" s="39">
        <v>99.43</v>
      </c>
      <c r="AA69" s="39">
        <v>52.86</v>
      </c>
      <c r="AB69" s="39">
        <v>-36.04</v>
      </c>
      <c r="AC69" s="39">
        <v>54.44</v>
      </c>
      <c r="AD69" s="39" t="s">
        <v>5015</v>
      </c>
      <c r="AE69" s="39" t="s">
        <v>134</v>
      </c>
      <c r="AF69" s="39">
        <v>1</v>
      </c>
      <c r="AG69" s="42">
        <v>8.72E-2</v>
      </c>
      <c r="AH69" s="39">
        <v>72</v>
      </c>
      <c r="AI69" s="42">
        <v>0.2026</v>
      </c>
      <c r="AL69" s="39" t="s">
        <v>136</v>
      </c>
      <c r="AM69" s="42">
        <v>9.6500000000000002E-2</v>
      </c>
      <c r="AN69" s="42">
        <v>0.33860000000000001</v>
      </c>
      <c r="AO69" s="41">
        <v>60</v>
      </c>
      <c r="AP69" s="39">
        <v>34</v>
      </c>
      <c r="AQ69" s="39">
        <v>59</v>
      </c>
      <c r="AR69" s="39">
        <v>157</v>
      </c>
      <c r="AS69" s="39">
        <v>9</v>
      </c>
      <c r="AT69" s="39" t="s">
        <v>129</v>
      </c>
      <c r="AU69" s="39">
        <v>5</v>
      </c>
      <c r="AV69" s="39" t="s">
        <v>6300</v>
      </c>
      <c r="AW69" s="39">
        <v>148.22999999999999</v>
      </c>
      <c r="AX69" s="39">
        <v>151.52000000000001</v>
      </c>
      <c r="AY69" s="39">
        <v>154.78</v>
      </c>
      <c r="AZ69" s="39">
        <v>141.68</v>
      </c>
      <c r="BA69" s="39">
        <v>138.41999999999999</v>
      </c>
      <c r="BB69" s="39">
        <v>135.13</v>
      </c>
      <c r="BC69" s="39">
        <v>8</v>
      </c>
      <c r="BD69" s="39" t="s">
        <v>130</v>
      </c>
      <c r="BE69" s="39">
        <v>8</v>
      </c>
      <c r="BF69" s="39" t="s">
        <v>130</v>
      </c>
      <c r="BG69" s="39">
        <v>59.2</v>
      </c>
      <c r="BH69" s="39">
        <v>0.4</v>
      </c>
      <c r="BI69" s="39" t="s">
        <v>4563</v>
      </c>
      <c r="BJ69" s="39" t="s">
        <v>132</v>
      </c>
    </row>
    <row r="70" spans="1:62" x14ac:dyDescent="0.35">
      <c r="A70" s="40" t="s">
        <v>897</v>
      </c>
      <c r="B70" s="39" t="str">
        <f>IFERROR(INDEX(added_new_stocks!$F$6:$H$2155,MATCH($A70,added_new_stocks!$F$6:$F$2600,0),3),"")</f>
        <v>Mid</v>
      </c>
      <c r="C70" s="39">
        <v>143.6</v>
      </c>
      <c r="D70" s="39">
        <v>75</v>
      </c>
      <c r="G70" s="39" t="s">
        <v>129</v>
      </c>
      <c r="H70" s="39" t="s">
        <v>6807</v>
      </c>
      <c r="I70" s="39" t="s">
        <v>4624</v>
      </c>
      <c r="J70" s="39" t="s">
        <v>6808</v>
      </c>
      <c r="K70" s="40" t="s">
        <v>133</v>
      </c>
      <c r="L70" s="39" t="s">
        <v>6809</v>
      </c>
      <c r="M70" s="39" t="s">
        <v>135</v>
      </c>
      <c r="N70" s="39">
        <v>11</v>
      </c>
      <c r="O70" s="39">
        <v>-1</v>
      </c>
      <c r="P70" s="39">
        <v>10</v>
      </c>
      <c r="Q70" s="39" t="s">
        <v>14</v>
      </c>
      <c r="R70" s="39">
        <v>0.35</v>
      </c>
      <c r="S70" s="39">
        <v>-0.49</v>
      </c>
      <c r="T70" s="39">
        <v>-2.64</v>
      </c>
      <c r="U70" s="39">
        <v>26.35</v>
      </c>
      <c r="V70" s="39">
        <v>24.22</v>
      </c>
      <c r="W70" s="39">
        <v>16.61</v>
      </c>
      <c r="X70" s="39">
        <v>26.02</v>
      </c>
      <c r="Y70" s="39">
        <v>7.97</v>
      </c>
      <c r="Z70" s="39">
        <v>17.37</v>
      </c>
      <c r="AA70" s="39">
        <v>16.8</v>
      </c>
      <c r="AB70" s="39">
        <v>-9.14</v>
      </c>
      <c r="AC70" s="39">
        <v>-11.1</v>
      </c>
      <c r="AD70" s="39" t="s">
        <v>4606</v>
      </c>
      <c r="AE70" s="39" t="s">
        <v>134</v>
      </c>
      <c r="AF70" s="39">
        <v>23</v>
      </c>
      <c r="AG70" s="42">
        <v>2.7199999999999998E-2</v>
      </c>
      <c r="AH70" s="39">
        <v>253</v>
      </c>
      <c r="AI70" s="42">
        <v>0.11409999999999999</v>
      </c>
      <c r="AJ70" s="39" t="s">
        <v>6810</v>
      </c>
      <c r="AK70" s="43">
        <v>0.51</v>
      </c>
      <c r="AL70" s="39" t="s">
        <v>136</v>
      </c>
      <c r="AM70" s="42">
        <v>0.1129</v>
      </c>
      <c r="AN70" s="42">
        <v>0.1767</v>
      </c>
      <c r="AO70" s="41">
        <v>60</v>
      </c>
      <c r="AP70" s="39">
        <v>30</v>
      </c>
      <c r="AQ70" s="39">
        <v>55</v>
      </c>
      <c r="AR70" s="39">
        <v>707</v>
      </c>
      <c r="AS70" s="39">
        <v>16</v>
      </c>
      <c r="AT70" s="39" t="s">
        <v>4562</v>
      </c>
      <c r="AU70" s="39">
        <v>11</v>
      </c>
      <c r="AV70" s="39" t="s">
        <v>6301</v>
      </c>
      <c r="AW70" s="39">
        <v>611.6</v>
      </c>
      <c r="AX70" s="39">
        <v>616.20000000000005</v>
      </c>
      <c r="AY70" s="39">
        <v>619.5</v>
      </c>
      <c r="AZ70" s="39">
        <v>603.70000000000005</v>
      </c>
      <c r="BA70" s="39">
        <v>600.4</v>
      </c>
      <c r="BB70" s="39">
        <v>595.79999999999995</v>
      </c>
      <c r="BC70" s="39">
        <v>5</v>
      </c>
      <c r="BD70" s="39">
        <v>1</v>
      </c>
      <c r="BE70" s="39">
        <v>2</v>
      </c>
      <c r="BF70" s="39" t="s">
        <v>130</v>
      </c>
      <c r="BG70" s="39">
        <v>228.4</v>
      </c>
      <c r="BH70" s="39">
        <v>0.4</v>
      </c>
      <c r="BI70" s="39" t="s">
        <v>4563</v>
      </c>
      <c r="BJ70" s="39" t="s">
        <v>4563</v>
      </c>
    </row>
    <row r="71" spans="1:62" x14ac:dyDescent="0.35">
      <c r="A71" s="40" t="s">
        <v>808</v>
      </c>
      <c r="B71" s="39" t="str">
        <f>IFERROR(INDEX(added_new_stocks!$F$6:$H$2155,MATCH($A71,added_new_stocks!$F$6:$F$2600,0),3),"")</f>
        <v>Mid</v>
      </c>
      <c r="C71" s="39">
        <v>603.54999999999995</v>
      </c>
      <c r="D71" s="39">
        <v>57</v>
      </c>
      <c r="G71" s="39" t="s">
        <v>4562</v>
      </c>
      <c r="H71" s="39" t="s">
        <v>6811</v>
      </c>
      <c r="I71" s="39" t="s">
        <v>4989</v>
      </c>
      <c r="J71" s="39" t="s">
        <v>6812</v>
      </c>
      <c r="K71" s="40" t="s">
        <v>133</v>
      </c>
      <c r="L71" s="39" t="s">
        <v>6813</v>
      </c>
      <c r="M71" s="39" t="s">
        <v>5047</v>
      </c>
      <c r="N71" s="39">
        <v>11</v>
      </c>
      <c r="O71" s="39">
        <v>-17</v>
      </c>
      <c r="P71" s="39">
        <v>-6</v>
      </c>
      <c r="Q71" s="39" t="s">
        <v>4605</v>
      </c>
      <c r="R71" s="39">
        <v>-0.93</v>
      </c>
      <c r="S71" s="39">
        <v>-1.06</v>
      </c>
      <c r="T71" s="39">
        <v>-1.48</v>
      </c>
      <c r="U71" s="39">
        <v>-2.68</v>
      </c>
      <c r="V71" s="39">
        <v>9.0399999999999991</v>
      </c>
      <c r="W71" s="39">
        <v>13.94</v>
      </c>
      <c r="X71" s="39">
        <v>25.96</v>
      </c>
      <c r="Y71" s="39">
        <v>54.18</v>
      </c>
      <c r="Z71" s="39">
        <v>124.41</v>
      </c>
      <c r="AA71" s="39">
        <v>156.56</v>
      </c>
      <c r="AB71" s="39">
        <v>123.7</v>
      </c>
      <c r="AC71" s="39">
        <v>2285.5700000000002</v>
      </c>
      <c r="AD71" s="39" t="s">
        <v>4606</v>
      </c>
      <c r="AE71" s="39" t="s">
        <v>134</v>
      </c>
      <c r="AF71" s="39">
        <v>46</v>
      </c>
      <c r="AG71" s="42">
        <v>0.20019999999999999</v>
      </c>
      <c r="AH71" s="39">
        <v>95</v>
      </c>
      <c r="AI71" s="42">
        <v>7.6999999999999999E-2</v>
      </c>
      <c r="AJ71" s="39" t="s">
        <v>6814</v>
      </c>
      <c r="AK71" s="42">
        <v>0.24079999999999999</v>
      </c>
      <c r="AL71" s="39" t="s">
        <v>5118</v>
      </c>
      <c r="AM71" s="42">
        <v>6.83E-2</v>
      </c>
      <c r="AN71" s="42">
        <v>0.13700000000000001</v>
      </c>
      <c r="AO71" s="41">
        <v>50</v>
      </c>
      <c r="AP71" s="39">
        <v>15</v>
      </c>
      <c r="AQ71" s="39">
        <v>50</v>
      </c>
      <c r="AR71" s="45">
        <v>1189</v>
      </c>
      <c r="AS71" s="39">
        <v>4</v>
      </c>
      <c r="AT71" s="39" t="s">
        <v>4562</v>
      </c>
      <c r="AU71" s="39">
        <v>6</v>
      </c>
      <c r="AV71" s="39" t="s">
        <v>6302</v>
      </c>
      <c r="AW71" s="39">
        <v>1153.2</v>
      </c>
      <c r="AX71" s="39">
        <v>1167.1500000000001</v>
      </c>
      <c r="AY71" s="39">
        <v>1174.9000000000001</v>
      </c>
      <c r="AZ71" s="39">
        <v>1131.5</v>
      </c>
      <c r="BA71" s="39">
        <v>1123.75</v>
      </c>
      <c r="BB71" s="39">
        <v>1109.8</v>
      </c>
      <c r="BC71" s="39">
        <v>4</v>
      </c>
      <c r="BD71" s="39">
        <v>2</v>
      </c>
      <c r="BE71" s="39">
        <v>1</v>
      </c>
      <c r="BF71" s="39" t="s">
        <v>130</v>
      </c>
      <c r="BG71" s="39">
        <v>274.89999999999998</v>
      </c>
      <c r="BH71" s="39">
        <v>0.2</v>
      </c>
      <c r="BI71" s="39" t="s">
        <v>4565</v>
      </c>
    </row>
    <row r="72" spans="1:62" x14ac:dyDescent="0.35">
      <c r="A72" s="40" t="s">
        <v>774</v>
      </c>
      <c r="B72" s="39" t="str">
        <f>IFERROR(INDEX(added_new_stocks!$F$6:$H$2155,MATCH($A72,added_new_stocks!$F$6:$F$2600,0),3),"")</f>
        <v>Mid</v>
      </c>
      <c r="C72" s="48">
        <v>1143.7</v>
      </c>
      <c r="D72" s="39">
        <v>58</v>
      </c>
      <c r="G72" s="39" t="s">
        <v>4562</v>
      </c>
      <c r="H72" s="39" t="s">
        <v>6815</v>
      </c>
      <c r="I72" s="39" t="s">
        <v>4989</v>
      </c>
      <c r="J72" s="39" t="s">
        <v>6816</v>
      </c>
      <c r="K72" s="40" t="s">
        <v>133</v>
      </c>
      <c r="L72" s="39" t="s">
        <v>4998</v>
      </c>
      <c r="M72" s="39" t="s">
        <v>4959</v>
      </c>
      <c r="N72" s="39">
        <v>2</v>
      </c>
      <c r="O72" s="39">
        <v>-3</v>
      </c>
      <c r="P72" s="39">
        <v>-1</v>
      </c>
      <c r="Q72" s="39" t="s">
        <v>4611</v>
      </c>
      <c r="R72" s="39">
        <v>1.25</v>
      </c>
      <c r="S72" s="39">
        <v>-1.73</v>
      </c>
      <c r="T72" s="39">
        <v>-6.33</v>
      </c>
      <c r="U72" s="39">
        <v>16.329999999999998</v>
      </c>
      <c r="V72" s="39">
        <v>15.76</v>
      </c>
      <c r="W72" s="39">
        <v>2.5499999999999998</v>
      </c>
      <c r="X72" s="39">
        <v>-8.42</v>
      </c>
      <c r="Y72" s="39">
        <v>-6.47</v>
      </c>
      <c r="Z72" s="39">
        <v>168.73</v>
      </c>
      <c r="AA72" s="39">
        <v>485.46</v>
      </c>
      <c r="AB72" s="39">
        <v>338.87</v>
      </c>
      <c r="AC72" s="39" t="s">
        <v>4538</v>
      </c>
      <c r="AD72" s="39" t="s">
        <v>5015</v>
      </c>
      <c r="AE72" s="39" t="s">
        <v>134</v>
      </c>
      <c r="AF72" s="39">
        <v>18</v>
      </c>
      <c r="AG72" s="42">
        <v>0.1149</v>
      </c>
      <c r="AH72" s="39">
        <v>131</v>
      </c>
      <c r="AI72" s="42">
        <v>0.15110000000000001</v>
      </c>
      <c r="AJ72" s="39" t="s">
        <v>6817</v>
      </c>
      <c r="AK72" s="43">
        <v>0.15</v>
      </c>
      <c r="AL72" s="39" t="s">
        <v>6818</v>
      </c>
      <c r="AM72" s="42">
        <v>7.1800000000000003E-2</v>
      </c>
      <c r="AN72" s="42">
        <v>0.41320000000000001</v>
      </c>
      <c r="AO72" s="41">
        <v>55</v>
      </c>
      <c r="AP72" s="39">
        <v>20</v>
      </c>
      <c r="AQ72" s="39">
        <v>60</v>
      </c>
      <c r="AR72" s="39">
        <v>684</v>
      </c>
      <c r="AS72" s="39">
        <v>3</v>
      </c>
      <c r="AT72" s="39" t="s">
        <v>129</v>
      </c>
      <c r="AU72" s="39">
        <v>17</v>
      </c>
      <c r="AV72" s="39" t="s">
        <v>6303</v>
      </c>
      <c r="AW72" s="39">
        <v>676.03</v>
      </c>
      <c r="AX72" s="39">
        <v>688.77</v>
      </c>
      <c r="AY72" s="39">
        <v>709.53</v>
      </c>
      <c r="AZ72" s="39">
        <v>642.53</v>
      </c>
      <c r="BA72" s="39">
        <v>621.77</v>
      </c>
      <c r="BB72" s="39">
        <v>609.03</v>
      </c>
      <c r="BC72" s="39">
        <v>8</v>
      </c>
      <c r="BD72" s="39">
        <v>2</v>
      </c>
      <c r="BE72" s="39">
        <v>8</v>
      </c>
      <c r="BF72" s="39" t="s">
        <v>130</v>
      </c>
      <c r="BG72" s="39">
        <v>181.3</v>
      </c>
      <c r="BH72" s="39">
        <v>0.3</v>
      </c>
      <c r="BI72" s="39" t="s">
        <v>4565</v>
      </c>
      <c r="BJ72" s="39" t="s">
        <v>132</v>
      </c>
    </row>
    <row r="73" spans="1:62" x14ac:dyDescent="0.35">
      <c r="A73" s="40" t="s">
        <v>918</v>
      </c>
      <c r="B73" s="39" t="str">
        <f>IFERROR(INDEX(added_new_stocks!$F$6:$H$2155,MATCH($A73,added_new_stocks!$F$6:$F$2600,0),3),"")</f>
        <v>Mid</v>
      </c>
      <c r="C73" s="39">
        <v>685.4</v>
      </c>
      <c r="D73" s="39">
        <v>70</v>
      </c>
      <c r="G73" s="39" t="s">
        <v>129</v>
      </c>
      <c r="H73" s="39" t="s">
        <v>6819</v>
      </c>
      <c r="I73" s="39" t="s">
        <v>4624</v>
      </c>
      <c r="J73" s="39" t="s">
        <v>6820</v>
      </c>
      <c r="K73" s="40" t="s">
        <v>133</v>
      </c>
      <c r="L73" s="39" t="s">
        <v>6821</v>
      </c>
      <c r="M73" s="39" t="s">
        <v>135</v>
      </c>
      <c r="N73" s="39">
        <v>1</v>
      </c>
      <c r="O73" s="39">
        <v>-3</v>
      </c>
      <c r="P73" s="39">
        <v>-2</v>
      </c>
      <c r="Q73" s="39" t="s">
        <v>4611</v>
      </c>
      <c r="R73" s="39">
        <v>7.0000000000000007E-2</v>
      </c>
      <c r="S73" s="39">
        <v>7.9</v>
      </c>
      <c r="T73" s="39">
        <v>3.68</v>
      </c>
      <c r="U73" s="39">
        <v>19.84</v>
      </c>
      <c r="V73" s="39">
        <v>36.25</v>
      </c>
      <c r="W73" s="39">
        <v>33.54</v>
      </c>
      <c r="X73" s="39">
        <v>2.2799999999999998</v>
      </c>
      <c r="Y73" s="39">
        <v>80.010000000000005</v>
      </c>
      <c r="Z73" s="39">
        <v>333.66</v>
      </c>
      <c r="AA73" s="39">
        <v>406.58</v>
      </c>
      <c r="AB73" s="39">
        <v>208.6</v>
      </c>
      <c r="AC73" s="39">
        <v>2791.98</v>
      </c>
      <c r="AD73" s="39" t="s">
        <v>4606</v>
      </c>
      <c r="AE73" s="39" t="s">
        <v>134</v>
      </c>
      <c r="AF73" s="39">
        <v>15</v>
      </c>
      <c r="AG73" s="42">
        <v>0.1226</v>
      </c>
      <c r="AH73" s="39">
        <v>97</v>
      </c>
      <c r="AI73" s="42">
        <v>5.6000000000000001E-2</v>
      </c>
      <c r="AJ73" s="39" t="s">
        <v>6709</v>
      </c>
      <c r="AK73" s="42">
        <v>0.112</v>
      </c>
      <c r="AL73" s="39" t="s">
        <v>5202</v>
      </c>
      <c r="AM73" s="42">
        <v>4.8899999999999999E-2</v>
      </c>
      <c r="AN73" s="42">
        <v>4.24E-2</v>
      </c>
      <c r="AO73" s="41">
        <v>80</v>
      </c>
      <c r="AP73" s="39">
        <v>29</v>
      </c>
      <c r="AQ73" s="39">
        <v>65</v>
      </c>
      <c r="AR73" s="45">
        <v>1248</v>
      </c>
      <c r="AS73" s="39">
        <v>24</v>
      </c>
      <c r="AT73" s="39" t="s">
        <v>4633</v>
      </c>
      <c r="AU73" s="39">
        <v>2</v>
      </c>
      <c r="AV73" s="39" t="s">
        <v>6304</v>
      </c>
      <c r="AW73" s="39">
        <v>1016.17</v>
      </c>
      <c r="AX73" s="39">
        <v>1027.08</v>
      </c>
      <c r="AY73" s="39">
        <v>1045.17</v>
      </c>
      <c r="AZ73" s="39">
        <v>987.17</v>
      </c>
      <c r="BA73" s="39">
        <v>969.08</v>
      </c>
      <c r="BB73" s="39">
        <v>958.17</v>
      </c>
      <c r="BC73" s="39">
        <v>8</v>
      </c>
      <c r="BD73" s="39">
        <v>5</v>
      </c>
      <c r="BE73" s="39">
        <v>3</v>
      </c>
      <c r="BF73" s="39" t="s">
        <v>130</v>
      </c>
      <c r="BG73" s="39">
        <v>400.1</v>
      </c>
      <c r="BH73" s="39">
        <v>0.4</v>
      </c>
      <c r="BI73" s="39" t="s">
        <v>4565</v>
      </c>
      <c r="BJ73" s="39" t="s">
        <v>132</v>
      </c>
    </row>
    <row r="74" spans="1:62" x14ac:dyDescent="0.35">
      <c r="A74" s="40" t="s">
        <v>746</v>
      </c>
      <c r="B74" s="39" t="str">
        <f>IFERROR(INDEX(added_new_stocks!$F$6:$H$2155,MATCH($A74,added_new_stocks!$F$6:$F$2600,0),3),"")</f>
        <v>Mid</v>
      </c>
      <c r="C74" s="48">
        <v>1039.45</v>
      </c>
      <c r="D74" s="39">
        <v>52</v>
      </c>
      <c r="G74" s="39" t="s">
        <v>4562</v>
      </c>
      <c r="H74" s="39" t="s">
        <v>5123</v>
      </c>
      <c r="I74" s="39" t="s">
        <v>4989</v>
      </c>
      <c r="J74" s="39" t="s">
        <v>6822</v>
      </c>
      <c r="K74" s="40" t="s">
        <v>4615</v>
      </c>
      <c r="L74" s="39" t="s">
        <v>5008</v>
      </c>
      <c r="M74" s="39" t="s">
        <v>4620</v>
      </c>
      <c r="N74" s="39">
        <v>12</v>
      </c>
      <c r="O74" s="39">
        <v>-10</v>
      </c>
      <c r="P74" s="39">
        <v>2</v>
      </c>
      <c r="Q74" s="39" t="s">
        <v>4611</v>
      </c>
      <c r="R74" s="39">
        <v>0.9</v>
      </c>
      <c r="S74" s="39">
        <v>2.7</v>
      </c>
      <c r="T74" s="39">
        <v>0.84</v>
      </c>
      <c r="U74" s="39">
        <v>30.53</v>
      </c>
      <c r="V74" s="39">
        <v>70.72</v>
      </c>
      <c r="W74" s="39">
        <v>45.02</v>
      </c>
      <c r="X74" s="39">
        <v>20.399999999999999</v>
      </c>
      <c r="Y74" s="39">
        <v>35.799999999999997</v>
      </c>
      <c r="Z74" s="39">
        <v>186.63</v>
      </c>
      <c r="AA74" s="39">
        <v>168.2</v>
      </c>
      <c r="AB74" s="39">
        <v>137.80000000000001</v>
      </c>
      <c r="AC74" s="39">
        <v>950.36</v>
      </c>
      <c r="AD74" s="39" t="s">
        <v>4606</v>
      </c>
      <c r="AE74" s="39" t="s">
        <v>134</v>
      </c>
      <c r="AF74" s="39">
        <v>19</v>
      </c>
      <c r="AG74" s="42">
        <v>0.13689999999999999</v>
      </c>
      <c r="AH74" s="39">
        <v>115</v>
      </c>
      <c r="AI74" s="42">
        <v>8.0799999999999997E-2</v>
      </c>
      <c r="AJ74" s="39" t="s">
        <v>5125</v>
      </c>
      <c r="AK74" s="42">
        <v>0.33110000000000001</v>
      </c>
      <c r="AL74" s="39" t="s">
        <v>5126</v>
      </c>
      <c r="AM74" s="42">
        <v>5.0200000000000002E-2</v>
      </c>
      <c r="AN74" s="42">
        <v>0.17050000000000001</v>
      </c>
      <c r="AO74" s="41">
        <v>55</v>
      </c>
      <c r="AP74" s="39">
        <v>65</v>
      </c>
      <c r="AQ74" s="39">
        <v>40</v>
      </c>
      <c r="AR74" s="39">
        <v>298</v>
      </c>
      <c r="AS74" s="39">
        <v>11</v>
      </c>
      <c r="AW74" s="39">
        <v>272.42</v>
      </c>
      <c r="AX74" s="39">
        <v>275.02999999999997</v>
      </c>
      <c r="AY74" s="39">
        <v>277.12</v>
      </c>
      <c r="AZ74" s="39">
        <v>267.72000000000003</v>
      </c>
      <c r="BA74" s="39">
        <v>265.63</v>
      </c>
      <c r="BB74" s="39">
        <v>263.02</v>
      </c>
      <c r="BC74" s="39">
        <v>5</v>
      </c>
      <c r="BD74" s="39">
        <v>13</v>
      </c>
      <c r="BE74" s="39" t="s">
        <v>130</v>
      </c>
      <c r="BF74" s="39">
        <v>1</v>
      </c>
      <c r="BG74" s="39">
        <v>307.3</v>
      </c>
      <c r="BH74" s="39">
        <v>1.1000000000000001</v>
      </c>
      <c r="BI74" s="39" t="s">
        <v>4563</v>
      </c>
      <c r="BJ74" s="39" t="s">
        <v>4563</v>
      </c>
    </row>
    <row r="75" spans="1:62" x14ac:dyDescent="0.35">
      <c r="A75" s="40" t="s">
        <v>1017</v>
      </c>
      <c r="B75" s="39" t="str">
        <f>IFERROR(INDEX(added_new_stocks!$F$6:$H$2155,MATCH($A75,added_new_stocks!$F$6:$F$2600,0),3),"")</f>
        <v>Mid</v>
      </c>
      <c r="C75" s="39">
        <v>279.7</v>
      </c>
      <c r="D75" s="39">
        <v>41</v>
      </c>
      <c r="G75" s="39" t="s">
        <v>4625</v>
      </c>
      <c r="H75" s="39" t="s">
        <v>6823</v>
      </c>
      <c r="I75" s="39" t="s">
        <v>4976</v>
      </c>
      <c r="J75" s="39" t="s">
        <v>6824</v>
      </c>
      <c r="K75" s="40" t="s">
        <v>133</v>
      </c>
      <c r="L75" s="39" t="s">
        <v>6825</v>
      </c>
      <c r="M75" s="39" t="s">
        <v>5047</v>
      </c>
      <c r="N75" s="39">
        <v>5</v>
      </c>
      <c r="O75" s="39">
        <v>-12</v>
      </c>
      <c r="P75" s="39">
        <v>-7</v>
      </c>
      <c r="Q75" s="39" t="s">
        <v>4605</v>
      </c>
      <c r="R75" s="39">
        <v>0.27</v>
      </c>
      <c r="S75" s="39">
        <v>3.63</v>
      </c>
      <c r="T75" s="39">
        <v>1.8</v>
      </c>
      <c r="U75" s="39">
        <v>-7.0000000000000007E-2</v>
      </c>
      <c r="V75" s="39">
        <v>-0.05</v>
      </c>
      <c r="W75" s="39">
        <v>-9.85</v>
      </c>
      <c r="X75" s="39">
        <v>-20.100000000000001</v>
      </c>
      <c r="Y75" s="39">
        <v>-13.24</v>
      </c>
      <c r="Z75" s="39">
        <v>82.1</v>
      </c>
      <c r="AA75" s="39">
        <v>81.040000000000006</v>
      </c>
      <c r="AB75" s="39">
        <v>63.85</v>
      </c>
      <c r="AC75" s="39">
        <v>756.66</v>
      </c>
      <c r="AD75" s="39" t="s">
        <v>4606</v>
      </c>
      <c r="AE75" s="39">
        <v>26.43</v>
      </c>
      <c r="AF75" s="39">
        <v>19</v>
      </c>
      <c r="AG75" s="42">
        <v>0.11169999999999999</v>
      </c>
      <c r="AH75" s="39">
        <v>138</v>
      </c>
      <c r="AI75" s="42">
        <v>9.64E-2</v>
      </c>
      <c r="AJ75" s="39" t="s">
        <v>6826</v>
      </c>
      <c r="AK75" s="42">
        <v>0.1426</v>
      </c>
      <c r="AL75" s="39" t="s">
        <v>6827</v>
      </c>
      <c r="AM75" s="42">
        <v>6.0199999999999997E-2</v>
      </c>
      <c r="AN75" s="42">
        <v>0.1376</v>
      </c>
      <c r="AO75" s="41">
        <v>50</v>
      </c>
      <c r="AP75" s="39">
        <v>17</v>
      </c>
      <c r="AQ75" s="39">
        <v>64</v>
      </c>
      <c r="AR75" s="39">
        <v>585</v>
      </c>
      <c r="AS75" s="39">
        <v>12</v>
      </c>
      <c r="AT75" s="39" t="s">
        <v>4633</v>
      </c>
      <c r="AU75" s="39">
        <v>3</v>
      </c>
      <c r="AV75" s="39" t="s">
        <v>6305</v>
      </c>
      <c r="AW75" s="39">
        <v>531.54999999999995</v>
      </c>
      <c r="AX75" s="39">
        <v>542.65</v>
      </c>
      <c r="AY75" s="39">
        <v>555.4</v>
      </c>
      <c r="AZ75" s="39">
        <v>507.7</v>
      </c>
      <c r="BA75" s="39">
        <v>494.95</v>
      </c>
      <c r="BB75" s="39">
        <v>483.85</v>
      </c>
      <c r="BC75" s="39">
        <v>7</v>
      </c>
      <c r="BD75" s="39">
        <v>11</v>
      </c>
      <c r="BE75" s="39">
        <v>4</v>
      </c>
      <c r="BF75" s="39" t="s">
        <v>130</v>
      </c>
      <c r="BG75" s="39">
        <v>34</v>
      </c>
      <c r="BH75" s="39">
        <v>0.1</v>
      </c>
      <c r="BI75" s="39" t="s">
        <v>132</v>
      </c>
    </row>
    <row r="76" spans="1:62" x14ac:dyDescent="0.35">
      <c r="A76" s="40" t="s">
        <v>318</v>
      </c>
      <c r="B76" s="39" t="str">
        <f>IFERROR(INDEX(added_new_stocks!$F$6:$H$2155,MATCH($A76,added_new_stocks!$F$6:$F$2600,0),3),"")</f>
        <v>Large</v>
      </c>
      <c r="C76" s="39">
        <v>514.79999999999995</v>
      </c>
      <c r="D76" s="39">
        <v>58</v>
      </c>
      <c r="G76" s="39" t="s">
        <v>4562</v>
      </c>
      <c r="H76" s="39" t="s">
        <v>6828</v>
      </c>
      <c r="I76" s="39" t="s">
        <v>4624</v>
      </c>
      <c r="J76" s="39" t="s">
        <v>6829</v>
      </c>
      <c r="K76" s="40" t="s">
        <v>133</v>
      </c>
      <c r="L76" s="39" t="s">
        <v>4998</v>
      </c>
      <c r="M76" s="39" t="s">
        <v>135</v>
      </c>
      <c r="N76" s="39">
        <v>0</v>
      </c>
      <c r="O76" s="39">
        <v>-30</v>
      </c>
      <c r="P76" s="39">
        <v>-30</v>
      </c>
      <c r="Q76" s="39" t="s">
        <v>5026</v>
      </c>
      <c r="R76" s="39">
        <v>-2.27</v>
      </c>
      <c r="S76" s="39">
        <v>7.21</v>
      </c>
      <c r="T76" s="39">
        <v>17.440000000000001</v>
      </c>
      <c r="U76" s="39">
        <v>16.600000000000001</v>
      </c>
      <c r="V76" s="39">
        <v>32.99</v>
      </c>
      <c r="W76" s="39">
        <v>11.99</v>
      </c>
      <c r="X76" s="39">
        <v>21.69</v>
      </c>
      <c r="Y76" s="39">
        <v>-9.9</v>
      </c>
      <c r="Z76" s="39" t="s">
        <v>4538</v>
      </c>
      <c r="AA76" s="39" t="s">
        <v>4538</v>
      </c>
      <c r="AB76" s="39" t="s">
        <v>4538</v>
      </c>
      <c r="AC76" s="39" t="s">
        <v>4538</v>
      </c>
      <c r="AD76" s="39" t="s">
        <v>4606</v>
      </c>
      <c r="AE76" s="39" t="s">
        <v>134</v>
      </c>
      <c r="AF76" s="39">
        <v>12</v>
      </c>
      <c r="AG76" s="42">
        <v>0.24249999999999999</v>
      </c>
      <c r="AH76" s="39">
        <v>65</v>
      </c>
      <c r="AI76" s="42">
        <v>0.11459999999999999</v>
      </c>
      <c r="AJ76" s="39" t="s">
        <v>6830</v>
      </c>
      <c r="AK76" s="42">
        <v>0.54990000000000006</v>
      </c>
      <c r="AL76" s="39" t="s">
        <v>6831</v>
      </c>
      <c r="AM76" s="42">
        <v>9.4500000000000001E-2</v>
      </c>
      <c r="AN76" s="42">
        <v>4.7100000000000003E-2</v>
      </c>
      <c r="AO76" s="41">
        <v>25</v>
      </c>
      <c r="AP76" s="39">
        <v>20</v>
      </c>
      <c r="AQ76" s="39">
        <v>60</v>
      </c>
      <c r="AR76" s="45">
        <v>1186</v>
      </c>
      <c r="AS76" s="39">
        <v>10</v>
      </c>
      <c r="AT76" s="39" t="s">
        <v>4562</v>
      </c>
      <c r="AU76" s="39">
        <v>29</v>
      </c>
      <c r="AV76" s="39" t="s">
        <v>6306</v>
      </c>
      <c r="AW76" s="39">
        <v>1094.08</v>
      </c>
      <c r="AX76" s="39">
        <v>1105.97</v>
      </c>
      <c r="AY76" s="39">
        <v>1121.1300000000001</v>
      </c>
      <c r="AZ76" s="39">
        <v>1067.03</v>
      </c>
      <c r="BA76" s="39">
        <v>1051.8699999999999</v>
      </c>
      <c r="BB76" s="39">
        <v>1039.98</v>
      </c>
      <c r="BC76" s="39">
        <v>10</v>
      </c>
      <c r="BD76" s="39">
        <v>9</v>
      </c>
      <c r="BE76" s="39">
        <v>2</v>
      </c>
      <c r="BF76" s="39" t="s">
        <v>130</v>
      </c>
      <c r="BG76" s="39">
        <v>366.3</v>
      </c>
      <c r="BH76" s="39">
        <v>0.3</v>
      </c>
      <c r="BI76" s="39" t="s">
        <v>131</v>
      </c>
      <c r="BJ76" s="39" t="s">
        <v>132</v>
      </c>
    </row>
    <row r="77" spans="1:62" x14ac:dyDescent="0.35">
      <c r="A77" s="40" t="s">
        <v>780</v>
      </c>
      <c r="B77" s="39" t="str">
        <f>IFERROR(INDEX(added_new_stocks!$F$6:$H$2155,MATCH($A77,added_new_stocks!$F$6:$F$2600,0),3),"")</f>
        <v>Mid</v>
      </c>
      <c r="C77" s="48">
        <v>1116.05</v>
      </c>
      <c r="D77" s="39">
        <v>71</v>
      </c>
      <c r="G77" s="39" t="s">
        <v>129</v>
      </c>
      <c r="H77" s="39" t="s">
        <v>6832</v>
      </c>
      <c r="I77" s="39" t="s">
        <v>4624</v>
      </c>
      <c r="J77" s="39" t="s">
        <v>6833</v>
      </c>
      <c r="K77" s="40" t="s">
        <v>133</v>
      </c>
      <c r="L77" s="39" t="s">
        <v>6834</v>
      </c>
      <c r="M77" s="39" t="s">
        <v>4959</v>
      </c>
      <c r="N77" s="39">
        <v>17</v>
      </c>
      <c r="O77" s="39">
        <v>-7</v>
      </c>
      <c r="P77" s="39">
        <v>10</v>
      </c>
      <c r="Q77" s="39" t="s">
        <v>14</v>
      </c>
      <c r="R77" s="39">
        <v>1.55</v>
      </c>
      <c r="S77" s="39">
        <v>2.67</v>
      </c>
      <c r="T77" s="39">
        <v>-1.8</v>
      </c>
      <c r="U77" s="39">
        <v>6.77</v>
      </c>
      <c r="V77" s="39">
        <v>48.93</v>
      </c>
      <c r="W77" s="39">
        <v>54.35</v>
      </c>
      <c r="X77" s="39">
        <v>41.38</v>
      </c>
      <c r="Y77" s="39">
        <v>103.6</v>
      </c>
      <c r="Z77" s="39">
        <v>346.87</v>
      </c>
      <c r="AA77" s="39">
        <v>315.12</v>
      </c>
      <c r="AB77" s="39">
        <v>281.61</v>
      </c>
      <c r="AC77" s="39">
        <v>2530.9499999999998</v>
      </c>
      <c r="AD77" s="39" t="s">
        <v>4606</v>
      </c>
      <c r="AE77" s="39" t="s">
        <v>134</v>
      </c>
      <c r="AF77" s="39">
        <v>34</v>
      </c>
      <c r="AG77" s="42">
        <v>0.16450000000000001</v>
      </c>
      <c r="AH77" s="39">
        <v>669</v>
      </c>
      <c r="AI77" s="42">
        <v>0.20910000000000001</v>
      </c>
      <c r="AJ77" s="39" t="s">
        <v>6835</v>
      </c>
      <c r="AK77" s="39" t="s">
        <v>6836</v>
      </c>
      <c r="AL77" s="39" t="s">
        <v>5589</v>
      </c>
      <c r="AM77" s="42">
        <v>4.9099999999999998E-2</v>
      </c>
      <c r="AN77" s="42">
        <v>5.6899999999999999E-2</v>
      </c>
      <c r="AO77" s="41">
        <v>20</v>
      </c>
      <c r="AP77" s="39">
        <v>56</v>
      </c>
      <c r="AQ77" s="39">
        <v>56</v>
      </c>
      <c r="AR77" s="45">
        <v>1020</v>
      </c>
      <c r="AS77" s="39">
        <v>10</v>
      </c>
      <c r="AT77" s="39" t="s">
        <v>4963</v>
      </c>
      <c r="AU77" s="39">
        <v>1</v>
      </c>
      <c r="AV77" s="39" t="s">
        <v>6307</v>
      </c>
      <c r="AW77" s="39">
        <v>950.05</v>
      </c>
      <c r="AX77" s="39">
        <v>970.15</v>
      </c>
      <c r="AY77" s="39">
        <v>997.1</v>
      </c>
      <c r="AZ77" s="39">
        <v>903</v>
      </c>
      <c r="BA77" s="39">
        <v>876.05</v>
      </c>
      <c r="BB77" s="39">
        <v>855.95</v>
      </c>
      <c r="BC77" s="39">
        <v>6</v>
      </c>
      <c r="BD77" s="39">
        <v>5</v>
      </c>
      <c r="BE77" s="39" t="s">
        <v>130</v>
      </c>
      <c r="BF77" s="39">
        <v>1.6</v>
      </c>
      <c r="BG77" s="39">
        <v>7</v>
      </c>
      <c r="BH77" s="48">
        <v>1202.5999999999999</v>
      </c>
      <c r="BI77" s="39" t="s">
        <v>4563</v>
      </c>
      <c r="BJ77" s="39" t="s">
        <v>4563</v>
      </c>
    </row>
    <row r="78" spans="1:62" x14ac:dyDescent="0.35">
      <c r="A78" s="40" t="s">
        <v>298</v>
      </c>
      <c r="B78" s="39" t="str">
        <f>IFERROR(INDEX(added_new_stocks!$F$6:$H$2155,MATCH($A78,added_new_stocks!$F$6:$F$2600,0),3),"")</f>
        <v>Large</v>
      </c>
      <c r="C78" s="39">
        <v>979.4</v>
      </c>
      <c r="D78" s="39">
        <v>57</v>
      </c>
      <c r="G78" s="39" t="s">
        <v>4562</v>
      </c>
      <c r="H78" s="39" t="s">
        <v>6837</v>
      </c>
      <c r="I78" s="39" t="s">
        <v>4624</v>
      </c>
      <c r="J78" s="39" t="s">
        <v>6838</v>
      </c>
      <c r="K78" s="40" t="s">
        <v>4603</v>
      </c>
      <c r="L78" s="39" t="s">
        <v>6839</v>
      </c>
      <c r="M78" s="39" t="s">
        <v>5047</v>
      </c>
      <c r="N78" s="39">
        <v>15</v>
      </c>
      <c r="O78" s="39">
        <v>-7</v>
      </c>
      <c r="P78" s="39">
        <v>8</v>
      </c>
      <c r="Q78" s="39" t="s">
        <v>14</v>
      </c>
      <c r="R78" s="39">
        <v>1.65</v>
      </c>
      <c r="S78" s="39">
        <v>8.17</v>
      </c>
      <c r="T78" s="39">
        <v>5.19</v>
      </c>
      <c r="U78" s="39">
        <v>18.739999999999998</v>
      </c>
      <c r="V78" s="39">
        <v>68.239999999999995</v>
      </c>
      <c r="W78" s="39">
        <v>77.73</v>
      </c>
      <c r="X78" s="39">
        <v>47.07</v>
      </c>
      <c r="Y78" s="39">
        <v>44.75</v>
      </c>
      <c r="Z78" s="39">
        <v>125.62</v>
      </c>
      <c r="AA78" s="39">
        <v>117.62</v>
      </c>
      <c r="AB78" s="39">
        <v>66.040000000000006</v>
      </c>
      <c r="AC78" s="39">
        <v>645.36</v>
      </c>
      <c r="AD78" s="39" t="s">
        <v>4606</v>
      </c>
      <c r="AE78" s="39">
        <v>0.03</v>
      </c>
      <c r="AF78" s="39">
        <v>22</v>
      </c>
      <c r="AG78" s="42">
        <v>0.25719999999999998</v>
      </c>
      <c r="AH78" s="39">
        <v>148</v>
      </c>
      <c r="AI78" s="42">
        <v>0.113</v>
      </c>
      <c r="AJ78" s="39" t="s">
        <v>6802</v>
      </c>
      <c r="AK78" s="42">
        <v>0.37690000000000001</v>
      </c>
      <c r="AL78" s="39" t="s">
        <v>6840</v>
      </c>
      <c r="AM78" s="42">
        <v>6.93E-2</v>
      </c>
      <c r="AN78" s="42">
        <v>9.11E-2</v>
      </c>
      <c r="AO78" s="41">
        <v>75</v>
      </c>
      <c r="AP78" s="39">
        <v>31</v>
      </c>
      <c r="AQ78" s="39">
        <v>60</v>
      </c>
      <c r="AR78" s="45">
        <v>1164</v>
      </c>
      <c r="AS78" s="39">
        <v>-4</v>
      </c>
      <c r="AT78" s="39" t="s">
        <v>129</v>
      </c>
      <c r="AU78" s="39">
        <v>38</v>
      </c>
      <c r="AV78" s="39" t="s">
        <v>6308</v>
      </c>
      <c r="AW78" s="39">
        <v>1217.8699999999999</v>
      </c>
      <c r="AX78" s="39">
        <v>1226.33</v>
      </c>
      <c r="AY78" s="39">
        <v>1232.77</v>
      </c>
      <c r="AZ78" s="39">
        <v>1202.97</v>
      </c>
      <c r="BA78" s="39">
        <v>1196.53</v>
      </c>
      <c r="BB78" s="39">
        <v>1188.07</v>
      </c>
      <c r="BC78" s="39">
        <v>11</v>
      </c>
      <c r="BD78" s="39">
        <v>2</v>
      </c>
      <c r="BE78" s="39">
        <v>5</v>
      </c>
      <c r="BF78" s="39">
        <v>2</v>
      </c>
      <c r="BG78" s="39">
        <v>504.4</v>
      </c>
      <c r="BH78" s="39">
        <v>0.4</v>
      </c>
      <c r="BI78" s="39" t="s">
        <v>4565</v>
      </c>
      <c r="BJ78" s="39" t="s">
        <v>4563</v>
      </c>
    </row>
    <row r="79" spans="1:62" x14ac:dyDescent="0.35">
      <c r="A79" s="40" t="s">
        <v>690</v>
      </c>
      <c r="B79" s="39" t="str">
        <f>IFERROR(INDEX(added_new_stocks!$F$6:$H$2155,MATCH($A79,added_new_stocks!$F$6:$F$2600,0),3),"")</f>
        <v>Mid</v>
      </c>
      <c r="C79" s="48">
        <v>1235.8</v>
      </c>
      <c r="D79" s="39">
        <v>75</v>
      </c>
      <c r="G79" s="39" t="s">
        <v>129</v>
      </c>
      <c r="H79" s="39" t="s">
        <v>6841</v>
      </c>
      <c r="I79" s="39" t="s">
        <v>4624</v>
      </c>
      <c r="J79" s="39" t="s">
        <v>6842</v>
      </c>
      <c r="K79" s="40" t="s">
        <v>133</v>
      </c>
      <c r="L79" s="39" t="s">
        <v>6843</v>
      </c>
      <c r="M79" s="39" t="s">
        <v>135</v>
      </c>
      <c r="N79" s="39">
        <v>13</v>
      </c>
      <c r="O79" s="39">
        <v>-1</v>
      </c>
      <c r="P79" s="39">
        <v>12</v>
      </c>
      <c r="Q79" s="39" t="s">
        <v>14</v>
      </c>
      <c r="R79" s="39">
        <v>0.54</v>
      </c>
      <c r="S79" s="39">
        <v>0.43</v>
      </c>
      <c r="T79" s="39">
        <v>4.96</v>
      </c>
      <c r="U79" s="39">
        <v>28.75</v>
      </c>
      <c r="V79" s="39">
        <v>39.369999999999997</v>
      </c>
      <c r="W79" s="39">
        <v>14.95</v>
      </c>
      <c r="X79" s="39">
        <v>18.95</v>
      </c>
      <c r="Y79" s="39">
        <v>32.159999999999997</v>
      </c>
      <c r="Z79" s="39">
        <v>65.040000000000006</v>
      </c>
      <c r="AA79" s="39">
        <v>161.52000000000001</v>
      </c>
      <c r="AB79" s="39">
        <v>90.52</v>
      </c>
      <c r="AC79" s="39">
        <v>196.39</v>
      </c>
      <c r="AD79" s="39" t="s">
        <v>4606</v>
      </c>
      <c r="AE79" s="39" t="s">
        <v>134</v>
      </c>
      <c r="AF79" s="39">
        <v>35</v>
      </c>
      <c r="AG79" s="42">
        <v>0.1535</v>
      </c>
      <c r="AH79" s="39">
        <v>796</v>
      </c>
      <c r="AI79" s="42">
        <v>0.25490000000000002</v>
      </c>
      <c r="AJ79" s="39" t="s">
        <v>6844</v>
      </c>
      <c r="AK79" s="42">
        <v>0.18729999999999999</v>
      </c>
      <c r="AL79" s="39" t="s">
        <v>5261</v>
      </c>
      <c r="AM79" s="42">
        <v>4.5100000000000001E-2</v>
      </c>
      <c r="AN79" s="42">
        <v>0.14660000000000001</v>
      </c>
      <c r="AO79" s="41">
        <v>65</v>
      </c>
      <c r="AP79" s="39">
        <v>14</v>
      </c>
      <c r="AQ79" s="39">
        <v>49</v>
      </c>
      <c r="AR79" s="45">
        <v>1408</v>
      </c>
      <c r="AS79" s="39">
        <v>1</v>
      </c>
      <c r="AT79" s="39" t="s">
        <v>4562</v>
      </c>
      <c r="AU79" s="39">
        <v>11</v>
      </c>
      <c r="AV79" s="39" t="s">
        <v>6309</v>
      </c>
      <c r="AW79" s="39">
        <v>1412.3</v>
      </c>
      <c r="AX79" s="39">
        <v>1428.7</v>
      </c>
      <c r="AY79" s="39">
        <v>1442.8</v>
      </c>
      <c r="AZ79" s="39">
        <v>1381.8</v>
      </c>
      <c r="BA79" s="39">
        <v>1367.7</v>
      </c>
      <c r="BB79" s="39">
        <v>1351.3</v>
      </c>
      <c r="BC79" s="39">
        <v>6</v>
      </c>
      <c r="BD79" s="39">
        <v>8</v>
      </c>
      <c r="BE79" s="39">
        <v>2</v>
      </c>
      <c r="BF79" s="39" t="s">
        <v>130</v>
      </c>
      <c r="BG79" s="39">
        <v>242.1</v>
      </c>
      <c r="BH79" s="39">
        <v>0.2</v>
      </c>
      <c r="BI79" s="39" t="s">
        <v>4565</v>
      </c>
      <c r="BJ79" s="39" t="s">
        <v>132</v>
      </c>
    </row>
    <row r="80" spans="1:62" x14ac:dyDescent="0.35">
      <c r="A80" s="40" t="s">
        <v>240</v>
      </c>
      <c r="B80" s="39" t="str">
        <f>IFERROR(INDEX(added_new_stocks!$F$6:$H$2155,MATCH($A80,added_new_stocks!$F$6:$F$2600,0),3),"")</f>
        <v>Large</v>
      </c>
      <c r="C80" s="48">
        <v>1421.05</v>
      </c>
      <c r="D80" s="39">
        <v>34</v>
      </c>
      <c r="G80" s="39" t="s">
        <v>4625</v>
      </c>
      <c r="H80" s="39" t="s">
        <v>6845</v>
      </c>
      <c r="I80" s="39" t="s">
        <v>4976</v>
      </c>
      <c r="J80" s="39" t="s">
        <v>6846</v>
      </c>
      <c r="K80" s="40" t="s">
        <v>133</v>
      </c>
      <c r="L80" s="39" t="s">
        <v>4998</v>
      </c>
      <c r="M80" s="39" t="s">
        <v>4959</v>
      </c>
      <c r="N80" s="39">
        <v>5</v>
      </c>
      <c r="O80" s="39">
        <v>-14</v>
      </c>
      <c r="P80" s="39">
        <v>-9</v>
      </c>
      <c r="Q80" s="39" t="s">
        <v>4605</v>
      </c>
      <c r="R80" s="39">
        <v>1.32</v>
      </c>
      <c r="S80" s="39">
        <v>1.1200000000000001</v>
      </c>
      <c r="T80" s="39">
        <v>10.41</v>
      </c>
      <c r="U80" s="39">
        <v>0.51</v>
      </c>
      <c r="V80" s="39">
        <v>1.41</v>
      </c>
      <c r="W80" s="39">
        <v>-4.59</v>
      </c>
      <c r="X80" s="39">
        <v>-18.45</v>
      </c>
      <c r="Y80" s="39">
        <v>-3.2</v>
      </c>
      <c r="Z80" s="39" t="s">
        <v>4538</v>
      </c>
      <c r="AA80" s="39" t="s">
        <v>4538</v>
      </c>
      <c r="AB80" s="39" t="s">
        <v>4538</v>
      </c>
      <c r="AC80" s="39" t="s">
        <v>4538</v>
      </c>
      <c r="AD80" s="39" t="s">
        <v>4606</v>
      </c>
      <c r="AE80" s="39" t="s">
        <v>134</v>
      </c>
      <c r="AF80" s="39">
        <v>16</v>
      </c>
      <c r="AG80" s="42">
        <v>5.2400000000000002E-2</v>
      </c>
      <c r="AH80" s="39">
        <v>66</v>
      </c>
      <c r="AI80" s="42">
        <v>5.8400000000000001E-2</v>
      </c>
      <c r="AJ80" s="39" t="s">
        <v>6847</v>
      </c>
      <c r="AK80" s="42">
        <v>0.12809999999999999</v>
      </c>
      <c r="AL80" s="39" t="s">
        <v>6848</v>
      </c>
      <c r="AM80" s="42">
        <v>3.9199999999999999E-2</v>
      </c>
      <c r="AN80" s="42">
        <v>6.9599999999999995E-2</v>
      </c>
      <c r="AO80" s="41">
        <v>70</v>
      </c>
      <c r="AP80" s="39">
        <v>70</v>
      </c>
      <c r="AQ80" s="39">
        <v>45</v>
      </c>
      <c r="AR80" s="39">
        <v>256</v>
      </c>
      <c r="AS80" s="39">
        <v>13</v>
      </c>
      <c r="AT80" s="39" t="s">
        <v>4562</v>
      </c>
      <c r="AU80" s="39">
        <v>21</v>
      </c>
      <c r="AV80" s="39" t="s">
        <v>6310</v>
      </c>
      <c r="AW80" s="39">
        <v>229.37</v>
      </c>
      <c r="AX80" s="39">
        <v>231.03</v>
      </c>
      <c r="AY80" s="39">
        <v>231.97</v>
      </c>
      <c r="AZ80" s="39">
        <v>226.77</v>
      </c>
      <c r="BA80" s="39">
        <v>225.83</v>
      </c>
      <c r="BB80" s="39">
        <v>224.17</v>
      </c>
      <c r="BC80" s="39">
        <v>11</v>
      </c>
      <c r="BD80" s="39">
        <v>2</v>
      </c>
      <c r="BE80" s="39">
        <v>4</v>
      </c>
      <c r="BF80" s="39" t="s">
        <v>130</v>
      </c>
      <c r="BG80" s="39">
        <v>306.3</v>
      </c>
      <c r="BH80" s="39">
        <v>1.3</v>
      </c>
      <c r="BI80" s="39" t="s">
        <v>4639</v>
      </c>
      <c r="BJ80" s="39" t="s">
        <v>4639</v>
      </c>
    </row>
    <row r="81" spans="1:62" x14ac:dyDescent="0.35">
      <c r="A81" s="40" t="s">
        <v>537</v>
      </c>
      <c r="B81" s="39" t="str">
        <f>IFERROR(INDEX(added_new_stocks!$F$6:$H$2155,MATCH($A81,added_new_stocks!$F$6:$F$2600,0),3),"")</f>
        <v>Large</v>
      </c>
      <c r="C81" s="39">
        <v>228.75</v>
      </c>
      <c r="D81" s="39">
        <v>75</v>
      </c>
      <c r="G81" s="39" t="s">
        <v>129</v>
      </c>
      <c r="H81" s="39" t="s">
        <v>5127</v>
      </c>
      <c r="I81" s="39" t="s">
        <v>4989</v>
      </c>
      <c r="J81" s="39" t="s">
        <v>5128</v>
      </c>
      <c r="K81" s="40" t="s">
        <v>4957</v>
      </c>
      <c r="L81" s="39" t="s">
        <v>5129</v>
      </c>
      <c r="M81" s="39" t="s">
        <v>4955</v>
      </c>
      <c r="N81" s="39">
        <v>5</v>
      </c>
      <c r="O81" s="39">
        <v>-5</v>
      </c>
      <c r="P81" s="39">
        <v>0</v>
      </c>
      <c r="Q81" s="39" t="s">
        <v>4611</v>
      </c>
      <c r="R81" s="39">
        <v>-0.52</v>
      </c>
      <c r="S81" s="39">
        <v>-0.91</v>
      </c>
      <c r="T81" s="39">
        <v>0.66</v>
      </c>
      <c r="U81" s="39">
        <v>-6.38</v>
      </c>
      <c r="V81" s="39">
        <v>2.65</v>
      </c>
      <c r="W81" s="39">
        <v>1.6</v>
      </c>
      <c r="X81" s="39">
        <v>-2.6</v>
      </c>
      <c r="Y81" s="39">
        <v>59.3</v>
      </c>
      <c r="Z81" s="39">
        <v>64.569999999999993</v>
      </c>
      <c r="AA81" s="39">
        <v>23.92</v>
      </c>
      <c r="AB81" s="39">
        <v>-19.89</v>
      </c>
      <c r="AC81" s="39">
        <v>-8.68</v>
      </c>
      <c r="AD81" s="39" t="s">
        <v>4606</v>
      </c>
      <c r="AE81" s="39" t="s">
        <v>134</v>
      </c>
      <c r="AF81" s="39">
        <v>32</v>
      </c>
      <c r="AG81" s="42">
        <v>9.7299999999999998E-2</v>
      </c>
      <c r="AH81" s="39">
        <v>517</v>
      </c>
      <c r="AI81" s="42">
        <v>9.2999999999999999E-2</v>
      </c>
      <c r="AJ81" s="39" t="s">
        <v>5130</v>
      </c>
      <c r="AK81" s="42">
        <v>0.63129999999999997</v>
      </c>
      <c r="AL81" s="39" t="s">
        <v>136</v>
      </c>
      <c r="AM81" s="43">
        <v>0.11</v>
      </c>
      <c r="AN81" s="42">
        <v>3.9E-2</v>
      </c>
      <c r="AO81" s="41">
        <v>50</v>
      </c>
      <c r="AP81" s="39">
        <v>20</v>
      </c>
      <c r="AQ81" s="39">
        <v>65</v>
      </c>
      <c r="AR81" s="45">
        <v>5049</v>
      </c>
      <c r="AS81" s="39">
        <v>-4</v>
      </c>
      <c r="AT81" s="39" t="s">
        <v>4562</v>
      </c>
      <c r="AU81" s="39">
        <v>26</v>
      </c>
      <c r="AV81" s="39" t="s">
        <v>6311</v>
      </c>
      <c r="AW81" s="39">
        <v>5378.77</v>
      </c>
      <c r="AX81" s="39">
        <v>5501.33</v>
      </c>
      <c r="AY81" s="39">
        <v>5608.72</v>
      </c>
      <c r="AZ81" s="39">
        <v>5148.82</v>
      </c>
      <c r="BA81" s="39">
        <v>5041.43</v>
      </c>
      <c r="BB81" s="39">
        <v>4918.87</v>
      </c>
      <c r="BC81" s="39">
        <v>14</v>
      </c>
      <c r="BD81" s="39">
        <v>1</v>
      </c>
      <c r="BE81" s="39">
        <v>5</v>
      </c>
      <c r="BF81" s="39" t="s">
        <v>130</v>
      </c>
      <c r="BG81" s="45">
        <v>1164</v>
      </c>
      <c r="BH81" s="39">
        <v>0.2</v>
      </c>
      <c r="BI81" s="39" t="s">
        <v>131</v>
      </c>
      <c r="BJ81" s="39" t="s">
        <v>132</v>
      </c>
    </row>
    <row r="82" spans="1:62" x14ac:dyDescent="0.35">
      <c r="A82" s="40" t="s">
        <v>430</v>
      </c>
      <c r="B82" s="39" t="str">
        <f>IFERROR(INDEX(added_new_stocks!$F$6:$H$2155,MATCH($A82,added_new_stocks!$F$6:$F$2600,0),3),"")</f>
        <v>Large</v>
      </c>
      <c r="C82" s="48">
        <v>5293.35</v>
      </c>
      <c r="D82" s="39">
        <v>74</v>
      </c>
      <c r="G82" s="39" t="s">
        <v>129</v>
      </c>
      <c r="H82" s="39" t="s">
        <v>6849</v>
      </c>
      <c r="I82" s="39" t="s">
        <v>4624</v>
      </c>
      <c r="J82" s="39" t="s">
        <v>6850</v>
      </c>
      <c r="K82" s="40" t="s">
        <v>4957</v>
      </c>
      <c r="L82" s="39" t="s">
        <v>6851</v>
      </c>
      <c r="M82" s="39" t="s">
        <v>4620</v>
      </c>
      <c r="N82" s="39">
        <v>11</v>
      </c>
      <c r="O82" s="39">
        <v>-8</v>
      </c>
      <c r="P82" s="39">
        <v>3</v>
      </c>
      <c r="Q82" s="39" t="s">
        <v>4611</v>
      </c>
      <c r="R82" s="39">
        <v>1.27</v>
      </c>
      <c r="S82" s="39">
        <v>7.77</v>
      </c>
      <c r="T82" s="39">
        <v>13.27</v>
      </c>
      <c r="U82" s="39">
        <v>20.21</v>
      </c>
      <c r="V82" s="39">
        <v>24.51</v>
      </c>
      <c r="W82" s="39">
        <v>36.25</v>
      </c>
      <c r="X82" s="39">
        <v>48.59</v>
      </c>
      <c r="Y82" s="39">
        <v>3.4</v>
      </c>
      <c r="Z82" s="39">
        <v>165.32</v>
      </c>
      <c r="AA82" s="39">
        <v>253.05</v>
      </c>
      <c r="AB82" s="39">
        <v>290.42</v>
      </c>
      <c r="AC82" s="39">
        <v>1771.76</v>
      </c>
      <c r="AD82" s="39" t="s">
        <v>5220</v>
      </c>
      <c r="AE82" s="39" t="s">
        <v>134</v>
      </c>
      <c r="AF82" s="39">
        <v>36</v>
      </c>
      <c r="AG82" s="42">
        <v>0.27729999999999999</v>
      </c>
      <c r="AH82" s="39">
        <v>290</v>
      </c>
      <c r="AI82" s="42">
        <v>0.24779999999999999</v>
      </c>
      <c r="AJ82" s="39" t="s">
        <v>6852</v>
      </c>
      <c r="AK82" s="42">
        <v>0.26629999999999998</v>
      </c>
      <c r="AL82" s="39" t="s">
        <v>136</v>
      </c>
      <c r="AM82" s="42">
        <v>6.0100000000000001E-2</v>
      </c>
      <c r="AN82" s="42">
        <v>8.0500000000000002E-2</v>
      </c>
      <c r="AO82" s="41">
        <v>75</v>
      </c>
      <c r="AP82" s="39">
        <v>28</v>
      </c>
      <c r="AQ82" s="39">
        <v>47</v>
      </c>
      <c r="AR82" s="39">
        <v>705</v>
      </c>
      <c r="AS82" s="39">
        <v>6</v>
      </c>
      <c r="AT82" s="39" t="s">
        <v>4562</v>
      </c>
      <c r="AU82" s="39">
        <v>25</v>
      </c>
      <c r="AV82" s="39" t="s">
        <v>6312</v>
      </c>
      <c r="AW82" s="39">
        <v>667.2</v>
      </c>
      <c r="AX82" s="39">
        <v>671.1</v>
      </c>
      <c r="AY82" s="39">
        <v>677.7</v>
      </c>
      <c r="AZ82" s="39">
        <v>656.7</v>
      </c>
      <c r="BA82" s="39">
        <v>650.1</v>
      </c>
      <c r="BB82" s="39">
        <v>646.20000000000005</v>
      </c>
      <c r="BC82" s="39">
        <v>8</v>
      </c>
      <c r="BD82" s="39">
        <v>5</v>
      </c>
      <c r="BE82" s="39">
        <v>1</v>
      </c>
      <c r="BF82" s="39" t="s">
        <v>130</v>
      </c>
      <c r="BG82" s="39">
        <v>277.60000000000002</v>
      </c>
      <c r="BH82" s="39">
        <v>0.4</v>
      </c>
      <c r="BI82" s="39" t="s">
        <v>4651</v>
      </c>
      <c r="BJ82" s="39" t="s">
        <v>4639</v>
      </c>
    </row>
    <row r="83" spans="1:62" x14ac:dyDescent="0.35">
      <c r="A83" s="40" t="s">
        <v>1630</v>
      </c>
      <c r="B83" s="39" t="str">
        <f>IFERROR(INDEX(added_new_stocks!$F$6:$H$2155,MATCH($A83,added_new_stocks!$F$6:$F$2600,0),3),"")</f>
        <v>Small</v>
      </c>
      <c r="C83" s="39">
        <v>683.85</v>
      </c>
      <c r="D83" s="39">
        <v>40</v>
      </c>
      <c r="G83" s="39" t="s">
        <v>4625</v>
      </c>
      <c r="H83" s="39" t="s">
        <v>6853</v>
      </c>
      <c r="I83" s="39" t="s">
        <v>4989</v>
      </c>
      <c r="J83" s="39" t="s">
        <v>6854</v>
      </c>
      <c r="K83" s="40" t="s">
        <v>133</v>
      </c>
      <c r="L83" s="39" t="s">
        <v>5137</v>
      </c>
      <c r="M83" s="39" t="s">
        <v>4959</v>
      </c>
      <c r="N83" s="39">
        <v>2</v>
      </c>
      <c r="O83" s="39">
        <v>-13</v>
      </c>
      <c r="P83" s="39">
        <v>-11</v>
      </c>
      <c r="Q83" s="39" t="s">
        <v>4605</v>
      </c>
      <c r="R83" s="39">
        <v>2.1</v>
      </c>
      <c r="S83" s="39">
        <v>3.35</v>
      </c>
      <c r="T83" s="39">
        <v>-0.78</v>
      </c>
      <c r="U83" s="39">
        <v>1.96</v>
      </c>
      <c r="V83" s="39">
        <v>14.99</v>
      </c>
      <c r="W83" s="39">
        <v>-7.6</v>
      </c>
      <c r="X83" s="39">
        <v>-1.86</v>
      </c>
      <c r="Y83" s="39">
        <v>0.57999999999999996</v>
      </c>
      <c r="Z83" s="39">
        <v>67.06</v>
      </c>
      <c r="AA83" s="39">
        <v>34.520000000000003</v>
      </c>
      <c r="AB83" s="39">
        <v>35.18</v>
      </c>
      <c r="AC83" s="39">
        <v>206.59</v>
      </c>
      <c r="AD83" s="39" t="s">
        <v>4606</v>
      </c>
      <c r="AE83" s="39" t="s">
        <v>134</v>
      </c>
      <c r="AF83" s="39">
        <v>29</v>
      </c>
      <c r="AG83" s="42">
        <v>0.12230000000000001</v>
      </c>
      <c r="AH83" s="39">
        <v>576</v>
      </c>
      <c r="AI83" s="42">
        <v>0.21579999999999999</v>
      </c>
      <c r="AJ83" s="39" t="s">
        <v>5138</v>
      </c>
      <c r="AK83" s="42">
        <v>0.54800000000000004</v>
      </c>
      <c r="AL83" s="39" t="s">
        <v>5139</v>
      </c>
      <c r="AM83" s="42">
        <v>2.46E-2</v>
      </c>
      <c r="AN83" s="42">
        <v>2.4500000000000001E-2</v>
      </c>
      <c r="AO83" s="41">
        <v>40</v>
      </c>
      <c r="AP83" s="39">
        <v>47</v>
      </c>
      <c r="AQ83" s="39">
        <v>66</v>
      </c>
      <c r="AS83" s="39" t="s">
        <v>4564</v>
      </c>
      <c r="AW83" s="39">
        <v>85.08</v>
      </c>
      <c r="AX83" s="39">
        <v>86.52</v>
      </c>
      <c r="AY83" s="39">
        <v>87.83</v>
      </c>
      <c r="AZ83" s="39">
        <v>82.33</v>
      </c>
      <c r="BA83" s="39">
        <v>81.02</v>
      </c>
      <c r="BB83" s="39">
        <v>79.58</v>
      </c>
      <c r="BC83" s="39">
        <v>1</v>
      </c>
      <c r="BD83" s="39">
        <v>6</v>
      </c>
      <c r="BE83" s="39" t="s">
        <v>130</v>
      </c>
      <c r="BF83" s="39">
        <v>2.57</v>
      </c>
      <c r="BG83" s="39">
        <v>8</v>
      </c>
      <c r="BH83" s="39">
        <v>51.6</v>
      </c>
      <c r="BI83" s="39" t="s">
        <v>4565</v>
      </c>
      <c r="BJ83" s="39" t="s">
        <v>132</v>
      </c>
    </row>
    <row r="84" spans="1:62" x14ac:dyDescent="0.35">
      <c r="A84" s="40" t="s">
        <v>510</v>
      </c>
      <c r="B84" s="39" t="str">
        <f>IFERROR(INDEX(added_new_stocks!$F$6:$H$2155,MATCH($A84,added_new_stocks!$F$6:$F$2600,0),3),"")</f>
        <v>Large</v>
      </c>
      <c r="C84" s="39">
        <v>92.76</v>
      </c>
      <c r="D84" s="39">
        <v>77</v>
      </c>
      <c r="G84" s="39" t="s">
        <v>129</v>
      </c>
      <c r="H84" s="39" t="s">
        <v>6855</v>
      </c>
      <c r="I84" s="39" t="s">
        <v>4624</v>
      </c>
      <c r="J84" s="39" t="s">
        <v>6856</v>
      </c>
      <c r="K84" s="40" t="s">
        <v>4615</v>
      </c>
      <c r="L84" s="39" t="s">
        <v>6857</v>
      </c>
      <c r="M84" s="39" t="s">
        <v>4620</v>
      </c>
      <c r="N84" s="39">
        <v>31</v>
      </c>
      <c r="O84" s="39">
        <v>-1</v>
      </c>
      <c r="P84" s="39">
        <v>30</v>
      </c>
      <c r="Q84" s="39" t="s">
        <v>5076</v>
      </c>
      <c r="R84" s="39">
        <v>-3.88</v>
      </c>
      <c r="S84" s="39">
        <v>9.76</v>
      </c>
      <c r="T84" s="39">
        <v>17.809999999999999</v>
      </c>
      <c r="U84" s="39">
        <v>46.45</v>
      </c>
      <c r="V84" s="39">
        <v>54.88</v>
      </c>
      <c r="W84" s="39">
        <v>18.62</v>
      </c>
      <c r="X84" s="39">
        <v>41.4</v>
      </c>
      <c r="Y84" s="39">
        <v>25.86</v>
      </c>
      <c r="Z84" s="39">
        <v>348.12</v>
      </c>
      <c r="AA84" s="39">
        <v>274.79000000000002</v>
      </c>
      <c r="AB84" s="39">
        <v>96.11</v>
      </c>
      <c r="AC84" s="39">
        <v>5053.33</v>
      </c>
      <c r="AD84" s="39" t="s">
        <v>4606</v>
      </c>
      <c r="AE84" s="39">
        <v>27.82</v>
      </c>
      <c r="AF84" s="39">
        <v>1</v>
      </c>
      <c r="AG84" s="42">
        <v>1.23E-2</v>
      </c>
      <c r="AH84" s="39">
        <v>19</v>
      </c>
      <c r="AI84" s="42">
        <v>1.9400000000000001E-2</v>
      </c>
      <c r="AJ84" s="39" t="s">
        <v>6858</v>
      </c>
      <c r="AK84" s="42">
        <v>0.2487</v>
      </c>
      <c r="AL84" s="39" t="s">
        <v>6859</v>
      </c>
      <c r="AM84" s="42">
        <v>1.9800000000000002E-2</v>
      </c>
      <c r="AN84" s="42">
        <v>0.28449999999999998</v>
      </c>
      <c r="AO84" s="41">
        <v>50</v>
      </c>
      <c r="AP84" s="39">
        <v>10</v>
      </c>
      <c r="AQ84" s="39">
        <v>56</v>
      </c>
      <c r="AS84" s="39" t="s">
        <v>4564</v>
      </c>
      <c r="AW84" s="39">
        <v>41.96</v>
      </c>
      <c r="AX84" s="39">
        <v>43.9</v>
      </c>
      <c r="AY84" s="39">
        <v>44.87</v>
      </c>
      <c r="AZ84" s="39">
        <v>39.049999999999997</v>
      </c>
      <c r="BA84" s="39">
        <v>38.08</v>
      </c>
      <c r="BB84" s="39">
        <v>36.14</v>
      </c>
      <c r="BC84" s="39" t="s">
        <v>130</v>
      </c>
      <c r="BD84" s="39">
        <v>-0.7</v>
      </c>
      <c r="BE84" s="39">
        <v>-1.26</v>
      </c>
      <c r="BF84" s="39">
        <v>0.1</v>
      </c>
      <c r="BG84" s="39">
        <v>2</v>
      </c>
      <c r="BH84" s="39">
        <v>8</v>
      </c>
      <c r="BI84" s="39" t="s">
        <v>4563</v>
      </c>
      <c r="BJ84" s="39" t="s">
        <v>131</v>
      </c>
    </row>
    <row r="85" spans="1:62" x14ac:dyDescent="0.35">
      <c r="A85" s="40" t="s">
        <v>671</v>
      </c>
      <c r="B85" s="39" t="str">
        <f>IFERROR(INDEX(added_new_stocks!$F$6:$H$2155,MATCH($A85,added_new_stocks!$F$6:$F$2600,0),3),"")</f>
        <v>Mid</v>
      </c>
      <c r="C85" s="48">
        <v>1095.75</v>
      </c>
      <c r="D85" s="39">
        <v>77</v>
      </c>
      <c r="G85" s="39" t="s">
        <v>129</v>
      </c>
      <c r="H85" s="39" t="s">
        <v>5140</v>
      </c>
      <c r="I85" s="39" t="s">
        <v>4624</v>
      </c>
      <c r="J85" s="39" t="s">
        <v>5141</v>
      </c>
      <c r="K85" s="40" t="s">
        <v>4957</v>
      </c>
      <c r="L85" s="39" t="s">
        <v>5142</v>
      </c>
      <c r="M85" s="39" t="s">
        <v>135</v>
      </c>
      <c r="N85" s="39">
        <v>6</v>
      </c>
      <c r="O85" s="39">
        <v>-4</v>
      </c>
      <c r="P85" s="39">
        <v>2</v>
      </c>
      <c r="Q85" s="39" t="s">
        <v>4611</v>
      </c>
      <c r="R85" s="39">
        <v>1.25</v>
      </c>
      <c r="S85" s="39">
        <v>2.72</v>
      </c>
      <c r="T85" s="39">
        <v>11.84</v>
      </c>
      <c r="U85" s="39">
        <v>14.35</v>
      </c>
      <c r="V85" s="39">
        <v>21.27</v>
      </c>
      <c r="W85" s="39">
        <v>24.09</v>
      </c>
      <c r="X85" s="39">
        <v>4.05</v>
      </c>
      <c r="Y85" s="39">
        <v>39.21</v>
      </c>
      <c r="Z85" s="39">
        <v>34.799999999999997</v>
      </c>
      <c r="AA85" s="39">
        <v>186.77</v>
      </c>
      <c r="AB85" s="39">
        <v>162.61000000000001</v>
      </c>
      <c r="AC85" s="39">
        <v>465.69</v>
      </c>
      <c r="AD85" s="39" t="s">
        <v>4606</v>
      </c>
      <c r="AE85" s="39">
        <v>0.01</v>
      </c>
      <c r="AF85" s="39">
        <v>30</v>
      </c>
      <c r="AG85" s="42">
        <v>0.17380000000000001</v>
      </c>
      <c r="AH85" s="39">
        <v>232</v>
      </c>
      <c r="AI85" s="42">
        <v>7.5499999999999998E-2</v>
      </c>
      <c r="AJ85" s="39" t="s">
        <v>5143</v>
      </c>
      <c r="AK85" s="39" t="s">
        <v>5144</v>
      </c>
      <c r="AL85" s="39" t="s">
        <v>5145</v>
      </c>
      <c r="AM85" s="42">
        <v>4.7800000000000002E-2</v>
      </c>
      <c r="AN85" s="42">
        <v>9.7199999999999995E-2</v>
      </c>
      <c r="AO85" s="41">
        <v>55</v>
      </c>
      <c r="AP85" s="39">
        <v>33</v>
      </c>
      <c r="AQ85" s="39">
        <v>63</v>
      </c>
      <c r="AR85" s="45">
        <v>1541</v>
      </c>
      <c r="AS85" s="39">
        <v>9</v>
      </c>
      <c r="AT85" s="39" t="s">
        <v>129</v>
      </c>
      <c r="AU85" s="39">
        <v>14</v>
      </c>
      <c r="AV85" s="39" t="s">
        <v>6313</v>
      </c>
      <c r="AW85" s="39">
        <v>1437.83</v>
      </c>
      <c r="AX85" s="39">
        <v>1465.37</v>
      </c>
      <c r="AY85" s="39">
        <v>1491.73</v>
      </c>
      <c r="AZ85" s="39">
        <v>1383.93</v>
      </c>
      <c r="BA85" s="39">
        <v>1357.57</v>
      </c>
      <c r="BB85" s="39">
        <v>1330.03</v>
      </c>
      <c r="BC85" s="39">
        <v>16</v>
      </c>
      <c r="BD85" s="39" t="s">
        <v>130</v>
      </c>
      <c r="BE85" s="39">
        <v>5</v>
      </c>
      <c r="BF85" s="39" t="s">
        <v>130</v>
      </c>
      <c r="BG85" s="39">
        <v>684</v>
      </c>
      <c r="BH85" s="39">
        <v>0.5</v>
      </c>
      <c r="BI85" s="39" t="s">
        <v>131</v>
      </c>
      <c r="BJ85" s="39" t="s">
        <v>132</v>
      </c>
    </row>
    <row r="86" spans="1:62" x14ac:dyDescent="0.35">
      <c r="A86" s="40" t="s">
        <v>534</v>
      </c>
      <c r="B86" s="39" t="str">
        <f>IFERROR(INDEX(added_new_stocks!$F$6:$H$2155,MATCH($A86,added_new_stocks!$F$6:$F$2600,0),3),"")</f>
        <v>Large</v>
      </c>
      <c r="C86" s="48">
        <v>1394.55</v>
      </c>
      <c r="D86" s="39">
        <v>62</v>
      </c>
      <c r="G86" s="39" t="s">
        <v>4562</v>
      </c>
      <c r="H86" s="39" t="s">
        <v>6860</v>
      </c>
      <c r="I86" s="39" t="s">
        <v>4989</v>
      </c>
      <c r="J86" s="39" t="s">
        <v>6861</v>
      </c>
      <c r="K86" s="40" t="s">
        <v>4615</v>
      </c>
      <c r="L86" s="39" t="s">
        <v>6862</v>
      </c>
      <c r="M86" s="39" t="s">
        <v>4959</v>
      </c>
      <c r="N86" s="39">
        <v>31</v>
      </c>
      <c r="O86" s="39">
        <v>-3</v>
      </c>
      <c r="P86" s="39">
        <v>28</v>
      </c>
      <c r="Q86" s="39" t="s">
        <v>5060</v>
      </c>
      <c r="R86" s="39">
        <v>-0.01</v>
      </c>
      <c r="S86" s="39">
        <v>1.51</v>
      </c>
      <c r="T86" s="39">
        <v>-0.34</v>
      </c>
      <c r="U86" s="39">
        <v>15.97</v>
      </c>
      <c r="V86" s="39">
        <v>40.54</v>
      </c>
      <c r="W86" s="39">
        <v>52.58</v>
      </c>
      <c r="X86" s="39">
        <v>39.58</v>
      </c>
      <c r="Y86" s="39">
        <v>106.94</v>
      </c>
      <c r="Z86" s="39">
        <v>100.18</v>
      </c>
      <c r="AA86" s="39">
        <v>149.19999999999999</v>
      </c>
      <c r="AB86" s="39">
        <v>266.41000000000003</v>
      </c>
      <c r="AC86" s="39" t="s">
        <v>4538</v>
      </c>
      <c r="AD86" s="39" t="s">
        <v>4606</v>
      </c>
      <c r="AE86" s="39" t="s">
        <v>134</v>
      </c>
      <c r="AF86" s="39">
        <v>20</v>
      </c>
      <c r="AG86" s="42">
        <v>0.1027</v>
      </c>
      <c r="AH86" s="39">
        <v>134</v>
      </c>
      <c r="AI86" s="42">
        <v>9.5600000000000004E-2</v>
      </c>
      <c r="AJ86" s="39" t="s">
        <v>5153</v>
      </c>
      <c r="AK86" s="42">
        <v>0.66769999999999996</v>
      </c>
      <c r="AL86" s="39" t="s">
        <v>5154</v>
      </c>
      <c r="AM86" s="42">
        <v>5.6599999999999998E-2</v>
      </c>
      <c r="AN86" s="42">
        <v>4.5699999999999998E-2</v>
      </c>
      <c r="AO86" s="41">
        <v>60</v>
      </c>
      <c r="AP86" s="39">
        <v>13</v>
      </c>
      <c r="AQ86" s="39">
        <v>66</v>
      </c>
      <c r="AR86" s="45">
        <v>3711</v>
      </c>
      <c r="AS86" s="39">
        <v>-6</v>
      </c>
      <c r="AT86" s="39" t="s">
        <v>129</v>
      </c>
      <c r="AU86" s="39">
        <v>1</v>
      </c>
      <c r="AV86" s="39" t="s">
        <v>6314</v>
      </c>
      <c r="AW86" s="39">
        <v>3993.37</v>
      </c>
      <c r="AX86" s="39">
        <v>4048.78</v>
      </c>
      <c r="AY86" s="39">
        <v>4093.37</v>
      </c>
      <c r="AZ86" s="39">
        <v>3893.37</v>
      </c>
      <c r="BA86" s="39">
        <v>3848.78</v>
      </c>
      <c r="BB86" s="39">
        <v>3793.37</v>
      </c>
      <c r="BC86" s="39">
        <v>11</v>
      </c>
      <c r="BD86" s="39" t="s">
        <v>130</v>
      </c>
      <c r="BE86" s="39">
        <v>2</v>
      </c>
      <c r="BF86" s="39" t="s">
        <v>130</v>
      </c>
      <c r="BG86" s="39">
        <v>673.9</v>
      </c>
      <c r="BH86" s="39">
        <v>0.2</v>
      </c>
      <c r="BI86" s="39" t="s">
        <v>131</v>
      </c>
      <c r="BJ86" s="39" t="s">
        <v>132</v>
      </c>
    </row>
    <row r="87" spans="1:62" x14ac:dyDescent="0.35">
      <c r="A87" s="40" t="s">
        <v>597</v>
      </c>
      <c r="B87" s="39" t="str">
        <f>IFERROR(INDEX(added_new_stocks!$F$6:$H$2155,MATCH($A87,added_new_stocks!$F$6:$F$2600,0),3),"")</f>
        <v>Mid</v>
      </c>
      <c r="C87" s="48">
        <v>3921.65</v>
      </c>
      <c r="D87" s="39">
        <v>58</v>
      </c>
      <c r="G87" s="39" t="s">
        <v>4562</v>
      </c>
      <c r="H87" s="39" t="s">
        <v>6863</v>
      </c>
      <c r="I87" s="39" t="s">
        <v>4989</v>
      </c>
      <c r="J87" s="39" t="s">
        <v>6864</v>
      </c>
      <c r="K87" s="40" t="s">
        <v>133</v>
      </c>
      <c r="L87" s="39" t="s">
        <v>6865</v>
      </c>
      <c r="M87" s="39" t="s">
        <v>4959</v>
      </c>
      <c r="N87" s="39">
        <v>4</v>
      </c>
      <c r="O87" s="39">
        <v>-2</v>
      </c>
      <c r="P87" s="39">
        <v>2</v>
      </c>
      <c r="Q87" s="39" t="s">
        <v>4611</v>
      </c>
      <c r="R87" s="39">
        <v>1.17</v>
      </c>
      <c r="S87" s="39">
        <v>-2.61</v>
      </c>
      <c r="T87" s="39">
        <v>1.89</v>
      </c>
      <c r="U87" s="39">
        <v>5.89</v>
      </c>
      <c r="V87" s="39">
        <v>12.84</v>
      </c>
      <c r="W87" s="39">
        <v>27.89</v>
      </c>
      <c r="X87" s="39">
        <v>19.64</v>
      </c>
      <c r="Y87" s="39">
        <v>41.62</v>
      </c>
      <c r="Z87" s="39">
        <v>110.54</v>
      </c>
      <c r="AA87" s="39">
        <v>204.93</v>
      </c>
      <c r="AB87" s="39">
        <v>123.87</v>
      </c>
      <c r="AC87" s="39">
        <v>253.1</v>
      </c>
      <c r="AD87" s="39" t="s">
        <v>4606</v>
      </c>
      <c r="AE87" s="39" t="s">
        <v>134</v>
      </c>
      <c r="AF87" s="39">
        <v>55</v>
      </c>
      <c r="AG87" s="42">
        <v>5.67E-2</v>
      </c>
      <c r="AH87" s="39">
        <v>142</v>
      </c>
      <c r="AI87" s="42">
        <v>7.17E-2</v>
      </c>
      <c r="AJ87" s="39" t="s">
        <v>6866</v>
      </c>
      <c r="AK87" s="42">
        <v>0.42699999999999999</v>
      </c>
      <c r="AL87" s="39" t="s">
        <v>6867</v>
      </c>
      <c r="AM87" s="42">
        <v>5.4699999999999999E-2</v>
      </c>
      <c r="AN87" s="42">
        <v>0.1192</v>
      </c>
      <c r="AO87" s="41">
        <v>45</v>
      </c>
      <c r="AP87" s="39">
        <v>23</v>
      </c>
      <c r="AQ87" s="39">
        <v>55</v>
      </c>
      <c r="AR87" s="39">
        <v>335</v>
      </c>
      <c r="AS87" s="39">
        <v>11</v>
      </c>
      <c r="AT87" s="39" t="s">
        <v>129</v>
      </c>
      <c r="AU87" s="39">
        <v>37</v>
      </c>
      <c r="AV87" s="39" t="s">
        <v>6315</v>
      </c>
      <c r="AW87" s="39">
        <v>304.82</v>
      </c>
      <c r="AX87" s="39">
        <v>308.48</v>
      </c>
      <c r="AY87" s="39">
        <v>311.27</v>
      </c>
      <c r="AZ87" s="39">
        <v>298.37</v>
      </c>
      <c r="BA87" s="39">
        <v>295.58</v>
      </c>
      <c r="BB87" s="39">
        <v>291.92</v>
      </c>
      <c r="BC87" s="39">
        <v>2</v>
      </c>
      <c r="BD87" s="39">
        <v>9</v>
      </c>
      <c r="BE87" s="39">
        <v>2</v>
      </c>
      <c r="BF87" s="39" t="s">
        <v>130</v>
      </c>
      <c r="BG87" s="39">
        <v>88.7</v>
      </c>
      <c r="BH87" s="39">
        <v>0.3</v>
      </c>
      <c r="BI87" s="39" t="s">
        <v>4563</v>
      </c>
      <c r="BJ87" s="39" t="s">
        <v>4565</v>
      </c>
    </row>
    <row r="88" spans="1:62" x14ac:dyDescent="0.35">
      <c r="A88" s="40" t="s">
        <v>6232</v>
      </c>
      <c r="B88" s="39" t="str">
        <f>IFERROR(INDEX(added_new_stocks!$F$6:$H$2155,MATCH($A88,added_new_stocks!$F$6:$F$2600,0),3),"")</f>
        <v/>
      </c>
      <c r="C88" s="39">
        <v>408.15</v>
      </c>
      <c r="D88" s="39">
        <v>64</v>
      </c>
      <c r="G88" s="39" t="s">
        <v>4562</v>
      </c>
      <c r="H88" s="39" t="s">
        <v>6868</v>
      </c>
      <c r="I88" s="39" t="s">
        <v>4989</v>
      </c>
      <c r="J88" s="39" t="s">
        <v>6869</v>
      </c>
      <c r="K88" s="40" t="s">
        <v>133</v>
      </c>
      <c r="L88" s="39" t="s">
        <v>6870</v>
      </c>
      <c r="M88" s="39" t="s">
        <v>4959</v>
      </c>
      <c r="N88" s="39">
        <v>15</v>
      </c>
      <c r="O88" s="39">
        <v>0</v>
      </c>
      <c r="P88" s="39">
        <v>15</v>
      </c>
      <c r="Q88" s="39" t="s">
        <v>14</v>
      </c>
      <c r="R88" s="39">
        <v>0.28000000000000003</v>
      </c>
      <c r="S88" s="39">
        <v>-2.15</v>
      </c>
      <c r="T88" s="39">
        <v>1.1100000000000001</v>
      </c>
      <c r="U88" s="39">
        <v>5.57</v>
      </c>
      <c r="V88" s="39">
        <v>35.979999999999997</v>
      </c>
      <c r="W88" s="39">
        <v>50.78</v>
      </c>
      <c r="X88" s="39">
        <v>81.44</v>
      </c>
      <c r="Y88" s="39">
        <v>378.77</v>
      </c>
      <c r="Z88" s="39">
        <v>1789.58</v>
      </c>
      <c r="AA88" s="39">
        <v>3824.52</v>
      </c>
      <c r="AB88" s="39">
        <v>584.24</v>
      </c>
      <c r="AC88" s="39">
        <v>403.89</v>
      </c>
      <c r="AD88" s="39" t="s">
        <v>4606</v>
      </c>
      <c r="AE88" s="39" t="s">
        <v>134</v>
      </c>
      <c r="AF88" s="39">
        <v>24</v>
      </c>
      <c r="AG88" s="42">
        <v>4.4499999999999998E-2</v>
      </c>
      <c r="AH88" s="39">
        <v>522</v>
      </c>
      <c r="AI88" s="42">
        <v>0.15939999999999999</v>
      </c>
      <c r="AJ88" s="39" t="s">
        <v>6871</v>
      </c>
      <c r="AK88" s="42">
        <v>0.58050000000000002</v>
      </c>
      <c r="AL88" s="39" t="s">
        <v>6872</v>
      </c>
      <c r="AM88" s="42">
        <v>1.49E-2</v>
      </c>
      <c r="AN88" s="42">
        <v>0.1368</v>
      </c>
    </row>
    <row r="89" spans="1:62" x14ac:dyDescent="0.35">
      <c r="A89" s="40" t="s">
        <v>814</v>
      </c>
      <c r="B89" s="39" t="str">
        <f>IFERROR(INDEX(added_new_stocks!$F$6:$H$2155,MATCH($A89,added_new_stocks!$F$6:$F$2600,0),3),"")</f>
        <v>Mid</v>
      </c>
      <c r="AO89" s="41">
        <v>45</v>
      </c>
      <c r="AP89" s="39">
        <v>55</v>
      </c>
      <c r="AQ89" s="39">
        <v>32</v>
      </c>
      <c r="AR89" s="39">
        <v>157</v>
      </c>
      <c r="AS89" s="39">
        <v>27</v>
      </c>
      <c r="AT89" s="39" t="s">
        <v>4562</v>
      </c>
      <c r="AU89" s="39">
        <v>19</v>
      </c>
      <c r="AV89" s="39" t="s">
        <v>6316</v>
      </c>
      <c r="AW89" s="39">
        <v>124.95</v>
      </c>
      <c r="AX89" s="39">
        <v>126.1</v>
      </c>
      <c r="AY89" s="39">
        <v>127.2</v>
      </c>
      <c r="AZ89" s="39">
        <v>122.7</v>
      </c>
      <c r="BA89" s="39">
        <v>121.6</v>
      </c>
      <c r="BB89" s="39">
        <v>120.45</v>
      </c>
      <c r="BC89" s="39">
        <v>9</v>
      </c>
      <c r="BD89" s="39">
        <v>5</v>
      </c>
      <c r="BE89" s="39">
        <v>4</v>
      </c>
      <c r="BF89" s="39" t="s">
        <v>130</v>
      </c>
      <c r="BG89" s="39">
        <v>169.6</v>
      </c>
      <c r="BH89" s="39">
        <v>1.4</v>
      </c>
      <c r="BI89" s="39" t="s">
        <v>4563</v>
      </c>
      <c r="BJ89" s="39" t="s">
        <v>4563</v>
      </c>
    </row>
    <row r="90" spans="1:62" x14ac:dyDescent="0.35">
      <c r="A90" s="39" t="s">
        <v>369</v>
      </c>
      <c r="B90" s="39" t="str">
        <f>IFERROR(INDEX(added_new_stocks!$F$6:$H$2155,MATCH($A90,added_new_stocks!$F$6:$F$2600,0),3),"")</f>
        <v>Large</v>
      </c>
      <c r="C90" s="48">
        <v>1730.75</v>
      </c>
      <c r="D90" s="39">
        <v>64</v>
      </c>
      <c r="G90" s="39" t="s">
        <v>4562</v>
      </c>
      <c r="H90" s="39" t="s">
        <v>6873</v>
      </c>
      <c r="I90" s="39" t="s">
        <v>4989</v>
      </c>
      <c r="J90" s="39" t="s">
        <v>6874</v>
      </c>
      <c r="K90" s="39" t="s">
        <v>133</v>
      </c>
      <c r="L90" s="39" t="s">
        <v>6875</v>
      </c>
      <c r="M90" s="39" t="s">
        <v>4959</v>
      </c>
      <c r="N90" s="39">
        <v>18</v>
      </c>
      <c r="O90" s="39">
        <v>0</v>
      </c>
      <c r="P90" s="39">
        <v>18</v>
      </c>
      <c r="Q90" s="39" t="s">
        <v>14</v>
      </c>
      <c r="R90" s="39">
        <v>0.04</v>
      </c>
      <c r="S90" s="39">
        <v>-0.39</v>
      </c>
      <c r="T90" s="39">
        <v>-11.48</v>
      </c>
      <c r="U90" s="39">
        <v>-1.35</v>
      </c>
      <c r="V90" s="39">
        <v>8.43</v>
      </c>
      <c r="W90" s="39">
        <v>25.57</v>
      </c>
      <c r="X90" s="39">
        <v>45.13</v>
      </c>
      <c r="Y90" s="39">
        <v>73.180000000000007</v>
      </c>
      <c r="Z90" s="39">
        <v>267.02999999999997</v>
      </c>
      <c r="AA90" s="39">
        <v>201.71</v>
      </c>
      <c r="AB90" s="39">
        <v>123.08</v>
      </c>
      <c r="AC90" s="39">
        <v>340.34</v>
      </c>
      <c r="AD90" s="39" t="s">
        <v>4606</v>
      </c>
      <c r="AE90" s="39" t="s">
        <v>134</v>
      </c>
      <c r="AF90" s="39">
        <v>34</v>
      </c>
      <c r="AG90" s="42">
        <v>0.19550000000000001</v>
      </c>
      <c r="AH90" s="39">
        <v>362</v>
      </c>
      <c r="AI90" s="42">
        <v>0.14369999999999999</v>
      </c>
      <c r="AJ90" s="39" t="s">
        <v>6876</v>
      </c>
      <c r="AK90" s="43">
        <v>0.51</v>
      </c>
      <c r="AL90" s="39" t="s">
        <v>6877</v>
      </c>
      <c r="AM90" s="42">
        <v>3.8300000000000001E-2</v>
      </c>
      <c r="AN90" s="42">
        <v>7.7399999999999997E-2</v>
      </c>
      <c r="AO90" s="41">
        <v>85</v>
      </c>
      <c r="AP90" s="39">
        <v>24</v>
      </c>
      <c r="AQ90" s="39">
        <v>48</v>
      </c>
      <c r="AR90" s="45">
        <v>1693</v>
      </c>
      <c r="AS90" s="39">
        <v>-1</v>
      </c>
      <c r="AT90" s="39" t="s">
        <v>4562</v>
      </c>
      <c r="AU90" s="39">
        <v>24</v>
      </c>
      <c r="AV90" s="39" t="s">
        <v>6317</v>
      </c>
      <c r="AW90" s="39">
        <v>1737.5</v>
      </c>
      <c r="AX90" s="39">
        <v>1760.25</v>
      </c>
      <c r="AY90" s="39">
        <v>1775.5</v>
      </c>
      <c r="AZ90" s="39">
        <v>1699.5</v>
      </c>
      <c r="BA90" s="39">
        <v>1684.25</v>
      </c>
      <c r="BB90" s="39">
        <v>1661.5</v>
      </c>
      <c r="BC90" s="39">
        <v>14</v>
      </c>
      <c r="BD90" s="39">
        <v>1</v>
      </c>
      <c r="BE90" s="39">
        <v>3</v>
      </c>
      <c r="BF90" s="39">
        <v>1</v>
      </c>
      <c r="BG90" s="39">
        <v>483</v>
      </c>
      <c r="BH90" s="39">
        <v>0.3</v>
      </c>
      <c r="BI90" s="39" t="s">
        <v>4563</v>
      </c>
      <c r="BJ90" s="39" t="s">
        <v>132</v>
      </c>
    </row>
    <row r="91" spans="1:62" x14ac:dyDescent="0.35">
      <c r="A91" s="39" t="s">
        <v>744</v>
      </c>
      <c r="B91" s="39" t="str">
        <f>IFERROR(INDEX(added_new_stocks!$F$6:$H$2155,MATCH($A91,added_new_stocks!$F$6:$F$2600,0),3),"")</f>
        <v>Mid</v>
      </c>
      <c r="C91" s="48">
        <v>1610.95</v>
      </c>
      <c r="D91" s="48">
        <v>71</v>
      </c>
      <c r="G91" s="39" t="s">
        <v>129</v>
      </c>
      <c r="H91" s="39" t="s">
        <v>6878</v>
      </c>
      <c r="I91" s="39" t="s">
        <v>4989</v>
      </c>
      <c r="J91" s="39" t="s">
        <v>6879</v>
      </c>
      <c r="K91" s="39" t="s">
        <v>133</v>
      </c>
      <c r="L91" s="39" t="s">
        <v>6880</v>
      </c>
      <c r="M91" s="39" t="s">
        <v>4959</v>
      </c>
      <c r="N91" s="39">
        <v>20</v>
      </c>
      <c r="O91" s="39">
        <v>-9</v>
      </c>
      <c r="P91" s="39">
        <v>11</v>
      </c>
      <c r="Q91" s="39" t="s">
        <v>14</v>
      </c>
      <c r="R91" s="39">
        <v>0.49</v>
      </c>
      <c r="S91" s="39">
        <v>4.2300000000000004</v>
      </c>
      <c r="T91" s="39">
        <v>10.050000000000001</v>
      </c>
      <c r="U91" s="39">
        <v>25.76</v>
      </c>
      <c r="V91" s="39">
        <v>68.17</v>
      </c>
      <c r="W91" s="39">
        <v>98.69</v>
      </c>
      <c r="X91" s="39">
        <v>90.35</v>
      </c>
      <c r="Y91" s="39">
        <v>71.86</v>
      </c>
      <c r="Z91" s="39">
        <v>301.77999999999997</v>
      </c>
      <c r="AA91" s="39">
        <v>282.51</v>
      </c>
      <c r="AB91" s="39">
        <v>124.55</v>
      </c>
      <c r="AC91" s="39">
        <v>766.34</v>
      </c>
      <c r="AD91" s="39" t="s">
        <v>4974</v>
      </c>
      <c r="AE91" s="39" t="s">
        <v>134</v>
      </c>
      <c r="AF91" s="39">
        <v>20</v>
      </c>
      <c r="AG91" s="42">
        <v>0.2036</v>
      </c>
      <c r="AH91" s="42">
        <v>262</v>
      </c>
      <c r="AI91" s="42">
        <v>0.36559999999999998</v>
      </c>
      <c r="AJ91" s="42" t="s">
        <v>5158</v>
      </c>
      <c r="AK91" s="42">
        <v>0.12659999999999999</v>
      </c>
      <c r="AL91" s="43" t="s">
        <v>5159</v>
      </c>
      <c r="AM91" s="42">
        <v>8.7099999999999997E-2</v>
      </c>
      <c r="AN91" s="42">
        <v>0.1148</v>
      </c>
      <c r="AO91" s="41">
        <v>45</v>
      </c>
      <c r="AP91" s="39">
        <v>29</v>
      </c>
      <c r="AQ91" s="39">
        <v>73</v>
      </c>
      <c r="AR91" s="45">
        <v>1484</v>
      </c>
      <c r="AS91" s="39">
        <v>-7</v>
      </c>
      <c r="AT91" s="39" t="s">
        <v>129</v>
      </c>
      <c r="AU91" s="39">
        <v>16</v>
      </c>
      <c r="AV91" s="39" t="s">
        <v>6318</v>
      </c>
      <c r="AW91" s="39">
        <v>1607.77</v>
      </c>
      <c r="AX91" s="39">
        <v>1626.23</v>
      </c>
      <c r="AY91" s="39">
        <v>1658.62</v>
      </c>
      <c r="AZ91" s="39">
        <v>1556.92</v>
      </c>
      <c r="BA91" s="39">
        <v>1524.53</v>
      </c>
      <c r="BB91" s="39">
        <v>1506.07</v>
      </c>
      <c r="BC91" s="39">
        <v>13</v>
      </c>
      <c r="BD91" s="39">
        <v>5</v>
      </c>
      <c r="BE91" s="39">
        <v>7</v>
      </c>
      <c r="BF91" s="39" t="s">
        <v>130</v>
      </c>
      <c r="BG91" s="39">
        <v>600.70000000000005</v>
      </c>
      <c r="BH91" s="39">
        <v>0.4</v>
      </c>
      <c r="BI91" s="39" t="s">
        <v>131</v>
      </c>
      <c r="BJ91" s="39" t="s">
        <v>4563</v>
      </c>
    </row>
    <row r="92" spans="1:62" x14ac:dyDescent="0.35">
      <c r="A92" s="39" t="s">
        <v>270</v>
      </c>
      <c r="B92" s="39" t="str">
        <f>IFERROR(INDEX(added_new_stocks!$F$6:$H$2155,MATCH($A92,added_new_stocks!$F$6:$F$2600,0),3),"")</f>
        <v>Large</v>
      </c>
      <c r="C92" s="39">
        <v>554.85</v>
      </c>
      <c r="D92" s="48">
        <v>58</v>
      </c>
      <c r="G92" s="39" t="s">
        <v>4562</v>
      </c>
      <c r="H92" s="39" t="s">
        <v>5165</v>
      </c>
      <c r="I92" s="39" t="s">
        <v>4989</v>
      </c>
      <c r="J92" s="39" t="s">
        <v>5166</v>
      </c>
      <c r="K92" s="39" t="s">
        <v>133</v>
      </c>
      <c r="L92" s="39" t="s">
        <v>6881</v>
      </c>
      <c r="M92" s="39" t="s">
        <v>4959</v>
      </c>
      <c r="N92" s="39">
        <v>3</v>
      </c>
      <c r="O92" s="39">
        <v>-6</v>
      </c>
      <c r="P92" s="39">
        <v>-3</v>
      </c>
      <c r="Q92" s="39" t="s">
        <v>4611</v>
      </c>
      <c r="R92" s="39">
        <v>0.85</v>
      </c>
      <c r="S92" s="39">
        <v>-2.12</v>
      </c>
      <c r="T92" s="39">
        <v>-4.66</v>
      </c>
      <c r="U92" s="39">
        <v>0.96</v>
      </c>
      <c r="V92" s="39">
        <v>4.66</v>
      </c>
      <c r="W92" s="39">
        <v>-1.17</v>
      </c>
      <c r="X92" s="39">
        <v>-4.8899999999999997</v>
      </c>
      <c r="Y92" s="39">
        <v>-9.9499999999999993</v>
      </c>
      <c r="Z92" s="39">
        <v>13.48</v>
      </c>
      <c r="AA92" s="39">
        <v>23.56</v>
      </c>
      <c r="AB92" s="39">
        <v>15.64</v>
      </c>
      <c r="AC92" s="39">
        <v>240.92</v>
      </c>
      <c r="AD92" s="39" t="s">
        <v>4606</v>
      </c>
      <c r="AE92" s="39" t="s">
        <v>134</v>
      </c>
      <c r="AF92" s="39">
        <v>31</v>
      </c>
      <c r="AG92" s="42">
        <v>3.3700000000000001E-2</v>
      </c>
      <c r="AH92" s="42">
        <v>753</v>
      </c>
      <c r="AI92" s="42">
        <v>0.19389999999999999</v>
      </c>
      <c r="AJ92" s="42" t="s">
        <v>5168</v>
      </c>
      <c r="AK92" s="39" t="s">
        <v>5169</v>
      </c>
      <c r="AL92" s="42" t="s">
        <v>5170</v>
      </c>
      <c r="AM92" s="42">
        <v>2.23E-2</v>
      </c>
      <c r="AN92" s="42">
        <v>4.2999999999999997E-2</v>
      </c>
      <c r="AO92" s="41">
        <v>35</v>
      </c>
      <c r="AP92" s="39">
        <v>12</v>
      </c>
      <c r="AQ92" s="39">
        <v>47</v>
      </c>
      <c r="AR92" s="39">
        <v>614</v>
      </c>
      <c r="AS92" s="39">
        <v>10</v>
      </c>
      <c r="AT92" s="39" t="s">
        <v>129</v>
      </c>
      <c r="AU92" s="39">
        <v>38</v>
      </c>
      <c r="AV92" s="39" t="s">
        <v>6319</v>
      </c>
      <c r="AW92" s="39">
        <v>565.45000000000005</v>
      </c>
      <c r="AX92" s="39">
        <v>572.85</v>
      </c>
      <c r="AY92" s="39">
        <v>577.04999999999995</v>
      </c>
      <c r="AZ92" s="39">
        <v>553.85</v>
      </c>
      <c r="BA92" s="39">
        <v>549.65</v>
      </c>
      <c r="BB92" s="39">
        <v>542.25</v>
      </c>
      <c r="BC92" s="39">
        <v>5</v>
      </c>
      <c r="BD92" s="39">
        <v>9</v>
      </c>
      <c r="BE92" s="39">
        <v>4</v>
      </c>
      <c r="BF92" s="39">
        <v>1</v>
      </c>
      <c r="BG92" s="39">
        <v>108.2</v>
      </c>
      <c r="BH92" s="39">
        <v>0.2</v>
      </c>
      <c r="BI92" s="39" t="s">
        <v>4563</v>
      </c>
      <c r="BJ92" s="39" t="s">
        <v>4563</v>
      </c>
    </row>
    <row r="93" spans="1:62" x14ac:dyDescent="0.35">
      <c r="A93" s="39" t="s">
        <v>414</v>
      </c>
      <c r="B93" s="39" t="str">
        <f>IFERROR(INDEX(added_new_stocks!$F$6:$H$2155,MATCH($A93,added_new_stocks!$F$6:$F$2600,0),3),"")</f>
        <v>Large</v>
      </c>
      <c r="C93" s="48">
        <v>2081.65</v>
      </c>
      <c r="D93" s="39">
        <v>47</v>
      </c>
      <c r="G93" s="39" t="s">
        <v>4625</v>
      </c>
      <c r="H93" s="39" t="s">
        <v>5171</v>
      </c>
      <c r="I93" s="39" t="s">
        <v>4989</v>
      </c>
      <c r="J93" s="39" t="s">
        <v>6882</v>
      </c>
      <c r="K93" s="39" t="s">
        <v>4615</v>
      </c>
      <c r="L93" s="39" t="s">
        <v>6883</v>
      </c>
      <c r="M93" s="39" t="s">
        <v>135</v>
      </c>
      <c r="N93" s="39">
        <v>2</v>
      </c>
      <c r="O93" s="39">
        <v>-13</v>
      </c>
      <c r="P93" s="39">
        <v>-11</v>
      </c>
      <c r="Q93" s="39" t="s">
        <v>4605</v>
      </c>
      <c r="R93" s="39">
        <v>1.28</v>
      </c>
      <c r="S93" s="39">
        <v>4.76</v>
      </c>
      <c r="T93" s="39">
        <v>6.49</v>
      </c>
      <c r="U93" s="39">
        <v>-2.1800000000000002</v>
      </c>
      <c r="V93" s="39">
        <v>12.74</v>
      </c>
      <c r="W93" s="39">
        <v>11.87</v>
      </c>
      <c r="X93" s="39">
        <v>35.42</v>
      </c>
      <c r="Y93" s="39">
        <v>-4.46</v>
      </c>
      <c r="Z93" s="39">
        <v>177.7</v>
      </c>
      <c r="AA93" s="39">
        <v>130.25</v>
      </c>
      <c r="AB93" s="39" t="s">
        <v>4538</v>
      </c>
      <c r="AC93" s="39" t="s">
        <v>4538</v>
      </c>
      <c r="AD93" s="39" t="s">
        <v>4606</v>
      </c>
      <c r="AE93" s="39" t="s">
        <v>134</v>
      </c>
      <c r="AF93" s="39">
        <v>27</v>
      </c>
      <c r="AG93" s="42">
        <v>6.7699999999999996E-2</v>
      </c>
      <c r="AH93" s="42">
        <v>246</v>
      </c>
      <c r="AI93" s="42">
        <v>0.13869999999999999</v>
      </c>
      <c r="AJ93" s="42" t="s">
        <v>5174</v>
      </c>
      <c r="AK93" s="42">
        <v>0.2077</v>
      </c>
      <c r="AL93" s="39" t="s">
        <v>5175</v>
      </c>
      <c r="AM93" s="42">
        <v>1.6799999999999999E-2</v>
      </c>
      <c r="AN93" s="42">
        <v>0.1041</v>
      </c>
      <c r="AO93" s="41">
        <v>60</v>
      </c>
      <c r="AP93" s="39">
        <v>35</v>
      </c>
      <c r="AQ93" s="39">
        <v>53</v>
      </c>
      <c r="AR93" s="45">
        <v>2201</v>
      </c>
      <c r="AS93" s="39">
        <v>10</v>
      </c>
      <c r="AT93" s="39" t="s">
        <v>129</v>
      </c>
      <c r="AU93" s="39">
        <v>31</v>
      </c>
      <c r="AV93" s="39" t="s">
        <v>6320</v>
      </c>
      <c r="AW93" s="39">
        <v>2020.8</v>
      </c>
      <c r="AX93" s="39">
        <v>2037.85</v>
      </c>
      <c r="AY93" s="39">
        <v>2060.75</v>
      </c>
      <c r="AZ93" s="39">
        <v>1980.85</v>
      </c>
      <c r="BA93" s="39">
        <v>1957.95</v>
      </c>
      <c r="BB93" s="39">
        <v>1940.9</v>
      </c>
      <c r="BC93" s="39">
        <v>4</v>
      </c>
      <c r="BD93" s="39">
        <v>6</v>
      </c>
      <c r="BE93" s="39">
        <v>4</v>
      </c>
      <c r="BF93" s="39" t="s">
        <v>130</v>
      </c>
      <c r="BG93" s="48">
        <v>1001.2</v>
      </c>
      <c r="BH93" s="39">
        <v>0.5</v>
      </c>
      <c r="BI93" s="39" t="s">
        <v>131</v>
      </c>
      <c r="BJ93" s="39" t="s">
        <v>4563</v>
      </c>
    </row>
    <row r="94" spans="1:62" x14ac:dyDescent="0.35">
      <c r="A94" s="39" t="s">
        <v>890</v>
      </c>
      <c r="B94" s="39" t="str">
        <f>IFERROR(INDEX(added_new_stocks!$F$6:$H$2155,MATCH($A94,added_new_stocks!$F$6:$F$2600,0),3),"")</f>
        <v>Mid</v>
      </c>
      <c r="C94" s="48">
        <v>2250.25</v>
      </c>
      <c r="D94" s="48">
        <v>57</v>
      </c>
      <c r="G94" s="39" t="s">
        <v>4562</v>
      </c>
      <c r="H94" s="39" t="s">
        <v>6884</v>
      </c>
      <c r="I94" s="39" t="s">
        <v>4624</v>
      </c>
      <c r="J94" s="39" t="s">
        <v>6885</v>
      </c>
      <c r="K94" s="39" t="s">
        <v>133</v>
      </c>
      <c r="L94" s="39" t="s">
        <v>4998</v>
      </c>
      <c r="M94" s="39" t="s">
        <v>4959</v>
      </c>
      <c r="N94" s="39">
        <v>6</v>
      </c>
      <c r="O94" s="39">
        <v>-13</v>
      </c>
      <c r="P94" s="39">
        <v>-7</v>
      </c>
      <c r="Q94" s="39" t="s">
        <v>4605</v>
      </c>
      <c r="R94" s="39">
        <v>-3.03</v>
      </c>
      <c r="S94" s="39">
        <v>-5.25</v>
      </c>
      <c r="T94" s="39">
        <v>11.98</v>
      </c>
      <c r="U94" s="39">
        <v>35.380000000000003</v>
      </c>
      <c r="V94" s="39">
        <v>70.430000000000007</v>
      </c>
      <c r="W94" s="39">
        <v>103.97</v>
      </c>
      <c r="X94" s="39">
        <v>110.69</v>
      </c>
      <c r="Y94" s="39" t="s">
        <v>4538</v>
      </c>
      <c r="Z94" s="39" t="s">
        <v>4538</v>
      </c>
      <c r="AA94" s="39" t="s">
        <v>4538</v>
      </c>
      <c r="AB94" s="39" t="s">
        <v>4538</v>
      </c>
      <c r="AC94" s="39" t="s">
        <v>4538</v>
      </c>
      <c r="AD94" s="39" t="s">
        <v>4606</v>
      </c>
      <c r="AE94" s="39" t="s">
        <v>134</v>
      </c>
      <c r="AF94" s="39">
        <v>17</v>
      </c>
      <c r="AG94" s="42">
        <v>8.14E-2</v>
      </c>
      <c r="AH94" s="42">
        <v>59</v>
      </c>
      <c r="AI94" s="42">
        <v>5.3199999999999997E-2</v>
      </c>
      <c r="AJ94" s="42" t="s">
        <v>6886</v>
      </c>
      <c r="AK94" s="42">
        <v>0.22800000000000001</v>
      </c>
      <c r="AL94" s="42" t="s">
        <v>6887</v>
      </c>
      <c r="AM94" s="42">
        <v>0.1071</v>
      </c>
      <c r="AN94" s="42">
        <v>0.2034</v>
      </c>
      <c r="AO94" s="41">
        <v>50</v>
      </c>
      <c r="AP94" s="39">
        <v>7</v>
      </c>
      <c r="AQ94" s="39">
        <v>73</v>
      </c>
      <c r="AR94" s="45">
        <v>2190</v>
      </c>
      <c r="AS94" s="39">
        <v>-6</v>
      </c>
      <c r="AT94" s="39" t="s">
        <v>129</v>
      </c>
      <c r="AU94" s="39">
        <v>5</v>
      </c>
      <c r="AV94" s="39" t="s">
        <v>6321</v>
      </c>
      <c r="AW94" s="39">
        <v>2374.83</v>
      </c>
      <c r="AX94" s="39">
        <v>2423.62</v>
      </c>
      <c r="AY94" s="39">
        <v>2453.5300000000002</v>
      </c>
      <c r="AZ94" s="39">
        <v>2296.13</v>
      </c>
      <c r="BA94" s="39">
        <v>2266.2199999999998</v>
      </c>
      <c r="BB94" s="39">
        <v>2217.4299999999998</v>
      </c>
      <c r="BC94" s="39">
        <v>10</v>
      </c>
      <c r="BD94" s="39">
        <v>8</v>
      </c>
      <c r="BE94" s="39">
        <v>4</v>
      </c>
      <c r="BF94" s="39" t="s">
        <v>130</v>
      </c>
      <c r="BG94" s="39">
        <v>337</v>
      </c>
      <c r="BH94" s="39">
        <v>0.1</v>
      </c>
      <c r="BI94" s="39" t="s">
        <v>4563</v>
      </c>
      <c r="BJ94" s="39" t="s">
        <v>132</v>
      </c>
    </row>
    <row r="95" spans="1:62" x14ac:dyDescent="0.35">
      <c r="A95" s="39" t="s">
        <v>1283</v>
      </c>
      <c r="B95" s="39" t="str">
        <f>IFERROR(INDEX(added_new_stocks!$F$6:$H$2155,MATCH($A95,added_new_stocks!$F$6:$F$2600,0),3),"")</f>
        <v>Small</v>
      </c>
      <c r="C95" s="39">
        <v>117.65</v>
      </c>
      <c r="D95" s="48">
        <v>74</v>
      </c>
      <c r="G95" s="39" t="s">
        <v>129</v>
      </c>
      <c r="H95" s="39" t="s">
        <v>6888</v>
      </c>
      <c r="I95" s="39" t="s">
        <v>4989</v>
      </c>
      <c r="J95" s="39" t="s">
        <v>6889</v>
      </c>
      <c r="K95" s="39" t="s">
        <v>133</v>
      </c>
      <c r="L95" s="39" t="s">
        <v>6890</v>
      </c>
      <c r="M95" s="39" t="s">
        <v>4955</v>
      </c>
      <c r="N95" s="39">
        <v>11</v>
      </c>
      <c r="O95" s="39">
        <v>-4</v>
      </c>
      <c r="P95" s="39">
        <v>7</v>
      </c>
      <c r="Q95" s="39" t="s">
        <v>14</v>
      </c>
      <c r="R95" s="39">
        <v>0.77</v>
      </c>
      <c r="S95" s="39">
        <v>1.47</v>
      </c>
      <c r="T95" s="39">
        <v>-8.48</v>
      </c>
      <c r="U95" s="39">
        <v>1.1599999999999999</v>
      </c>
      <c r="V95" s="39">
        <v>5</v>
      </c>
      <c r="W95" s="39">
        <v>-7.14</v>
      </c>
      <c r="X95" s="39">
        <v>24.63</v>
      </c>
      <c r="Y95" s="39">
        <v>28.02</v>
      </c>
      <c r="Z95" s="39">
        <v>24.5</v>
      </c>
      <c r="AA95" s="39">
        <v>-43.44</v>
      </c>
      <c r="AB95" s="39">
        <v>-32.75</v>
      </c>
      <c r="AC95" s="39">
        <v>188.71</v>
      </c>
      <c r="AD95" s="39" t="s">
        <v>5015</v>
      </c>
      <c r="AE95" s="39" t="s">
        <v>134</v>
      </c>
      <c r="AF95" s="39">
        <v>14</v>
      </c>
      <c r="AG95" s="42">
        <v>0.27500000000000002</v>
      </c>
      <c r="AH95" s="42">
        <v>114</v>
      </c>
      <c r="AI95" s="42">
        <v>0.123</v>
      </c>
      <c r="AJ95" s="42" t="s">
        <v>6891</v>
      </c>
      <c r="AK95" s="42">
        <v>0.14030000000000001</v>
      </c>
      <c r="AL95" s="42" t="s">
        <v>5650</v>
      </c>
      <c r="AM95" s="42">
        <v>4.9399999999999999E-2</v>
      </c>
      <c r="AN95" s="42">
        <v>0.23</v>
      </c>
      <c r="AO95" s="41">
        <v>50</v>
      </c>
      <c r="AP95" s="39">
        <v>65</v>
      </c>
      <c r="AQ95" s="39">
        <v>43</v>
      </c>
      <c r="AR95" s="39">
        <v>145</v>
      </c>
      <c r="AS95" s="39">
        <v>26</v>
      </c>
      <c r="AT95" s="39" t="s">
        <v>129</v>
      </c>
      <c r="AU95" s="39">
        <v>15</v>
      </c>
      <c r="AV95" s="39" t="s">
        <v>6322</v>
      </c>
      <c r="AW95" s="39">
        <v>116.65</v>
      </c>
      <c r="AX95" s="39">
        <v>118.2</v>
      </c>
      <c r="AY95" s="39">
        <v>119.1</v>
      </c>
      <c r="AZ95" s="39">
        <v>114.2</v>
      </c>
      <c r="BA95" s="39">
        <v>113.3</v>
      </c>
      <c r="BB95" s="39">
        <v>111.75</v>
      </c>
      <c r="BC95" s="39">
        <v>9</v>
      </c>
      <c r="BD95" s="39">
        <v>6</v>
      </c>
      <c r="BE95" s="39">
        <v>6</v>
      </c>
      <c r="BF95" s="39" t="s">
        <v>130</v>
      </c>
      <c r="BG95" s="39">
        <v>221.2</v>
      </c>
      <c r="BH95" s="39">
        <v>1.9</v>
      </c>
      <c r="BI95" s="39" t="s">
        <v>4563</v>
      </c>
      <c r="BJ95" s="39" t="s">
        <v>4563</v>
      </c>
    </row>
    <row r="96" spans="1:62" x14ac:dyDescent="0.35">
      <c r="A96" s="39" t="s">
        <v>928</v>
      </c>
      <c r="B96" s="39" t="str">
        <f>IFERROR(INDEX(added_new_stocks!$F$6:$H$2155,MATCH($A96,added_new_stocks!$F$6:$F$2600,0),3),"")</f>
        <v>Mid</v>
      </c>
      <c r="C96" s="39">
        <v>602.45000000000005</v>
      </c>
      <c r="D96" s="39">
        <v>31</v>
      </c>
      <c r="G96" s="39" t="s">
        <v>4625</v>
      </c>
      <c r="H96" s="39" t="s">
        <v>6892</v>
      </c>
      <c r="I96" s="39" t="s">
        <v>4976</v>
      </c>
      <c r="J96" s="39" t="s">
        <v>6893</v>
      </c>
      <c r="K96" s="39" t="s">
        <v>4615</v>
      </c>
      <c r="L96" s="39" t="s">
        <v>6894</v>
      </c>
      <c r="N96" s="39">
        <v>1</v>
      </c>
      <c r="O96" s="39">
        <v>-30</v>
      </c>
      <c r="P96" s="39">
        <v>-29</v>
      </c>
      <c r="Q96" s="39" t="s">
        <v>5026</v>
      </c>
      <c r="R96" s="39">
        <v>3.14</v>
      </c>
      <c r="S96" s="39">
        <v>5.08</v>
      </c>
      <c r="T96" s="39">
        <v>9.07</v>
      </c>
      <c r="U96" s="39">
        <v>11.5</v>
      </c>
      <c r="V96" s="39">
        <v>-5.56</v>
      </c>
      <c r="W96" s="39">
        <v>-15.76</v>
      </c>
      <c r="X96" s="39">
        <v>-34.159999999999997</v>
      </c>
      <c r="Y96" s="39">
        <v>44.58</v>
      </c>
      <c r="Z96" s="39">
        <v>244.45</v>
      </c>
      <c r="AA96" s="39">
        <v>663.08</v>
      </c>
      <c r="AB96" s="39">
        <v>135.69999999999999</v>
      </c>
      <c r="AC96" s="39">
        <v>609.17999999999995</v>
      </c>
      <c r="AD96" s="39" t="s">
        <v>4606</v>
      </c>
      <c r="AE96" s="39">
        <v>22.55</v>
      </c>
      <c r="AF96" s="39">
        <v>9</v>
      </c>
      <c r="AG96" s="42">
        <v>1.37E-2</v>
      </c>
      <c r="AH96" s="42">
        <v>112</v>
      </c>
      <c r="AI96" s="42">
        <v>9.5799999999999996E-2</v>
      </c>
      <c r="AJ96" s="42" t="s">
        <v>6895</v>
      </c>
      <c r="AK96" s="42">
        <v>0.3453</v>
      </c>
      <c r="AL96" s="42" t="s">
        <v>5149</v>
      </c>
      <c r="AM96" s="42">
        <v>3.8600000000000002E-2</v>
      </c>
      <c r="AN96" s="42">
        <v>0.31659999999999999</v>
      </c>
      <c r="AO96" s="41">
        <v>50</v>
      </c>
      <c r="AP96" s="39">
        <v>66</v>
      </c>
      <c r="AQ96" s="39">
        <v>38</v>
      </c>
      <c r="AR96" s="39">
        <v>703</v>
      </c>
      <c r="AS96" s="39">
        <v>26</v>
      </c>
      <c r="AT96" s="39" t="s">
        <v>4633</v>
      </c>
      <c r="AU96" s="39">
        <v>2</v>
      </c>
      <c r="AV96" s="39" t="s">
        <v>6323</v>
      </c>
      <c r="AW96" s="39">
        <v>564.13</v>
      </c>
      <c r="AX96" s="39">
        <v>571.02</v>
      </c>
      <c r="AY96" s="39">
        <v>575.48</v>
      </c>
      <c r="AZ96" s="39">
        <v>552.78</v>
      </c>
      <c r="BA96" s="39">
        <v>548.32000000000005</v>
      </c>
      <c r="BB96" s="39">
        <v>541.42999999999995</v>
      </c>
      <c r="BC96" s="39">
        <v>8</v>
      </c>
      <c r="BD96" s="39">
        <v>2</v>
      </c>
      <c r="BE96" s="39" t="s">
        <v>130</v>
      </c>
      <c r="BF96" s="39">
        <v>-0.21</v>
      </c>
      <c r="BG96" s="39">
        <v>7</v>
      </c>
      <c r="BH96" s="39">
        <v>806.1</v>
      </c>
      <c r="BI96" s="39" t="s">
        <v>4563</v>
      </c>
      <c r="BJ96" s="39" t="s">
        <v>4563</v>
      </c>
    </row>
    <row r="97" spans="1:62" x14ac:dyDescent="0.35">
      <c r="A97" s="39" t="s">
        <v>516</v>
      </c>
      <c r="B97" s="39" t="str">
        <f>IFERROR(INDEX(added_new_stocks!$F$6:$H$2155,MATCH($A97,added_new_stocks!$F$6:$F$2600,0),3),"")</f>
        <v>Large</v>
      </c>
      <c r="C97" s="48">
        <v>2217.15</v>
      </c>
      <c r="D97" s="39">
        <v>63</v>
      </c>
      <c r="G97" s="39" t="s">
        <v>4562</v>
      </c>
      <c r="H97" s="39" t="s">
        <v>6896</v>
      </c>
      <c r="I97" s="39" t="s">
        <v>4624</v>
      </c>
      <c r="J97" s="39" t="s">
        <v>6897</v>
      </c>
      <c r="K97" s="39" t="s">
        <v>4957</v>
      </c>
      <c r="L97" s="39" t="s">
        <v>6898</v>
      </c>
      <c r="M97" s="39" t="s">
        <v>4620</v>
      </c>
      <c r="N97" s="39">
        <v>1</v>
      </c>
      <c r="O97" s="39">
        <v>-23</v>
      </c>
      <c r="P97" s="39">
        <v>-22</v>
      </c>
      <c r="Q97" s="39" t="s">
        <v>5026</v>
      </c>
      <c r="R97" s="39">
        <v>2.2599999999999998</v>
      </c>
      <c r="S97" s="39">
        <v>11.12</v>
      </c>
      <c r="T97" s="39">
        <v>10.19</v>
      </c>
      <c r="U97" s="39">
        <v>6.97</v>
      </c>
      <c r="V97" s="39">
        <v>21.36</v>
      </c>
      <c r="W97" s="39">
        <v>11.66</v>
      </c>
      <c r="X97" s="39">
        <v>12.01</v>
      </c>
      <c r="Y97" s="39">
        <v>-2.3199999999999998</v>
      </c>
      <c r="Z97" s="39">
        <v>196.59</v>
      </c>
      <c r="AA97" s="39">
        <v>704.04</v>
      </c>
      <c r="AB97" s="39">
        <v>755.22</v>
      </c>
      <c r="AC97" s="39">
        <v>9964.23</v>
      </c>
      <c r="AD97" s="39" t="s">
        <v>4606</v>
      </c>
      <c r="AE97" s="39" t="s">
        <v>134</v>
      </c>
      <c r="AF97" s="39">
        <v>16</v>
      </c>
      <c r="AG97" s="42">
        <v>7.7399999999999997E-2</v>
      </c>
      <c r="AH97" s="42">
        <v>168</v>
      </c>
      <c r="AI97" s="42">
        <v>8.0799999999999997E-2</v>
      </c>
      <c r="AJ97" s="42" t="s">
        <v>6899</v>
      </c>
      <c r="AK97" s="42">
        <v>0.16020000000000001</v>
      </c>
      <c r="AL97" s="42" t="s">
        <v>136</v>
      </c>
      <c r="AM97" s="42">
        <v>6.7900000000000002E-2</v>
      </c>
      <c r="AN97" s="42">
        <v>0.2356</v>
      </c>
      <c r="AO97" s="41">
        <v>70</v>
      </c>
      <c r="AP97" s="39">
        <v>22</v>
      </c>
      <c r="AQ97" s="39">
        <v>47</v>
      </c>
      <c r="AR97" s="45">
        <v>2088</v>
      </c>
      <c r="AS97" s="39">
        <v>3</v>
      </c>
      <c r="AT97" s="39" t="s">
        <v>4562</v>
      </c>
      <c r="AU97" s="39">
        <v>14</v>
      </c>
      <c r="AV97" s="39" t="s">
        <v>6324</v>
      </c>
      <c r="AW97" s="39">
        <v>2031.43</v>
      </c>
      <c r="AX97" s="39">
        <v>2044.37</v>
      </c>
      <c r="AY97" s="39">
        <v>2063.7800000000002</v>
      </c>
      <c r="AZ97" s="39">
        <v>1999.08</v>
      </c>
      <c r="BA97" s="39">
        <v>1979.67</v>
      </c>
      <c r="BB97" s="39">
        <v>1966.73</v>
      </c>
      <c r="BC97" s="39">
        <v>5</v>
      </c>
      <c r="BD97" s="39">
        <v>6</v>
      </c>
      <c r="BE97" s="39">
        <v>2</v>
      </c>
      <c r="BF97" s="39" t="s">
        <v>130</v>
      </c>
      <c r="BG97" s="39">
        <v>616</v>
      </c>
      <c r="BH97" s="39">
        <v>0.3</v>
      </c>
      <c r="BI97" s="39" t="s">
        <v>4563</v>
      </c>
      <c r="BJ97" s="39" t="s">
        <v>132</v>
      </c>
    </row>
    <row r="98" spans="1:62" x14ac:dyDescent="0.35">
      <c r="A98" s="39" t="s">
        <v>615</v>
      </c>
      <c r="B98" s="39" t="str">
        <f>IFERROR(INDEX(added_new_stocks!$F$6:$H$2155,MATCH($A98,added_new_stocks!$F$6:$F$2600,0),3),"")</f>
        <v>Mid</v>
      </c>
      <c r="C98" s="39">
        <v>194.85</v>
      </c>
      <c r="D98" s="48">
        <v>52</v>
      </c>
      <c r="G98" s="39" t="s">
        <v>4562</v>
      </c>
      <c r="H98" s="39" t="s">
        <v>6900</v>
      </c>
      <c r="I98" s="39" t="s">
        <v>4989</v>
      </c>
      <c r="J98" s="39" t="s">
        <v>6901</v>
      </c>
      <c r="K98" s="39" t="s">
        <v>4615</v>
      </c>
      <c r="L98" s="39" t="s">
        <v>5008</v>
      </c>
      <c r="N98" s="39">
        <v>10</v>
      </c>
      <c r="O98" s="39">
        <v>-11</v>
      </c>
      <c r="P98" s="39">
        <v>-1</v>
      </c>
      <c r="Q98" s="39" t="s">
        <v>4611</v>
      </c>
      <c r="R98" s="39">
        <v>1.88</v>
      </c>
      <c r="S98" s="39">
        <v>-0.18</v>
      </c>
      <c r="T98" s="39">
        <v>-1.02</v>
      </c>
      <c r="U98" s="39">
        <v>7.03</v>
      </c>
      <c r="V98" s="39">
        <v>28.23</v>
      </c>
      <c r="W98" s="39">
        <v>7.83</v>
      </c>
      <c r="X98" s="39">
        <v>5.87</v>
      </c>
      <c r="Y98" s="39">
        <v>61.17</v>
      </c>
      <c r="Z98" s="39" t="s">
        <v>4538</v>
      </c>
      <c r="AA98" s="39" t="s">
        <v>4538</v>
      </c>
      <c r="AB98" s="39" t="s">
        <v>4538</v>
      </c>
      <c r="AC98" s="39" t="s">
        <v>4538</v>
      </c>
      <c r="AD98" s="39" t="s">
        <v>4606</v>
      </c>
      <c r="AE98" s="39" t="s">
        <v>134</v>
      </c>
      <c r="AF98" s="39">
        <v>21</v>
      </c>
      <c r="AG98" s="42">
        <v>6.0900000000000003E-2</v>
      </c>
      <c r="AH98" s="42">
        <v>148</v>
      </c>
      <c r="AI98" s="42">
        <v>0.1205</v>
      </c>
      <c r="AJ98" s="42" t="s">
        <v>6902</v>
      </c>
      <c r="AK98" s="42">
        <v>0.59319999999999995</v>
      </c>
      <c r="AL98" s="42" t="s">
        <v>6903</v>
      </c>
      <c r="AM98" s="42">
        <v>4.41E-2</v>
      </c>
      <c r="AN98" s="42">
        <v>4.6399999999999997E-2</v>
      </c>
      <c r="AO98" s="41">
        <v>60</v>
      </c>
      <c r="AP98" s="39">
        <v>11</v>
      </c>
      <c r="AQ98" s="39">
        <v>58</v>
      </c>
      <c r="AR98" s="39">
        <v>203</v>
      </c>
      <c r="AS98" s="39">
        <v>6</v>
      </c>
      <c r="AT98" s="39" t="s">
        <v>4562</v>
      </c>
      <c r="AU98" s="39">
        <v>19</v>
      </c>
      <c r="AV98" s="39" t="s">
        <v>6325</v>
      </c>
      <c r="AW98" s="39">
        <v>193.67</v>
      </c>
      <c r="AX98" s="39">
        <v>195.98</v>
      </c>
      <c r="AY98" s="39">
        <v>197.57</v>
      </c>
      <c r="AZ98" s="39">
        <v>189.77</v>
      </c>
      <c r="BA98" s="39">
        <v>188.18</v>
      </c>
      <c r="BB98" s="39">
        <v>185.87</v>
      </c>
      <c r="BC98" s="39">
        <v>10</v>
      </c>
      <c r="BD98" s="39">
        <v>4</v>
      </c>
      <c r="BE98" s="39">
        <v>4</v>
      </c>
      <c r="BF98" s="39" t="s">
        <v>130</v>
      </c>
      <c r="BG98" s="39">
        <v>17.399999999999999</v>
      </c>
      <c r="BH98" s="39">
        <v>0.1</v>
      </c>
      <c r="BJ98" s="39" t="s">
        <v>132</v>
      </c>
    </row>
    <row r="99" spans="1:62" x14ac:dyDescent="0.35">
      <c r="A99" s="39" t="s">
        <v>1631</v>
      </c>
      <c r="B99" s="39" t="str">
        <f>IFERROR(INDEX(added_new_stocks!$F$6:$H$2155,MATCH($A99,added_new_stocks!$F$6:$F$2600,0),3),"")</f>
        <v>Small</v>
      </c>
      <c r="C99" s="39">
        <v>927.9</v>
      </c>
      <c r="D99" s="39">
        <v>64</v>
      </c>
      <c r="G99" s="39" t="s">
        <v>4562</v>
      </c>
      <c r="H99" s="39" t="s">
        <v>6904</v>
      </c>
      <c r="I99" s="39" t="s">
        <v>4624</v>
      </c>
      <c r="J99" s="39" t="s">
        <v>6905</v>
      </c>
      <c r="K99" s="39" t="s">
        <v>4615</v>
      </c>
      <c r="L99" s="39" t="s">
        <v>6906</v>
      </c>
      <c r="M99" s="39" t="s">
        <v>4959</v>
      </c>
      <c r="N99" s="39">
        <v>18</v>
      </c>
      <c r="O99" s="39">
        <v>-1</v>
      </c>
      <c r="P99" s="39">
        <v>17</v>
      </c>
      <c r="Q99" s="39" t="s">
        <v>14</v>
      </c>
      <c r="R99" s="39">
        <v>-1.01</v>
      </c>
      <c r="S99" s="39">
        <v>5.64</v>
      </c>
      <c r="T99" s="39">
        <v>10.37</v>
      </c>
      <c r="U99" s="39">
        <v>14.39</v>
      </c>
      <c r="V99" s="39">
        <v>18.260000000000002</v>
      </c>
      <c r="W99" s="39">
        <v>1.9</v>
      </c>
      <c r="X99" s="39">
        <v>15.17</v>
      </c>
      <c r="Y99" s="39">
        <v>39.9</v>
      </c>
      <c r="Z99" s="39">
        <v>48.38</v>
      </c>
      <c r="AA99" s="39">
        <v>17.510000000000002</v>
      </c>
      <c r="AB99" s="39">
        <v>-18.920000000000002</v>
      </c>
      <c r="AC99" s="39" t="s">
        <v>4538</v>
      </c>
      <c r="AD99" s="39" t="s">
        <v>4606</v>
      </c>
      <c r="AE99" s="39" t="s">
        <v>134</v>
      </c>
      <c r="AF99" s="39">
        <v>4</v>
      </c>
      <c r="AG99" s="42">
        <v>8.1299999999999997E-2</v>
      </c>
      <c r="AH99" s="42">
        <v>22</v>
      </c>
      <c r="AI99" s="42">
        <v>3.3599999999999998E-2</v>
      </c>
      <c r="AJ99" s="42" t="s">
        <v>6907</v>
      </c>
      <c r="AK99" s="42">
        <v>0.3518</v>
      </c>
      <c r="AL99" s="42" t="s">
        <v>6908</v>
      </c>
      <c r="AM99" s="42">
        <v>4.8500000000000001E-2</v>
      </c>
      <c r="AN99" s="42">
        <v>0.1084</v>
      </c>
      <c r="AO99" s="41">
        <v>70</v>
      </c>
      <c r="AP99" s="39">
        <v>46</v>
      </c>
      <c r="AQ99" s="39">
        <v>57</v>
      </c>
      <c r="AR99" s="45">
        <v>1143</v>
      </c>
      <c r="AS99" s="39">
        <v>26</v>
      </c>
      <c r="AT99" s="39" t="s">
        <v>4633</v>
      </c>
      <c r="AU99" s="39">
        <v>2</v>
      </c>
      <c r="AV99" s="39" t="s">
        <v>6326</v>
      </c>
      <c r="AW99" s="39">
        <v>916.62</v>
      </c>
      <c r="AX99" s="39">
        <v>927.83</v>
      </c>
      <c r="AY99" s="39">
        <v>939.62</v>
      </c>
      <c r="AZ99" s="39">
        <v>893.62</v>
      </c>
      <c r="BA99" s="39">
        <v>881.83</v>
      </c>
      <c r="BB99" s="39">
        <v>870.62</v>
      </c>
      <c r="BC99" s="39">
        <v>4</v>
      </c>
      <c r="BD99" s="39">
        <v>3</v>
      </c>
      <c r="BE99" s="39" t="s">
        <v>130</v>
      </c>
      <c r="BF99" s="39">
        <v>-0.63</v>
      </c>
      <c r="BG99" s="39">
        <v>9</v>
      </c>
      <c r="BH99" s="39">
        <v>325.3</v>
      </c>
      <c r="BI99" s="39" t="s">
        <v>131</v>
      </c>
      <c r="BJ99" s="39" t="s">
        <v>4563</v>
      </c>
    </row>
    <row r="100" spans="1:62" x14ac:dyDescent="0.35">
      <c r="A100" s="39" t="s">
        <v>1532</v>
      </c>
      <c r="B100" s="39" t="str">
        <f>IFERROR(INDEX(added_new_stocks!$F$6:$H$2155,MATCH($A100,added_new_stocks!$F$6:$F$2600,0),3),"")</f>
        <v>Small</v>
      </c>
      <c r="C100" s="39">
        <v>912.9</v>
      </c>
      <c r="D100" s="39">
        <v>40</v>
      </c>
      <c r="G100" s="39" t="s">
        <v>4625</v>
      </c>
      <c r="H100" s="39" t="s">
        <v>6909</v>
      </c>
      <c r="I100" s="39" t="s">
        <v>4989</v>
      </c>
      <c r="J100" s="39" t="s">
        <v>6910</v>
      </c>
      <c r="K100" s="39" t="s">
        <v>133</v>
      </c>
      <c r="L100" s="39" t="s">
        <v>4998</v>
      </c>
      <c r="M100" s="39" t="s">
        <v>4959</v>
      </c>
      <c r="N100" s="39">
        <v>0</v>
      </c>
      <c r="O100" s="39">
        <v>-12</v>
      </c>
      <c r="P100" s="39">
        <v>-12</v>
      </c>
      <c r="Q100" s="39" t="s">
        <v>4605</v>
      </c>
      <c r="R100" s="39">
        <v>1.39</v>
      </c>
      <c r="S100" s="39">
        <v>-0.01</v>
      </c>
      <c r="T100" s="39">
        <v>2.4700000000000002</v>
      </c>
      <c r="U100" s="39">
        <v>10.25</v>
      </c>
      <c r="V100" s="39" t="s">
        <v>4538</v>
      </c>
      <c r="W100" s="39" t="s">
        <v>4538</v>
      </c>
      <c r="X100" s="39" t="s">
        <v>4538</v>
      </c>
      <c r="Y100" s="39" t="s">
        <v>4538</v>
      </c>
      <c r="Z100" s="39" t="s">
        <v>4538</v>
      </c>
      <c r="AA100" s="39" t="s">
        <v>4538</v>
      </c>
      <c r="AB100" s="39" t="s">
        <v>4538</v>
      </c>
      <c r="AC100" s="39" t="s">
        <v>4538</v>
      </c>
      <c r="AD100" s="39" t="s">
        <v>4606</v>
      </c>
      <c r="AE100" s="39" t="s">
        <v>134</v>
      </c>
      <c r="AF100" s="39">
        <v>5</v>
      </c>
      <c r="AG100" s="42">
        <v>0.1216</v>
      </c>
      <c r="AH100" s="42">
        <v>12</v>
      </c>
      <c r="AI100" s="42">
        <v>3.09E-2</v>
      </c>
      <c r="AJ100" s="42" t="s">
        <v>6911</v>
      </c>
      <c r="AK100" s="42">
        <v>0.5161</v>
      </c>
      <c r="AL100" s="42" t="s">
        <v>6912</v>
      </c>
      <c r="AM100" s="42">
        <v>0.12189999999999999</v>
      </c>
      <c r="AN100" s="42">
        <v>5.5100000000000003E-2</v>
      </c>
      <c r="AO100" s="41" t="s">
        <v>130</v>
      </c>
      <c r="AP100" s="39">
        <v>7</v>
      </c>
      <c r="AQ100" s="39">
        <v>37</v>
      </c>
      <c r="AS100" s="39" t="s">
        <v>4564</v>
      </c>
      <c r="AW100" s="39">
        <v>921.33</v>
      </c>
      <c r="AX100" s="39">
        <v>946.72</v>
      </c>
      <c r="AY100" s="39">
        <v>963.63</v>
      </c>
      <c r="AZ100" s="39">
        <v>879.03</v>
      </c>
      <c r="BA100" s="39">
        <v>862.12</v>
      </c>
      <c r="BB100" s="39">
        <v>836.73</v>
      </c>
      <c r="BC100" s="39">
        <v>0.11</v>
      </c>
      <c r="BD100" s="39">
        <v>560</v>
      </c>
      <c r="BE100" s="45">
        <v>1002</v>
      </c>
      <c r="BG100" s="39">
        <v>-1.55</v>
      </c>
      <c r="BI100" s="39" t="s">
        <v>4695</v>
      </c>
    </row>
    <row r="101" spans="1:62" x14ac:dyDescent="0.35">
      <c r="A101" s="39" t="s">
        <v>288</v>
      </c>
      <c r="B101" s="39" t="str">
        <f>IFERROR(INDEX(added_new_stocks!$F$6:$H$2155,MATCH($A101,added_new_stocks!$F$6:$F$2600,0),3),"")</f>
        <v>Large</v>
      </c>
      <c r="C101" s="48">
        <v>3629.6</v>
      </c>
      <c r="D101" s="39">
        <v>50</v>
      </c>
      <c r="G101" s="39" t="s">
        <v>4562</v>
      </c>
      <c r="H101" s="39" t="s">
        <v>6913</v>
      </c>
      <c r="I101" s="39" t="s">
        <v>4989</v>
      </c>
      <c r="J101" s="39" t="s">
        <v>6914</v>
      </c>
      <c r="K101" s="39" t="s">
        <v>133</v>
      </c>
      <c r="L101" s="39" t="s">
        <v>6915</v>
      </c>
      <c r="M101" s="39" t="s">
        <v>4959</v>
      </c>
      <c r="N101" s="39">
        <v>1</v>
      </c>
      <c r="O101" s="39">
        <v>-19</v>
      </c>
      <c r="P101" s="39">
        <v>-18</v>
      </c>
      <c r="Q101" s="39" t="s">
        <v>4605</v>
      </c>
      <c r="R101" s="39">
        <v>-0.57999999999999996</v>
      </c>
      <c r="S101" s="39">
        <v>-2.04</v>
      </c>
      <c r="T101" s="39">
        <v>-2.86</v>
      </c>
      <c r="U101" s="39">
        <v>4.9400000000000004</v>
      </c>
      <c r="V101" s="39">
        <v>26.86</v>
      </c>
      <c r="W101" s="39">
        <v>6.36</v>
      </c>
      <c r="X101" s="39">
        <v>0.13</v>
      </c>
      <c r="Y101" s="39">
        <v>-28.94</v>
      </c>
      <c r="Z101" s="39">
        <v>10.94</v>
      </c>
      <c r="AA101" s="39">
        <v>122.83</v>
      </c>
      <c r="AB101" s="39">
        <v>178.95</v>
      </c>
      <c r="AC101" s="39">
        <v>632.54999999999995</v>
      </c>
      <c r="AD101" s="39" t="s">
        <v>4606</v>
      </c>
      <c r="AE101" s="39" t="s">
        <v>134</v>
      </c>
      <c r="AF101" s="39">
        <v>31</v>
      </c>
      <c r="AG101" s="42">
        <v>0.13200000000000001</v>
      </c>
      <c r="AH101" s="42">
        <v>642</v>
      </c>
      <c r="AI101" s="42">
        <v>0.14699999999999999</v>
      </c>
      <c r="AJ101" s="42" t="s">
        <v>6916</v>
      </c>
      <c r="AK101" s="42">
        <v>0.2034</v>
      </c>
      <c r="AL101" s="42" t="s">
        <v>5261</v>
      </c>
      <c r="AM101" s="42">
        <v>7.8E-2</v>
      </c>
      <c r="AN101" s="42">
        <v>9.2700000000000005E-2</v>
      </c>
      <c r="AO101" s="41">
        <v>50</v>
      </c>
      <c r="AP101" s="39">
        <v>13</v>
      </c>
      <c r="AQ101" s="39">
        <v>51</v>
      </c>
      <c r="AR101" s="45">
        <v>3325</v>
      </c>
      <c r="AS101" s="39">
        <v>-9</v>
      </c>
      <c r="AT101" s="39" t="s">
        <v>4625</v>
      </c>
      <c r="AU101" s="39">
        <v>23</v>
      </c>
      <c r="AV101" s="39" t="s">
        <v>6327</v>
      </c>
      <c r="AW101" s="39">
        <v>3654.95</v>
      </c>
      <c r="AX101" s="39">
        <v>3673.4</v>
      </c>
      <c r="AY101" s="39">
        <v>3692.85</v>
      </c>
      <c r="AZ101" s="39">
        <v>3617.05</v>
      </c>
      <c r="BA101" s="39">
        <v>3597.6</v>
      </c>
      <c r="BB101" s="39">
        <v>3579.15</v>
      </c>
      <c r="BC101" s="39">
        <v>6</v>
      </c>
      <c r="BD101" s="39">
        <v>5</v>
      </c>
      <c r="BE101" s="39">
        <v>3</v>
      </c>
      <c r="BF101" s="39" t="s">
        <v>130</v>
      </c>
      <c r="BG101" s="39">
        <v>776</v>
      </c>
      <c r="BH101" s="39">
        <v>0.2</v>
      </c>
      <c r="BI101" s="39" t="s">
        <v>131</v>
      </c>
      <c r="BJ101" s="39" t="s">
        <v>132</v>
      </c>
    </row>
    <row r="102" spans="1:62" x14ac:dyDescent="0.35">
      <c r="A102" s="39" t="s">
        <v>619</v>
      </c>
      <c r="B102" s="39" t="str">
        <f>IFERROR(INDEX(added_new_stocks!$F$6:$H$2155,MATCH($A102,added_new_stocks!$F$6:$F$2600,0),3),"")</f>
        <v>Mid</v>
      </c>
      <c r="C102" s="48">
        <v>4955.1499999999996</v>
      </c>
      <c r="D102" s="48">
        <v>71</v>
      </c>
      <c r="G102" s="39" t="s">
        <v>129</v>
      </c>
      <c r="H102" s="39" t="s">
        <v>6917</v>
      </c>
      <c r="I102" s="39" t="s">
        <v>4624</v>
      </c>
      <c r="J102" s="39" t="s">
        <v>6918</v>
      </c>
      <c r="K102" s="39" t="s">
        <v>133</v>
      </c>
      <c r="L102" s="39" t="s">
        <v>6919</v>
      </c>
      <c r="M102" s="39" t="s">
        <v>4959</v>
      </c>
      <c r="N102" s="39">
        <v>11</v>
      </c>
      <c r="O102" s="39">
        <v>0</v>
      </c>
      <c r="P102" s="39">
        <v>11</v>
      </c>
      <c r="Q102" s="39" t="s">
        <v>14</v>
      </c>
      <c r="R102" s="39">
        <v>0.85</v>
      </c>
      <c r="S102" s="39">
        <v>-0.84</v>
      </c>
      <c r="T102" s="39">
        <v>21.89</v>
      </c>
      <c r="U102" s="39">
        <v>34.58</v>
      </c>
      <c r="V102" s="39">
        <v>68.069999999999993</v>
      </c>
      <c r="W102" s="39">
        <v>26.89</v>
      </c>
      <c r="X102" s="39">
        <v>20.81</v>
      </c>
      <c r="Y102" s="39">
        <v>20.38</v>
      </c>
      <c r="Z102" s="39">
        <v>198.12</v>
      </c>
      <c r="AA102" s="39">
        <v>832.93</v>
      </c>
      <c r="AB102" s="39">
        <v>765.89</v>
      </c>
      <c r="AC102" s="39" t="s">
        <v>4538</v>
      </c>
      <c r="AD102" s="39" t="s">
        <v>4606</v>
      </c>
      <c r="AE102" s="39">
        <v>1.1299999999999999</v>
      </c>
      <c r="AF102" s="39">
        <v>23</v>
      </c>
      <c r="AG102" s="42">
        <v>0.13739999999999999</v>
      </c>
      <c r="AH102" s="42">
        <v>245</v>
      </c>
      <c r="AI102" s="42">
        <v>0.14990000000000001</v>
      </c>
      <c r="AJ102" s="42" t="s">
        <v>6920</v>
      </c>
      <c r="AK102" s="42">
        <v>0.26440000000000002</v>
      </c>
      <c r="AL102" s="42" t="s">
        <v>6921</v>
      </c>
      <c r="AM102" s="42">
        <v>7.0800000000000002E-2</v>
      </c>
      <c r="AN102" s="42">
        <v>0.12759999999999999</v>
      </c>
      <c r="AO102" s="41">
        <v>60</v>
      </c>
      <c r="AP102" s="39">
        <v>13</v>
      </c>
      <c r="AQ102" s="39">
        <v>73</v>
      </c>
      <c r="AR102" s="45">
        <v>4192</v>
      </c>
      <c r="AS102" s="39">
        <v>-14</v>
      </c>
      <c r="AT102" s="39" t="s">
        <v>4562</v>
      </c>
      <c r="AU102" s="39">
        <v>21</v>
      </c>
      <c r="AV102" s="39" t="s">
        <v>6328</v>
      </c>
      <c r="AW102" s="39">
        <v>4964.8</v>
      </c>
      <c r="AX102" s="39">
        <v>5069.8500000000004</v>
      </c>
      <c r="AY102" s="39">
        <v>5132.2</v>
      </c>
      <c r="AZ102" s="39">
        <v>4797.3999999999996</v>
      </c>
      <c r="BA102" s="39">
        <v>4735.05</v>
      </c>
      <c r="BB102" s="39">
        <v>4630</v>
      </c>
      <c r="BC102" s="39">
        <v>9</v>
      </c>
      <c r="BD102" s="39">
        <v>2</v>
      </c>
      <c r="BE102" s="39">
        <v>5</v>
      </c>
      <c r="BF102" s="39" t="s">
        <v>130</v>
      </c>
      <c r="BG102" s="39">
        <v>476.5</v>
      </c>
      <c r="BH102" s="39">
        <v>0.1</v>
      </c>
      <c r="BI102" s="39" t="s">
        <v>4639</v>
      </c>
    </row>
    <row r="103" spans="1:62" x14ac:dyDescent="0.35">
      <c r="A103" s="39" t="s">
        <v>216</v>
      </c>
      <c r="B103" s="39" t="str">
        <f>IFERROR(INDEX(added_new_stocks!$F$6:$H$2155,MATCH($A103,added_new_stocks!$F$6:$F$2600,0),3),"")</f>
        <v>Large</v>
      </c>
      <c r="C103" s="48">
        <v>3736</v>
      </c>
      <c r="D103" s="48">
        <v>64</v>
      </c>
      <c r="G103" s="39" t="s">
        <v>4562</v>
      </c>
      <c r="H103" s="39" t="s">
        <v>6922</v>
      </c>
      <c r="I103" s="39" t="s">
        <v>4989</v>
      </c>
      <c r="J103" s="39" t="s">
        <v>6923</v>
      </c>
      <c r="K103" s="39" t="s">
        <v>133</v>
      </c>
      <c r="L103" s="39" t="s">
        <v>6924</v>
      </c>
      <c r="M103" s="39" t="s">
        <v>4959</v>
      </c>
      <c r="N103" s="39">
        <v>7</v>
      </c>
      <c r="O103" s="39">
        <v>0</v>
      </c>
      <c r="P103" s="39">
        <v>7</v>
      </c>
      <c r="Q103" s="39" t="s">
        <v>14</v>
      </c>
      <c r="R103" s="39">
        <v>1.96</v>
      </c>
      <c r="S103" s="39">
        <v>5.57</v>
      </c>
      <c r="T103" s="39">
        <v>0.52</v>
      </c>
      <c r="U103" s="39">
        <v>6.5</v>
      </c>
      <c r="V103" s="39">
        <v>8.5500000000000007</v>
      </c>
      <c r="W103" s="39">
        <v>-8.2200000000000006</v>
      </c>
      <c r="X103" s="39">
        <v>-17.55</v>
      </c>
      <c r="Y103" s="39">
        <v>-3.96</v>
      </c>
      <c r="Z103" s="39">
        <v>61.03</v>
      </c>
      <c r="AA103" s="39">
        <v>138.02000000000001</v>
      </c>
      <c r="AB103" s="39">
        <v>134.83000000000001</v>
      </c>
      <c r="AC103" s="39" t="s">
        <v>4538</v>
      </c>
      <c r="AD103" s="39" t="s">
        <v>4606</v>
      </c>
      <c r="AE103" s="39" t="s">
        <v>134</v>
      </c>
      <c r="AF103" s="39">
        <v>25</v>
      </c>
      <c r="AG103" s="42">
        <v>6.8599999999999994E-2</v>
      </c>
      <c r="AH103" s="42">
        <v>592</v>
      </c>
      <c r="AI103" s="42">
        <v>8.1699999999999995E-2</v>
      </c>
      <c r="AJ103" s="42" t="s">
        <v>6925</v>
      </c>
      <c r="AK103" s="42">
        <v>0.2303</v>
      </c>
      <c r="AL103" s="42" t="s">
        <v>6926</v>
      </c>
      <c r="AM103" s="42">
        <v>3.1800000000000002E-2</v>
      </c>
      <c r="AN103" s="42">
        <v>6.3100000000000003E-2</v>
      </c>
      <c r="AO103" s="41">
        <v>50</v>
      </c>
      <c r="AP103" s="39">
        <v>10</v>
      </c>
      <c r="AQ103" s="39">
        <v>42</v>
      </c>
      <c r="AR103" s="45">
        <v>3834</v>
      </c>
      <c r="AS103" s="39">
        <v>8</v>
      </c>
      <c r="AT103" s="39" t="s">
        <v>4562</v>
      </c>
      <c r="AU103" s="39">
        <v>25</v>
      </c>
      <c r="AV103" s="39" t="s">
        <v>6329</v>
      </c>
      <c r="AW103" s="39">
        <v>3562.15</v>
      </c>
      <c r="AX103" s="39">
        <v>3589.7</v>
      </c>
      <c r="AY103" s="39">
        <v>3605.75</v>
      </c>
      <c r="AZ103" s="39">
        <v>3518.55</v>
      </c>
      <c r="BA103" s="39">
        <v>3502.5</v>
      </c>
      <c r="BB103" s="39">
        <v>3474.95</v>
      </c>
      <c r="BC103" s="39">
        <v>10</v>
      </c>
      <c r="BD103" s="39">
        <v>2</v>
      </c>
      <c r="BE103" s="39">
        <v>2</v>
      </c>
      <c r="BF103" s="39" t="s">
        <v>130</v>
      </c>
      <c r="BG103" s="39">
        <v>452.3</v>
      </c>
      <c r="BH103" s="39">
        <v>0.1</v>
      </c>
      <c r="BI103" s="39" t="s">
        <v>4651</v>
      </c>
      <c r="BJ103" s="39" t="s">
        <v>4639</v>
      </c>
    </row>
    <row r="104" spans="1:62" x14ac:dyDescent="0.35">
      <c r="A104" s="39" t="s">
        <v>1355</v>
      </c>
      <c r="B104" s="39" t="str">
        <f>IFERROR(INDEX(added_new_stocks!$F$6:$H$2155,MATCH($A104,added_new_stocks!$F$6:$F$2600,0),3),"")</f>
        <v>Small</v>
      </c>
      <c r="C104" s="39">
        <v>738.55</v>
      </c>
      <c r="D104" s="48">
        <v>62</v>
      </c>
      <c r="G104" s="39" t="s">
        <v>4562</v>
      </c>
      <c r="H104" s="39" t="s">
        <v>6927</v>
      </c>
      <c r="I104" s="39" t="s">
        <v>4624</v>
      </c>
      <c r="J104" s="39" t="s">
        <v>6928</v>
      </c>
      <c r="K104" s="39" t="s">
        <v>4615</v>
      </c>
      <c r="L104" s="39" t="s">
        <v>5008</v>
      </c>
      <c r="M104" s="39" t="s">
        <v>135</v>
      </c>
      <c r="N104" s="39">
        <v>4</v>
      </c>
      <c r="O104" s="39">
        <v>-5</v>
      </c>
      <c r="P104" s="39">
        <v>-1</v>
      </c>
      <c r="Q104" s="39" t="s">
        <v>4611</v>
      </c>
      <c r="R104" s="39">
        <v>-0.17</v>
      </c>
      <c r="S104" s="39">
        <v>0.91</v>
      </c>
      <c r="T104" s="39">
        <v>-4.84</v>
      </c>
      <c r="U104" s="39">
        <v>43.88</v>
      </c>
      <c r="V104" s="39">
        <v>50.72</v>
      </c>
      <c r="W104" s="39">
        <v>45.97</v>
      </c>
      <c r="X104" s="39">
        <v>43.98</v>
      </c>
      <c r="Y104" s="39">
        <v>31.26</v>
      </c>
      <c r="Z104" s="39" t="s">
        <v>4538</v>
      </c>
      <c r="AA104" s="39" t="s">
        <v>4538</v>
      </c>
      <c r="AB104" s="39" t="s">
        <v>4538</v>
      </c>
      <c r="AC104" s="39" t="s">
        <v>4538</v>
      </c>
      <c r="AD104" s="39" t="s">
        <v>4606</v>
      </c>
      <c r="AE104" s="39" t="s">
        <v>134</v>
      </c>
      <c r="AF104" s="39">
        <v>7</v>
      </c>
      <c r="AG104" s="42">
        <v>0.15909999999999999</v>
      </c>
      <c r="AH104" s="42">
        <v>16</v>
      </c>
      <c r="AI104" s="42">
        <v>8.3599999999999994E-2</v>
      </c>
      <c r="AJ104" s="42" t="s">
        <v>6929</v>
      </c>
      <c r="AK104" s="42">
        <v>0.24410000000000001</v>
      </c>
      <c r="AL104" s="42" t="s">
        <v>6930</v>
      </c>
      <c r="AM104" s="42">
        <v>9.2399999999999996E-2</v>
      </c>
      <c r="AN104" s="42">
        <v>3.73E-2</v>
      </c>
      <c r="AO104" s="41">
        <v>60</v>
      </c>
      <c r="AP104" s="39">
        <v>33</v>
      </c>
      <c r="AQ104" s="39">
        <v>63</v>
      </c>
      <c r="AR104" s="39">
        <v>757</v>
      </c>
      <c r="AS104" s="39">
        <v>3</v>
      </c>
      <c r="AT104" s="39" t="s">
        <v>129</v>
      </c>
      <c r="AU104" s="39">
        <v>2</v>
      </c>
      <c r="AV104" s="39" t="s">
        <v>6330</v>
      </c>
      <c r="AW104" s="39">
        <v>754.7</v>
      </c>
      <c r="AX104" s="39">
        <v>773.7</v>
      </c>
      <c r="AY104" s="39">
        <v>795.1</v>
      </c>
      <c r="AZ104" s="39">
        <v>714.3</v>
      </c>
      <c r="BA104" s="39">
        <v>692.9</v>
      </c>
      <c r="BB104" s="39">
        <v>673.9</v>
      </c>
      <c r="BC104" s="39">
        <v>5</v>
      </c>
      <c r="BD104" s="39">
        <v>6</v>
      </c>
      <c r="BE104" s="39">
        <v>5</v>
      </c>
      <c r="BF104" s="39" t="s">
        <v>130</v>
      </c>
      <c r="BG104" s="39">
        <v>286</v>
      </c>
      <c r="BH104" s="39">
        <v>0.4</v>
      </c>
      <c r="BI104" s="39" t="s">
        <v>4563</v>
      </c>
      <c r="BJ104" s="39" t="s">
        <v>4563</v>
      </c>
    </row>
    <row r="105" spans="1:62" x14ac:dyDescent="0.35">
      <c r="A105" s="39" t="s">
        <v>287</v>
      </c>
      <c r="B105" s="39" t="str">
        <f>IFERROR(INDEX(added_new_stocks!$F$6:$H$2155,MATCH($A105,added_new_stocks!$F$6:$F$2600,0),3),"")</f>
        <v>Large</v>
      </c>
      <c r="C105" s="48">
        <v>5645.5</v>
      </c>
      <c r="D105" s="39">
        <v>84</v>
      </c>
      <c r="E105" s="39" t="s">
        <v>4987</v>
      </c>
      <c r="F105" s="39" t="s">
        <v>6931</v>
      </c>
      <c r="G105" s="39" t="s">
        <v>4633</v>
      </c>
      <c r="H105" s="39" t="s">
        <v>5193</v>
      </c>
      <c r="I105" s="39" t="s">
        <v>4624</v>
      </c>
      <c r="J105" s="39" t="s">
        <v>5194</v>
      </c>
      <c r="K105" s="39" t="s">
        <v>133</v>
      </c>
      <c r="L105" s="39" t="s">
        <v>6932</v>
      </c>
      <c r="M105" s="39" t="s">
        <v>5047</v>
      </c>
      <c r="N105" s="39">
        <v>25</v>
      </c>
      <c r="O105" s="39">
        <v>-1</v>
      </c>
      <c r="P105" s="39">
        <v>24</v>
      </c>
      <c r="Q105" s="39" t="s">
        <v>5060</v>
      </c>
      <c r="R105" s="39">
        <v>-1.45</v>
      </c>
      <c r="S105" s="39">
        <v>-5.18</v>
      </c>
      <c r="T105" s="39">
        <v>1.04</v>
      </c>
      <c r="U105" s="39">
        <v>24.87</v>
      </c>
      <c r="V105" s="39">
        <v>28.6</v>
      </c>
      <c r="W105" s="39">
        <v>33.32</v>
      </c>
      <c r="X105" s="39">
        <v>33</v>
      </c>
      <c r="Y105" s="39">
        <v>20.67</v>
      </c>
      <c r="Z105" s="39">
        <v>29.06</v>
      </c>
      <c r="AA105" s="39">
        <v>120.95</v>
      </c>
      <c r="AB105" s="39">
        <v>137.19</v>
      </c>
      <c r="AC105" s="39">
        <v>146.18</v>
      </c>
      <c r="AD105" s="39" t="s">
        <v>4974</v>
      </c>
      <c r="AE105" s="39" t="s">
        <v>134</v>
      </c>
      <c r="AF105" s="39">
        <v>37</v>
      </c>
      <c r="AG105" s="42">
        <v>9.3100000000000002E-2</v>
      </c>
      <c r="AH105" s="42">
        <v>752</v>
      </c>
      <c r="AI105" s="43">
        <v>0.27</v>
      </c>
      <c r="AJ105" s="42" t="s">
        <v>5196</v>
      </c>
      <c r="AK105" s="42">
        <v>0.20619999999999999</v>
      </c>
      <c r="AL105" s="42" t="s">
        <v>5197</v>
      </c>
      <c r="AM105" s="42">
        <v>0.12540000000000001</v>
      </c>
      <c r="AN105" s="42">
        <v>7.5200000000000003E-2</v>
      </c>
      <c r="AO105" s="41">
        <v>75</v>
      </c>
      <c r="AP105" s="39">
        <v>43</v>
      </c>
      <c r="AQ105" s="39">
        <v>61</v>
      </c>
      <c r="AR105" s="45">
        <v>5494</v>
      </c>
      <c r="AS105" s="39">
        <v>-5</v>
      </c>
      <c r="AT105" s="39" t="s">
        <v>4562</v>
      </c>
      <c r="AU105" s="39">
        <v>38</v>
      </c>
      <c r="AV105" s="39" t="s">
        <v>6331</v>
      </c>
      <c r="AW105" s="39">
        <v>5855.98</v>
      </c>
      <c r="AX105" s="39">
        <v>5932.72</v>
      </c>
      <c r="AY105" s="39">
        <v>5975.43</v>
      </c>
      <c r="AZ105" s="39">
        <v>5736.53</v>
      </c>
      <c r="BA105" s="39">
        <v>5693.82</v>
      </c>
      <c r="BB105" s="39">
        <v>5617.08</v>
      </c>
      <c r="BC105" s="39">
        <v>9</v>
      </c>
      <c r="BD105" s="39">
        <v>3</v>
      </c>
      <c r="BE105" s="39">
        <v>10</v>
      </c>
      <c r="BF105" s="39">
        <v>1</v>
      </c>
      <c r="BG105" s="48">
        <v>2985.7</v>
      </c>
      <c r="BH105" s="39">
        <v>0.5</v>
      </c>
      <c r="BI105" s="39" t="s">
        <v>4639</v>
      </c>
      <c r="BJ105" s="39" t="s">
        <v>4563</v>
      </c>
    </row>
    <row r="106" spans="1:62" x14ac:dyDescent="0.35">
      <c r="A106" s="39" t="s">
        <v>959</v>
      </c>
      <c r="B106" s="39" t="str">
        <f>IFERROR(INDEX(added_new_stocks!$F$6:$H$2155,MATCH($A106,added_new_stocks!$F$6:$F$2600,0),3),"")</f>
        <v>Mid</v>
      </c>
      <c r="C106" s="48">
        <v>1647.05</v>
      </c>
      <c r="D106" s="48">
        <v>65</v>
      </c>
      <c r="G106" s="39" t="s">
        <v>4562</v>
      </c>
      <c r="H106" s="39" t="s">
        <v>6933</v>
      </c>
      <c r="I106" s="39" t="s">
        <v>4989</v>
      </c>
      <c r="J106" s="39" t="s">
        <v>6934</v>
      </c>
      <c r="K106" s="39" t="s">
        <v>133</v>
      </c>
      <c r="L106" s="39" t="s">
        <v>6935</v>
      </c>
      <c r="M106" s="39" t="s">
        <v>5047</v>
      </c>
      <c r="N106" s="39">
        <v>2</v>
      </c>
      <c r="O106" s="39">
        <v>-3</v>
      </c>
      <c r="P106" s="39">
        <v>-1</v>
      </c>
      <c r="Q106" s="39" t="s">
        <v>4611</v>
      </c>
      <c r="R106" s="39">
        <v>0.93</v>
      </c>
      <c r="S106" s="39">
        <v>2.37</v>
      </c>
      <c r="T106" s="39">
        <v>-4</v>
      </c>
      <c r="U106" s="39">
        <v>1.78</v>
      </c>
      <c r="V106" s="39">
        <v>13.89</v>
      </c>
      <c r="W106" s="39">
        <v>28.62</v>
      </c>
      <c r="X106" s="39">
        <v>18.45</v>
      </c>
      <c r="Y106" s="39">
        <v>10.79</v>
      </c>
      <c r="Z106" s="39">
        <v>223.51</v>
      </c>
      <c r="AA106" s="39">
        <v>453.03</v>
      </c>
      <c r="AB106" s="39">
        <v>130.86000000000001</v>
      </c>
      <c r="AC106" s="39">
        <v>300.36</v>
      </c>
      <c r="AD106" s="39" t="s">
        <v>4606</v>
      </c>
      <c r="AE106" s="39" t="s">
        <v>134</v>
      </c>
      <c r="AF106" s="39">
        <v>10</v>
      </c>
      <c r="AG106" s="42">
        <v>0.19109999999999999</v>
      </c>
      <c r="AH106" s="42">
        <v>157</v>
      </c>
      <c r="AI106" s="42">
        <v>0.12620000000000001</v>
      </c>
      <c r="AJ106" s="43" t="s">
        <v>6936</v>
      </c>
      <c r="AK106" s="42">
        <v>0.26750000000000002</v>
      </c>
      <c r="AL106" s="42" t="s">
        <v>6937</v>
      </c>
      <c r="AM106" s="42">
        <v>8.1900000000000001E-2</v>
      </c>
      <c r="AN106" s="42">
        <v>8.43E-2</v>
      </c>
      <c r="AO106" s="41">
        <v>50</v>
      </c>
      <c r="AP106" s="39">
        <v>42</v>
      </c>
      <c r="AQ106" s="39">
        <v>51</v>
      </c>
      <c r="AR106" s="45">
        <v>1818</v>
      </c>
      <c r="AS106" s="39">
        <v>14</v>
      </c>
      <c r="AT106" s="39" t="s">
        <v>129</v>
      </c>
      <c r="AU106" s="39">
        <v>6</v>
      </c>
      <c r="AV106" s="39" t="s">
        <v>6332</v>
      </c>
      <c r="AW106" s="39">
        <v>1633</v>
      </c>
      <c r="AX106" s="39">
        <v>1664.5</v>
      </c>
      <c r="AY106" s="39">
        <v>1690</v>
      </c>
      <c r="AZ106" s="39">
        <v>1576</v>
      </c>
      <c r="BA106" s="39">
        <v>1550.5</v>
      </c>
      <c r="BB106" s="39">
        <v>1519</v>
      </c>
      <c r="BC106" s="39">
        <v>8</v>
      </c>
      <c r="BD106" s="39">
        <v>2</v>
      </c>
      <c r="BE106" s="39">
        <v>5</v>
      </c>
      <c r="BF106" s="39" t="s">
        <v>130</v>
      </c>
      <c r="BG106" s="39">
        <v>909.4</v>
      </c>
      <c r="BH106" s="39">
        <v>0.6</v>
      </c>
      <c r="BI106" s="39" t="s">
        <v>4639</v>
      </c>
      <c r="BJ106" s="39" t="s">
        <v>4565</v>
      </c>
    </row>
    <row r="107" spans="1:62" x14ac:dyDescent="0.35">
      <c r="A107" s="39" t="s">
        <v>857</v>
      </c>
      <c r="B107" s="39" t="str">
        <f>IFERROR(INDEX(added_new_stocks!$F$6:$H$2155,MATCH($A107,added_new_stocks!$F$6:$F$2600,0),3),"")</f>
        <v>Mid</v>
      </c>
      <c r="C107" s="39">
        <v>476.95</v>
      </c>
      <c r="D107" s="48">
        <v>44</v>
      </c>
      <c r="G107" s="39" t="s">
        <v>4625</v>
      </c>
      <c r="H107" s="39" t="s">
        <v>6938</v>
      </c>
      <c r="I107" s="39" t="s">
        <v>4976</v>
      </c>
      <c r="J107" s="39" t="s">
        <v>6939</v>
      </c>
      <c r="K107" s="39" t="s">
        <v>133</v>
      </c>
      <c r="L107" s="39" t="s">
        <v>4998</v>
      </c>
      <c r="M107" s="39" t="s">
        <v>4955</v>
      </c>
      <c r="N107" s="39">
        <v>6</v>
      </c>
      <c r="O107" s="39">
        <v>-15</v>
      </c>
      <c r="P107" s="39">
        <v>-9</v>
      </c>
      <c r="Q107" s="39" t="s">
        <v>4605</v>
      </c>
      <c r="R107" s="39">
        <v>0.65</v>
      </c>
      <c r="S107" s="39">
        <v>2.61</v>
      </c>
      <c r="T107" s="39">
        <v>-2.54</v>
      </c>
      <c r="U107" s="39">
        <v>-1.81</v>
      </c>
      <c r="V107" s="39">
        <v>-7.36</v>
      </c>
      <c r="W107" s="39">
        <v>-16.11</v>
      </c>
      <c r="X107" s="39">
        <v>-9.9700000000000006</v>
      </c>
      <c r="Y107" s="39">
        <v>17.66</v>
      </c>
      <c r="Z107" s="39">
        <v>64.150000000000006</v>
      </c>
      <c r="AA107" s="39">
        <v>209.91</v>
      </c>
      <c r="AB107" s="39">
        <v>117.79</v>
      </c>
      <c r="AC107" s="39">
        <v>316.19</v>
      </c>
      <c r="AD107" s="39" t="s">
        <v>4606</v>
      </c>
      <c r="AE107" s="39">
        <v>0.03</v>
      </c>
      <c r="AF107" s="39">
        <v>13</v>
      </c>
      <c r="AG107" s="42">
        <v>4.1599999999999998E-2</v>
      </c>
      <c r="AH107" s="42">
        <v>167</v>
      </c>
      <c r="AI107" s="42">
        <v>0.104</v>
      </c>
      <c r="AJ107" s="42" t="s">
        <v>6802</v>
      </c>
      <c r="AK107" s="42">
        <v>0.38340000000000002</v>
      </c>
      <c r="AL107" s="42" t="s">
        <v>6940</v>
      </c>
      <c r="AM107" s="42">
        <v>3.5700000000000003E-2</v>
      </c>
      <c r="AN107" s="42">
        <v>0.30259999999999998</v>
      </c>
      <c r="AO107" s="41">
        <v>35</v>
      </c>
      <c r="AP107" s="39">
        <v>64</v>
      </c>
      <c r="AQ107" s="39">
        <v>43</v>
      </c>
      <c r="AR107" s="39">
        <v>621</v>
      </c>
      <c r="AS107" s="39">
        <v>31</v>
      </c>
      <c r="AT107" s="39" t="s">
        <v>4633</v>
      </c>
      <c r="AU107" s="39">
        <v>1</v>
      </c>
      <c r="AV107" s="39" t="s">
        <v>6333</v>
      </c>
      <c r="AW107" s="39">
        <v>483.08</v>
      </c>
      <c r="AX107" s="39">
        <v>491.32</v>
      </c>
      <c r="AY107" s="39">
        <v>497.73</v>
      </c>
      <c r="AZ107" s="39">
        <v>468.43</v>
      </c>
      <c r="BA107" s="39">
        <v>462.02</v>
      </c>
      <c r="BB107" s="39">
        <v>453.78</v>
      </c>
      <c r="BC107" s="39">
        <v>10</v>
      </c>
      <c r="BD107" s="39">
        <v>1</v>
      </c>
      <c r="BE107" s="39" t="s">
        <v>130</v>
      </c>
      <c r="BF107" s="39">
        <v>0.39</v>
      </c>
      <c r="BG107" s="39">
        <v>5</v>
      </c>
      <c r="BH107" s="39">
        <v>729</v>
      </c>
      <c r="BI107" s="39" t="s">
        <v>4563</v>
      </c>
      <c r="BJ107" s="39" t="s">
        <v>131</v>
      </c>
    </row>
    <row r="108" spans="1:62" x14ac:dyDescent="0.35">
      <c r="A108" s="39" t="s">
        <v>772</v>
      </c>
      <c r="B108" s="39" t="str">
        <f>IFERROR(INDEX(added_new_stocks!$F$6:$H$2155,MATCH($A108,added_new_stocks!$F$6:$F$2600,0),3),"")</f>
        <v>Mid</v>
      </c>
      <c r="C108" s="39">
        <v>242.15</v>
      </c>
      <c r="D108" s="39">
        <v>77</v>
      </c>
      <c r="G108" s="39" t="s">
        <v>129</v>
      </c>
      <c r="H108" s="39" t="s">
        <v>6941</v>
      </c>
      <c r="I108" s="39" t="s">
        <v>4624</v>
      </c>
      <c r="J108" s="39" t="s">
        <v>6942</v>
      </c>
      <c r="K108" s="39" t="s">
        <v>4615</v>
      </c>
      <c r="L108" s="39" t="s">
        <v>6943</v>
      </c>
      <c r="M108" s="39" t="s">
        <v>4620</v>
      </c>
      <c r="N108" s="39">
        <v>33</v>
      </c>
      <c r="O108" s="39">
        <v>-3</v>
      </c>
      <c r="P108" s="39">
        <v>30</v>
      </c>
      <c r="Q108" s="39" t="s">
        <v>5076</v>
      </c>
      <c r="R108" s="39">
        <v>4.47</v>
      </c>
      <c r="S108" s="39">
        <v>1.04</v>
      </c>
      <c r="T108" s="39">
        <v>12.97</v>
      </c>
      <c r="U108" s="39">
        <v>17.12</v>
      </c>
      <c r="V108" s="39">
        <v>53.26</v>
      </c>
      <c r="W108" s="39">
        <v>36.54</v>
      </c>
      <c r="X108" s="39">
        <v>51.06</v>
      </c>
      <c r="Y108" s="39">
        <v>134.53</v>
      </c>
      <c r="Z108" s="39">
        <v>159.12</v>
      </c>
      <c r="AA108" s="39">
        <v>50.36</v>
      </c>
      <c r="AB108" s="39">
        <v>36.54</v>
      </c>
      <c r="AC108" s="39">
        <v>384.78</v>
      </c>
      <c r="AD108" s="39" t="s">
        <v>5015</v>
      </c>
      <c r="AE108" s="39" t="s">
        <v>134</v>
      </c>
      <c r="AF108" s="39">
        <v>11</v>
      </c>
      <c r="AG108" s="42">
        <v>0.11840000000000001</v>
      </c>
      <c r="AH108" s="42">
        <v>95</v>
      </c>
      <c r="AI108" s="42">
        <v>4.0300000000000002E-2</v>
      </c>
      <c r="AJ108" s="42" t="s">
        <v>6944</v>
      </c>
      <c r="AK108" s="42">
        <v>0.1767</v>
      </c>
      <c r="AL108" s="42" t="s">
        <v>5279</v>
      </c>
      <c r="AM108" s="42">
        <v>0.1883</v>
      </c>
      <c r="AN108" s="42">
        <v>0.1242</v>
      </c>
      <c r="AO108" s="41">
        <v>90</v>
      </c>
      <c r="AP108" s="39">
        <v>35</v>
      </c>
      <c r="AQ108" s="39">
        <v>68</v>
      </c>
      <c r="AR108" s="39">
        <v>250</v>
      </c>
      <c r="AS108" s="39">
        <v>6</v>
      </c>
      <c r="AT108" s="39" t="s">
        <v>4633</v>
      </c>
      <c r="AU108" s="39">
        <v>2</v>
      </c>
      <c r="AV108" s="39" t="s">
        <v>6334</v>
      </c>
      <c r="AW108" s="39">
        <v>241.17</v>
      </c>
      <c r="AX108" s="39">
        <v>247.13</v>
      </c>
      <c r="AY108" s="39">
        <v>250.97</v>
      </c>
      <c r="AZ108" s="39">
        <v>231.37</v>
      </c>
      <c r="BA108" s="39">
        <v>227.53</v>
      </c>
      <c r="BB108" s="39">
        <v>221.57</v>
      </c>
      <c r="BC108" s="39">
        <v>19</v>
      </c>
      <c r="BD108" s="39">
        <v>1</v>
      </c>
      <c r="BE108" s="39">
        <v>4</v>
      </c>
      <c r="BF108" s="39">
        <v>1</v>
      </c>
      <c r="BG108" s="39">
        <v>84.3</v>
      </c>
      <c r="BH108" s="39">
        <v>0.4</v>
      </c>
      <c r="BI108" s="39" t="s">
        <v>4563</v>
      </c>
      <c r="BJ108" s="39" t="s">
        <v>4563</v>
      </c>
    </row>
    <row r="109" spans="1:62" x14ac:dyDescent="0.35">
      <c r="A109" s="39" t="s">
        <v>6233</v>
      </c>
      <c r="B109" s="39" t="str">
        <f>IFERROR(INDEX(added_new_stocks!$F$6:$H$2155,MATCH($A109,added_new_stocks!$F$6:$F$2600,0),3),"")</f>
        <v/>
      </c>
      <c r="C109" s="48">
        <v>7068.7</v>
      </c>
      <c r="D109" s="39">
        <v>64</v>
      </c>
      <c r="G109" s="39" t="s">
        <v>4562</v>
      </c>
      <c r="H109" s="39" t="s">
        <v>6945</v>
      </c>
      <c r="I109" s="39" t="s">
        <v>4624</v>
      </c>
      <c r="J109" s="39" t="s">
        <v>6946</v>
      </c>
      <c r="K109" s="39" t="s">
        <v>4615</v>
      </c>
      <c r="L109" s="39" t="s">
        <v>6947</v>
      </c>
      <c r="M109" s="39" t="s">
        <v>4959</v>
      </c>
      <c r="N109" s="39">
        <v>18</v>
      </c>
      <c r="O109" s="39">
        <v>0</v>
      </c>
      <c r="P109" s="39">
        <v>18</v>
      </c>
      <c r="Q109" s="39" t="s">
        <v>14</v>
      </c>
      <c r="R109" s="39">
        <v>0.38</v>
      </c>
      <c r="S109" s="39">
        <v>-6.58</v>
      </c>
      <c r="T109" s="39">
        <v>10.85</v>
      </c>
      <c r="U109" s="39">
        <v>20.83</v>
      </c>
      <c r="V109" s="39">
        <v>44.58</v>
      </c>
      <c r="W109" s="39">
        <v>62.57</v>
      </c>
      <c r="X109" s="39">
        <v>60.35</v>
      </c>
      <c r="Y109" s="39">
        <v>88.1</v>
      </c>
      <c r="Z109" s="39">
        <v>176.86</v>
      </c>
      <c r="AA109" s="39">
        <v>240.85</v>
      </c>
      <c r="AB109" s="39">
        <v>241.48</v>
      </c>
      <c r="AC109" s="39">
        <v>1755.79</v>
      </c>
      <c r="AD109" s="39" t="s">
        <v>4606</v>
      </c>
      <c r="AE109" s="39" t="s">
        <v>134</v>
      </c>
      <c r="AF109" s="39">
        <v>2</v>
      </c>
      <c r="AG109" s="42">
        <v>0.1148</v>
      </c>
      <c r="AH109" s="42">
        <v>7</v>
      </c>
      <c r="AI109" s="42">
        <v>7.4000000000000003E-3</v>
      </c>
      <c r="AJ109" s="42" t="s">
        <v>6948</v>
      </c>
      <c r="AK109" s="43">
        <v>0.75</v>
      </c>
      <c r="AL109" s="42" t="s">
        <v>5573</v>
      </c>
      <c r="AM109" s="42">
        <v>7.7499999999999999E-2</v>
      </c>
      <c r="AN109" s="42">
        <v>9.7199999999999995E-2</v>
      </c>
      <c r="AO109" s="41">
        <v>80</v>
      </c>
      <c r="AP109" s="39">
        <v>17</v>
      </c>
      <c r="AQ109" s="39">
        <v>65</v>
      </c>
      <c r="AS109" s="39" t="s">
        <v>4564</v>
      </c>
      <c r="AW109" s="39">
        <v>7526.32</v>
      </c>
      <c r="AX109" s="39">
        <v>7763.98</v>
      </c>
      <c r="AY109" s="39">
        <v>8026.37</v>
      </c>
      <c r="AZ109" s="39">
        <v>7026.27</v>
      </c>
      <c r="BA109" s="39">
        <v>6763.88</v>
      </c>
      <c r="BB109" s="39">
        <v>6526.22</v>
      </c>
      <c r="BC109" s="39">
        <v>1</v>
      </c>
      <c r="BD109" s="39">
        <v>1</v>
      </c>
      <c r="BE109" s="39" t="s">
        <v>130</v>
      </c>
      <c r="BF109" s="39">
        <v>-0.4</v>
      </c>
      <c r="BG109" s="39">
        <v>12</v>
      </c>
      <c r="BH109" s="48">
        <v>1596.7</v>
      </c>
      <c r="BI109" s="39" t="s">
        <v>131</v>
      </c>
      <c r="BJ109" s="39" t="s">
        <v>131</v>
      </c>
    </row>
    <row r="110" spans="1:62" x14ac:dyDescent="0.35">
      <c r="A110" s="39" t="s">
        <v>640</v>
      </c>
      <c r="B110" s="39" t="str">
        <f>IFERROR(INDEX(added_new_stocks!$F$6:$H$2155,MATCH($A110,added_new_stocks!$F$6:$F$2600,0),3),"")</f>
        <v>Mid</v>
      </c>
      <c r="C110" s="39">
        <v>519.85</v>
      </c>
      <c r="D110" s="48">
        <v>67</v>
      </c>
      <c r="G110" s="39" t="s">
        <v>4562</v>
      </c>
      <c r="H110" s="39" t="s">
        <v>5198</v>
      </c>
      <c r="I110" s="39" t="s">
        <v>4624</v>
      </c>
      <c r="J110" s="39" t="s">
        <v>5199</v>
      </c>
      <c r="K110" s="39" t="s">
        <v>133</v>
      </c>
      <c r="L110" s="39" t="s">
        <v>6949</v>
      </c>
      <c r="M110" s="39" t="s">
        <v>4620</v>
      </c>
      <c r="N110" s="39">
        <v>6</v>
      </c>
      <c r="O110" s="39">
        <v>-6</v>
      </c>
      <c r="P110" s="39">
        <v>0</v>
      </c>
      <c r="Q110" s="39" t="s">
        <v>4611</v>
      </c>
      <c r="R110" s="39">
        <v>0.13</v>
      </c>
      <c r="S110" s="39">
        <v>-2.9</v>
      </c>
      <c r="T110" s="39">
        <v>15.51</v>
      </c>
      <c r="U110" s="39">
        <v>29.88</v>
      </c>
      <c r="V110" s="39">
        <v>34.22</v>
      </c>
      <c r="W110" s="39">
        <v>22.26</v>
      </c>
      <c r="X110" s="39">
        <v>7.35</v>
      </c>
      <c r="Y110" s="39">
        <v>-14.51</v>
      </c>
      <c r="Z110" s="39">
        <v>47.27</v>
      </c>
      <c r="AA110" s="39">
        <v>74.86</v>
      </c>
      <c r="AB110" s="39">
        <v>-8.57</v>
      </c>
      <c r="AC110" s="39">
        <v>155.74</v>
      </c>
      <c r="AD110" s="39" t="s">
        <v>4606</v>
      </c>
      <c r="AE110" s="39">
        <v>33.29</v>
      </c>
      <c r="AF110" s="39">
        <v>21</v>
      </c>
      <c r="AG110" s="42">
        <v>0.2366</v>
      </c>
      <c r="AH110" s="42">
        <v>201</v>
      </c>
      <c r="AI110" s="42">
        <v>0.1145</v>
      </c>
      <c r="AJ110" s="42" t="s">
        <v>5201</v>
      </c>
      <c r="AK110" s="42">
        <v>0.24079999999999999</v>
      </c>
      <c r="AL110" s="43" t="s">
        <v>5202</v>
      </c>
      <c r="AM110" s="42">
        <v>5.8999999999999997E-2</v>
      </c>
      <c r="AN110" s="42">
        <v>3.5999999999999997E-2</v>
      </c>
      <c r="AO110" s="41">
        <v>60</v>
      </c>
      <c r="AP110" s="39">
        <v>21</v>
      </c>
      <c r="AQ110" s="39">
        <v>57</v>
      </c>
      <c r="AR110" s="39">
        <v>522</v>
      </c>
      <c r="AS110" s="39">
        <v>2</v>
      </c>
      <c r="AT110" s="39" t="s">
        <v>129</v>
      </c>
      <c r="AU110" s="39">
        <v>23</v>
      </c>
      <c r="AV110" s="39" t="s">
        <v>6335</v>
      </c>
      <c r="AW110" s="39">
        <v>521.67999999999995</v>
      </c>
      <c r="AX110" s="39">
        <v>531.07000000000005</v>
      </c>
      <c r="AY110" s="39">
        <v>537.13</v>
      </c>
      <c r="AZ110" s="39">
        <v>506.23</v>
      </c>
      <c r="BA110" s="39">
        <v>500.17</v>
      </c>
      <c r="BB110" s="39">
        <v>490.78</v>
      </c>
      <c r="BC110" s="39">
        <v>11</v>
      </c>
      <c r="BD110" s="39">
        <v>5</v>
      </c>
      <c r="BE110" s="39">
        <v>6</v>
      </c>
      <c r="BF110" s="39">
        <v>1</v>
      </c>
      <c r="BG110" s="39">
        <v>137.80000000000001</v>
      </c>
      <c r="BH110" s="39">
        <v>0.3</v>
      </c>
      <c r="BI110" s="39" t="s">
        <v>4563</v>
      </c>
      <c r="BJ110" s="39" t="s">
        <v>4563</v>
      </c>
    </row>
    <row r="111" spans="1:62" x14ac:dyDescent="0.35">
      <c r="A111" s="39" t="s">
        <v>1653</v>
      </c>
      <c r="B111" s="39" t="str">
        <f>IFERROR(INDEX(added_new_stocks!$F$6:$H$2155,MATCH($A111,added_new_stocks!$F$6:$F$2600,0),3),"")</f>
        <v>Small</v>
      </c>
      <c r="C111" s="39">
        <v>495.35</v>
      </c>
      <c r="D111" s="39">
        <v>71</v>
      </c>
      <c r="G111" s="39" t="s">
        <v>129</v>
      </c>
      <c r="H111" s="39" t="s">
        <v>6950</v>
      </c>
      <c r="I111" s="39" t="s">
        <v>4624</v>
      </c>
      <c r="J111" s="39" t="s">
        <v>6951</v>
      </c>
      <c r="K111" s="39" t="s">
        <v>133</v>
      </c>
      <c r="L111" s="39" t="s">
        <v>4998</v>
      </c>
      <c r="M111" s="39" t="s">
        <v>4959</v>
      </c>
      <c r="N111" s="39">
        <v>16</v>
      </c>
      <c r="O111" s="39">
        <v>0</v>
      </c>
      <c r="P111" s="39">
        <v>16</v>
      </c>
      <c r="Q111" s="39" t="s">
        <v>14</v>
      </c>
      <c r="R111" s="39">
        <v>0.81</v>
      </c>
      <c r="S111" s="39">
        <v>-4.4400000000000004</v>
      </c>
      <c r="T111" s="39">
        <v>3.14</v>
      </c>
      <c r="U111" s="39">
        <v>17.149999999999999</v>
      </c>
      <c r="V111" s="39">
        <v>90.89</v>
      </c>
      <c r="W111" s="39">
        <v>56.86</v>
      </c>
      <c r="X111" s="39">
        <v>37.869999999999997</v>
      </c>
      <c r="Y111" s="39" t="s">
        <v>4538</v>
      </c>
      <c r="Z111" s="39" t="s">
        <v>4538</v>
      </c>
      <c r="AA111" s="39" t="s">
        <v>4538</v>
      </c>
      <c r="AB111" s="39" t="s">
        <v>4538</v>
      </c>
      <c r="AC111" s="39" t="s">
        <v>4538</v>
      </c>
      <c r="AD111" s="39" t="s">
        <v>4606</v>
      </c>
      <c r="AE111" s="39" t="s">
        <v>134</v>
      </c>
      <c r="AF111" s="39">
        <v>4</v>
      </c>
      <c r="AG111" s="42">
        <v>6.59E-2</v>
      </c>
      <c r="AH111" s="42">
        <v>9</v>
      </c>
      <c r="AI111" s="42">
        <v>4.2799999999999998E-2</v>
      </c>
      <c r="AJ111" s="42" t="s">
        <v>6952</v>
      </c>
      <c r="AK111" s="42">
        <v>0.34739999999999999</v>
      </c>
      <c r="AL111" s="42" t="s">
        <v>6953</v>
      </c>
      <c r="AM111" s="42">
        <v>7.2999999999999995E-2</v>
      </c>
      <c r="AN111" s="42">
        <v>9.7500000000000003E-2</v>
      </c>
      <c r="AO111" s="41">
        <v>60</v>
      </c>
      <c r="AP111" s="39">
        <v>12</v>
      </c>
      <c r="AQ111" s="39">
        <v>74</v>
      </c>
      <c r="AS111" s="39" t="s">
        <v>4564</v>
      </c>
      <c r="AW111" s="39">
        <v>523.17999999999995</v>
      </c>
      <c r="AX111" s="39">
        <v>533.07000000000005</v>
      </c>
      <c r="AY111" s="39">
        <v>544.63</v>
      </c>
      <c r="AZ111" s="39">
        <v>501.73</v>
      </c>
      <c r="BA111" s="39">
        <v>490.17</v>
      </c>
      <c r="BB111" s="39">
        <v>480.28</v>
      </c>
      <c r="BC111" s="39">
        <v>3</v>
      </c>
      <c r="BD111" s="39">
        <v>5</v>
      </c>
      <c r="BE111" s="39" t="s">
        <v>130</v>
      </c>
      <c r="BF111" s="39">
        <v>-2.1</v>
      </c>
      <c r="BG111" s="39">
        <v>10</v>
      </c>
      <c r="BH111" s="39">
        <v>97.6</v>
      </c>
      <c r="BI111" s="39" t="s">
        <v>131</v>
      </c>
      <c r="BJ111" s="39" t="s">
        <v>4563</v>
      </c>
    </row>
    <row r="112" spans="1:62" x14ac:dyDescent="0.35">
      <c r="A112" s="39" t="s">
        <v>613</v>
      </c>
      <c r="B112" s="39" t="str">
        <f>IFERROR(INDEX(added_new_stocks!$F$6:$H$2155,MATCH($A112,added_new_stocks!$F$6:$F$2600,0),3),"")</f>
        <v>Mid</v>
      </c>
      <c r="C112" s="48">
        <v>1647.4</v>
      </c>
      <c r="D112" s="39">
        <v>65</v>
      </c>
      <c r="G112" s="39" t="s">
        <v>4562</v>
      </c>
      <c r="H112" s="39" t="s">
        <v>6954</v>
      </c>
      <c r="I112" s="39" t="s">
        <v>4624</v>
      </c>
      <c r="J112" s="39" t="s">
        <v>6955</v>
      </c>
      <c r="K112" s="39" t="s">
        <v>133</v>
      </c>
      <c r="L112" s="39" t="s">
        <v>6956</v>
      </c>
      <c r="M112" s="39" t="s">
        <v>4620</v>
      </c>
      <c r="N112" s="39">
        <v>15</v>
      </c>
      <c r="O112" s="39">
        <v>-1</v>
      </c>
      <c r="P112" s="39">
        <v>14</v>
      </c>
      <c r="Q112" s="39" t="s">
        <v>14</v>
      </c>
      <c r="R112" s="39">
        <v>1.5</v>
      </c>
      <c r="S112" s="39">
        <v>0.83</v>
      </c>
      <c r="T112" s="39">
        <v>0.55000000000000004</v>
      </c>
      <c r="U112" s="39">
        <v>15.4</v>
      </c>
      <c r="V112" s="39">
        <v>29.81</v>
      </c>
      <c r="W112" s="39">
        <v>19.350000000000001</v>
      </c>
      <c r="X112" s="39">
        <v>10.06</v>
      </c>
      <c r="Y112" s="39">
        <v>-1.83</v>
      </c>
      <c r="Z112" s="39">
        <v>46.37</v>
      </c>
      <c r="AA112" s="39">
        <v>77.489999999999995</v>
      </c>
      <c r="AB112" s="39">
        <v>9.2100000000000009</v>
      </c>
      <c r="AC112" s="39" t="s">
        <v>4538</v>
      </c>
      <c r="AD112" s="39" t="s">
        <v>4606</v>
      </c>
      <c r="AE112" s="39" t="s">
        <v>134</v>
      </c>
      <c r="AF112" s="39">
        <v>21</v>
      </c>
      <c r="AG112" s="42">
        <v>0.09</v>
      </c>
      <c r="AH112" s="42">
        <v>131</v>
      </c>
      <c r="AI112" s="42">
        <v>7.3400000000000007E-2</v>
      </c>
      <c r="AJ112" s="42" t="s">
        <v>6957</v>
      </c>
      <c r="AK112" s="42">
        <v>0.3085</v>
      </c>
      <c r="AL112" s="42" t="s">
        <v>136</v>
      </c>
      <c r="AM112" s="42">
        <v>4.99E-2</v>
      </c>
      <c r="AN112" s="42">
        <v>1.5100000000000001E-2</v>
      </c>
      <c r="AO112" s="41">
        <v>70</v>
      </c>
      <c r="AP112" s="39">
        <v>28</v>
      </c>
      <c r="AQ112" s="39">
        <v>52</v>
      </c>
      <c r="AR112" s="45">
        <v>1773</v>
      </c>
      <c r="AS112" s="39">
        <v>10</v>
      </c>
      <c r="AT112" s="39" t="s">
        <v>129</v>
      </c>
      <c r="AU112" s="39">
        <v>12</v>
      </c>
      <c r="AV112" s="39" t="s">
        <v>6336</v>
      </c>
      <c r="AW112" s="39">
        <v>1654.4</v>
      </c>
      <c r="AX112" s="39">
        <v>1697</v>
      </c>
      <c r="AY112" s="39">
        <v>1721.7</v>
      </c>
      <c r="AZ112" s="39">
        <v>1587.1</v>
      </c>
      <c r="BA112" s="39">
        <v>1562.4</v>
      </c>
      <c r="BB112" s="39">
        <v>1519.8</v>
      </c>
      <c r="BC112" s="39">
        <v>11</v>
      </c>
      <c r="BD112" s="39">
        <v>7</v>
      </c>
      <c r="BE112" s="39">
        <v>4</v>
      </c>
      <c r="BF112" s="39" t="s">
        <v>130</v>
      </c>
      <c r="BG112" s="39">
        <v>520.4</v>
      </c>
      <c r="BH112" s="39">
        <v>0.3</v>
      </c>
      <c r="BI112" s="39" t="s">
        <v>4563</v>
      </c>
      <c r="BJ112" s="39" t="s">
        <v>132</v>
      </c>
    </row>
    <row r="113" spans="1:62" x14ac:dyDescent="0.35">
      <c r="A113" s="39" t="s">
        <v>1053</v>
      </c>
      <c r="B113" s="39" t="str">
        <f>IFERROR(INDEX(added_new_stocks!$F$6:$H$2155,MATCH($A113,added_new_stocks!$F$6:$F$2600,0),3),"")</f>
        <v>Mid</v>
      </c>
      <c r="C113" s="39">
        <v>197.8</v>
      </c>
      <c r="D113" s="48">
        <v>65</v>
      </c>
      <c r="G113" s="39" t="s">
        <v>4562</v>
      </c>
      <c r="H113" s="39" t="s">
        <v>6958</v>
      </c>
      <c r="I113" s="39" t="s">
        <v>4989</v>
      </c>
      <c r="J113" s="39" t="s">
        <v>6959</v>
      </c>
      <c r="K113" s="39" t="s">
        <v>133</v>
      </c>
      <c r="L113" s="39" t="s">
        <v>4998</v>
      </c>
      <c r="M113" s="39" t="s">
        <v>4620</v>
      </c>
      <c r="N113" s="39">
        <v>17</v>
      </c>
      <c r="O113" s="39">
        <v>-10</v>
      </c>
      <c r="P113" s="39">
        <v>7</v>
      </c>
      <c r="Q113" s="39" t="s">
        <v>14</v>
      </c>
      <c r="R113" s="39">
        <v>0.25</v>
      </c>
      <c r="S113" s="39">
        <v>-0.95</v>
      </c>
      <c r="T113" s="39">
        <v>-12.77</v>
      </c>
      <c r="U113" s="39">
        <v>8.24</v>
      </c>
      <c r="V113" s="39">
        <v>22.82</v>
      </c>
      <c r="W113" s="39">
        <v>16.010000000000002</v>
      </c>
      <c r="X113" s="39">
        <v>16.22</v>
      </c>
      <c r="Y113" s="39">
        <v>-13.55</v>
      </c>
      <c r="Z113" s="39">
        <v>-32.39</v>
      </c>
      <c r="AA113" s="39">
        <v>84.6</v>
      </c>
      <c r="AB113" s="39">
        <v>63.07</v>
      </c>
      <c r="AC113" s="39">
        <v>983.84</v>
      </c>
      <c r="AD113" s="39" t="s">
        <v>4606</v>
      </c>
      <c r="AE113" s="39" t="s">
        <v>134</v>
      </c>
      <c r="AF113" s="39">
        <v>30</v>
      </c>
      <c r="AG113" s="42">
        <v>0.1273</v>
      </c>
      <c r="AH113" s="42">
        <v>131</v>
      </c>
      <c r="AI113" s="42">
        <v>0.1221</v>
      </c>
      <c r="AJ113" s="42" t="s">
        <v>6960</v>
      </c>
      <c r="AK113" s="42">
        <v>0.51529999999999998</v>
      </c>
      <c r="AL113" s="42" t="s">
        <v>6961</v>
      </c>
      <c r="AM113" s="42">
        <v>7.5999999999999998E-2</v>
      </c>
      <c r="AN113" s="42">
        <v>0.1008</v>
      </c>
      <c r="AO113" s="41">
        <v>70</v>
      </c>
      <c r="AP113" s="39">
        <v>45</v>
      </c>
      <c r="AQ113" s="39">
        <v>52</v>
      </c>
      <c r="AR113" s="39">
        <v>234</v>
      </c>
      <c r="AS113" s="39">
        <v>18</v>
      </c>
      <c r="AT113" s="39" t="s">
        <v>129</v>
      </c>
      <c r="AU113" s="39">
        <v>9</v>
      </c>
      <c r="AV113" s="39" t="s">
        <v>6337</v>
      </c>
      <c r="AW113" s="39">
        <v>202.17</v>
      </c>
      <c r="AX113" s="39">
        <v>205.08</v>
      </c>
      <c r="AY113" s="39">
        <v>208.07</v>
      </c>
      <c r="AZ113" s="39">
        <v>196.27</v>
      </c>
      <c r="BA113" s="39">
        <v>193.28</v>
      </c>
      <c r="BB113" s="39">
        <v>190.37</v>
      </c>
      <c r="BC113" s="39">
        <v>7</v>
      </c>
      <c r="BD113" s="39">
        <v>5</v>
      </c>
      <c r="BE113" s="39">
        <v>3</v>
      </c>
      <c r="BF113" s="39" t="s">
        <v>130</v>
      </c>
      <c r="BG113" s="39">
        <v>104.8</v>
      </c>
      <c r="BH113" s="39">
        <v>0.5</v>
      </c>
      <c r="BI113" s="39" t="s">
        <v>4563</v>
      </c>
      <c r="BJ113" s="39" t="s">
        <v>4563</v>
      </c>
    </row>
    <row r="114" spans="1:62" x14ac:dyDescent="0.35">
      <c r="A114" s="39" t="s">
        <v>899</v>
      </c>
      <c r="B114" s="39" t="str">
        <f>IFERROR(INDEX(added_new_stocks!$F$6:$H$2155,MATCH($A114,added_new_stocks!$F$6:$F$2600,0),3),"")</f>
        <v>Mid</v>
      </c>
      <c r="C114" s="39">
        <v>86.68</v>
      </c>
      <c r="D114" s="39">
        <v>81</v>
      </c>
      <c r="G114" s="39" t="s">
        <v>4633</v>
      </c>
      <c r="H114" s="39" t="s">
        <v>6962</v>
      </c>
      <c r="I114" s="39" t="s">
        <v>4989</v>
      </c>
      <c r="J114" s="39" t="s">
        <v>6963</v>
      </c>
      <c r="K114" s="39" t="s">
        <v>4957</v>
      </c>
      <c r="L114" s="39" t="s">
        <v>5075</v>
      </c>
      <c r="M114" s="39" t="s">
        <v>135</v>
      </c>
      <c r="N114" s="39">
        <v>30</v>
      </c>
      <c r="O114" s="39">
        <v>-3</v>
      </c>
      <c r="P114" s="39">
        <v>27</v>
      </c>
      <c r="Q114" s="39" t="s">
        <v>5060</v>
      </c>
      <c r="R114" s="39">
        <v>-0.2</v>
      </c>
      <c r="S114" s="39">
        <v>2.34</v>
      </c>
      <c r="T114" s="39">
        <v>-12.1</v>
      </c>
      <c r="U114" s="39">
        <v>-1.39</v>
      </c>
      <c r="V114" s="39">
        <v>17.690000000000001</v>
      </c>
      <c r="W114" s="39">
        <v>48.42</v>
      </c>
      <c r="X114" s="39">
        <v>88.43</v>
      </c>
      <c r="Y114" s="39">
        <v>46.42</v>
      </c>
      <c r="Z114" s="39" t="s">
        <v>4538</v>
      </c>
      <c r="AA114" s="39" t="s">
        <v>4538</v>
      </c>
      <c r="AB114" s="39" t="s">
        <v>4538</v>
      </c>
      <c r="AC114" s="39" t="s">
        <v>4538</v>
      </c>
      <c r="AD114" s="39" t="s">
        <v>5220</v>
      </c>
      <c r="AE114" s="39" t="s">
        <v>134</v>
      </c>
      <c r="AF114" s="39">
        <v>22</v>
      </c>
      <c r="AG114" s="42">
        <v>0.3705</v>
      </c>
      <c r="AH114" s="42">
        <v>155</v>
      </c>
      <c r="AI114" s="42">
        <v>0.2145</v>
      </c>
      <c r="AJ114" s="42"/>
      <c r="AL114" s="42" t="s">
        <v>5261</v>
      </c>
      <c r="AM114" s="42">
        <v>6.7699999999999996E-2</v>
      </c>
      <c r="AN114" s="42">
        <v>0.2646</v>
      </c>
      <c r="AO114" s="41">
        <v>65</v>
      </c>
      <c r="AP114" s="39">
        <v>50</v>
      </c>
      <c r="AQ114" s="39">
        <v>52</v>
      </c>
      <c r="AR114" s="39">
        <v>106</v>
      </c>
      <c r="AS114" s="39">
        <v>26</v>
      </c>
      <c r="AT114" s="39" t="s">
        <v>129</v>
      </c>
      <c r="AU114" s="39">
        <v>14</v>
      </c>
      <c r="AV114" s="39" t="s">
        <v>6338</v>
      </c>
      <c r="AW114" s="39">
        <v>85.43</v>
      </c>
      <c r="AX114" s="39">
        <v>86.67</v>
      </c>
      <c r="AY114" s="39">
        <v>87.48</v>
      </c>
      <c r="AZ114" s="39">
        <v>83.38</v>
      </c>
      <c r="BA114" s="39">
        <v>82.57</v>
      </c>
      <c r="BB114" s="39">
        <v>81.33</v>
      </c>
      <c r="BC114" s="39">
        <v>8</v>
      </c>
      <c r="BD114" s="39">
        <v>3</v>
      </c>
      <c r="BE114" s="39">
        <v>6</v>
      </c>
      <c r="BF114" s="39" t="s">
        <v>130</v>
      </c>
      <c r="BG114" s="39">
        <v>78.900000000000006</v>
      </c>
      <c r="BH114" s="39">
        <v>0.9</v>
      </c>
      <c r="BI114" s="39" t="s">
        <v>4563</v>
      </c>
      <c r="BJ114" s="39" t="s">
        <v>4563</v>
      </c>
    </row>
    <row r="115" spans="1:62" x14ac:dyDescent="0.35">
      <c r="A115" s="39" t="s">
        <v>1025</v>
      </c>
      <c r="B115" s="39" t="str">
        <f>IFERROR(INDEX(added_new_stocks!$F$6:$H$2155,MATCH($A115,added_new_stocks!$F$6:$F$2600,0),3),"")</f>
        <v>Mid</v>
      </c>
      <c r="C115" s="48">
        <v>5525.05</v>
      </c>
      <c r="D115" s="39">
        <v>84</v>
      </c>
      <c r="G115" s="39" t="s">
        <v>4633</v>
      </c>
      <c r="H115" s="39" t="s">
        <v>6964</v>
      </c>
      <c r="I115" s="39" t="s">
        <v>4624</v>
      </c>
      <c r="J115" s="39" t="s">
        <v>6965</v>
      </c>
      <c r="K115" s="39" t="s">
        <v>4957</v>
      </c>
      <c r="L115" s="39" t="s">
        <v>6966</v>
      </c>
      <c r="M115" s="39" t="s">
        <v>4959</v>
      </c>
      <c r="N115" s="39">
        <v>25</v>
      </c>
      <c r="O115" s="39">
        <v>-2</v>
      </c>
      <c r="P115" s="39">
        <v>23</v>
      </c>
      <c r="Q115" s="39" t="s">
        <v>5060</v>
      </c>
      <c r="R115" s="39">
        <v>-1.25</v>
      </c>
      <c r="S115" s="39">
        <v>-3.9</v>
      </c>
      <c r="T115" s="39">
        <v>14.85</v>
      </c>
      <c r="U115" s="39">
        <v>41.8</v>
      </c>
      <c r="V115" s="39">
        <v>49.91</v>
      </c>
      <c r="W115" s="39">
        <v>33.96</v>
      </c>
      <c r="X115" s="39">
        <v>70.2</v>
      </c>
      <c r="Y115" s="39">
        <v>147.18</v>
      </c>
      <c r="Z115" s="39">
        <v>278.60000000000002</v>
      </c>
      <c r="AA115" s="39">
        <v>443.4</v>
      </c>
      <c r="AB115" s="39">
        <v>508.32</v>
      </c>
      <c r="AC115" s="39">
        <v>1594.28</v>
      </c>
      <c r="AD115" s="39" t="s">
        <v>4606</v>
      </c>
      <c r="AE115" s="39" t="s">
        <v>134</v>
      </c>
      <c r="AF115" s="39">
        <v>11</v>
      </c>
      <c r="AG115" s="42">
        <v>0.125</v>
      </c>
      <c r="AH115" s="42">
        <v>54</v>
      </c>
      <c r="AI115" s="42">
        <v>9.4999999999999998E-3</v>
      </c>
      <c r="AJ115" s="42" t="s">
        <v>6967</v>
      </c>
      <c r="AK115" s="42">
        <v>0.37309999999999999</v>
      </c>
      <c r="AL115" s="39" t="s">
        <v>6968</v>
      </c>
      <c r="AM115" s="42">
        <v>9.8199999999999996E-2</v>
      </c>
      <c r="AN115" s="42">
        <v>9.98E-2</v>
      </c>
      <c r="AO115" s="41">
        <v>80</v>
      </c>
      <c r="AP115" s="39">
        <v>15</v>
      </c>
      <c r="AQ115" s="39">
        <v>69</v>
      </c>
      <c r="AS115" s="39" t="s">
        <v>4564</v>
      </c>
      <c r="AV115" s="39" t="s">
        <v>6339</v>
      </c>
      <c r="AW115" s="39">
        <v>5699.18</v>
      </c>
      <c r="AX115" s="39">
        <v>5761.82</v>
      </c>
      <c r="AY115" s="39">
        <v>5836.63</v>
      </c>
      <c r="AZ115" s="39">
        <v>5561.73</v>
      </c>
      <c r="BA115" s="39">
        <v>5486.92</v>
      </c>
      <c r="BB115" s="39">
        <v>5424.28</v>
      </c>
      <c r="BC115" s="39">
        <v>2</v>
      </c>
      <c r="BD115" s="39">
        <v>2</v>
      </c>
      <c r="BE115" s="39" t="s">
        <v>130</v>
      </c>
      <c r="BF115" s="39">
        <v>0.34</v>
      </c>
      <c r="BG115" s="39">
        <v>23</v>
      </c>
      <c r="BH115" s="39">
        <v>614</v>
      </c>
      <c r="BI115" s="39" t="s">
        <v>4651</v>
      </c>
      <c r="BJ115" s="39" t="s">
        <v>4563</v>
      </c>
    </row>
    <row r="116" spans="1:62" x14ac:dyDescent="0.35">
      <c r="A116" s="39" t="s">
        <v>518</v>
      </c>
      <c r="B116" s="39" t="str">
        <f>IFERROR(INDEX(added_new_stocks!$F$6:$H$2155,MATCH($A116,added_new_stocks!$F$6:$F$2600,0),3),"")</f>
        <v>Large</v>
      </c>
      <c r="C116" s="48">
        <v>3252.75</v>
      </c>
      <c r="D116" s="48">
        <v>71</v>
      </c>
      <c r="G116" s="39" t="s">
        <v>129</v>
      </c>
      <c r="H116" s="39" t="s">
        <v>6969</v>
      </c>
      <c r="I116" s="39" t="s">
        <v>4624</v>
      </c>
      <c r="J116" s="39" t="s">
        <v>6970</v>
      </c>
      <c r="K116" s="39" t="s">
        <v>133</v>
      </c>
      <c r="L116" s="39" t="s">
        <v>5209</v>
      </c>
      <c r="M116" s="39" t="s">
        <v>4959</v>
      </c>
      <c r="N116" s="39">
        <v>20</v>
      </c>
      <c r="O116" s="39">
        <v>-4</v>
      </c>
      <c r="P116" s="39">
        <v>16</v>
      </c>
      <c r="Q116" s="39" t="s">
        <v>14</v>
      </c>
      <c r="R116" s="39">
        <v>6.81</v>
      </c>
      <c r="S116" s="39">
        <v>12.14</v>
      </c>
      <c r="T116" s="39">
        <v>28.22</v>
      </c>
      <c r="U116" s="39">
        <v>54.54</v>
      </c>
      <c r="V116" s="39">
        <v>61.57</v>
      </c>
      <c r="W116" s="39">
        <v>51.99</v>
      </c>
      <c r="X116" s="39">
        <v>63.07</v>
      </c>
      <c r="Y116" s="39">
        <v>138.05000000000001</v>
      </c>
      <c r="Z116" s="39">
        <v>185.05</v>
      </c>
      <c r="AA116" s="39">
        <v>537.54</v>
      </c>
      <c r="AB116" s="39">
        <v>269.99</v>
      </c>
      <c r="AC116" s="39">
        <v>3852.31</v>
      </c>
      <c r="AD116" s="39" t="s">
        <v>4606</v>
      </c>
      <c r="AE116" s="39" t="s">
        <v>134</v>
      </c>
      <c r="AF116" s="39">
        <v>30</v>
      </c>
      <c r="AG116" s="42">
        <v>8.1299999999999997E-2</v>
      </c>
      <c r="AH116" s="42">
        <v>158</v>
      </c>
      <c r="AI116" s="42">
        <v>5.6000000000000001E-2</v>
      </c>
      <c r="AJ116" s="42" t="s">
        <v>5210</v>
      </c>
      <c r="AK116" s="42">
        <v>0.53500000000000003</v>
      </c>
      <c r="AL116" s="42" t="s">
        <v>5211</v>
      </c>
      <c r="AM116" s="42">
        <v>1.6899999999999998E-2</v>
      </c>
      <c r="AN116" s="42">
        <v>0.1178</v>
      </c>
      <c r="AO116" s="41">
        <v>50</v>
      </c>
      <c r="AP116" s="39">
        <v>22</v>
      </c>
      <c r="AQ116" s="39">
        <v>68</v>
      </c>
      <c r="AR116" s="45">
        <v>2316</v>
      </c>
      <c r="AS116" s="39">
        <v>-24</v>
      </c>
      <c r="AT116" s="39" t="s">
        <v>4625</v>
      </c>
      <c r="AU116" s="39">
        <v>21</v>
      </c>
      <c r="AV116" s="39" t="s">
        <v>6340</v>
      </c>
      <c r="AW116" s="39">
        <v>3129.32</v>
      </c>
      <c r="AX116" s="39">
        <v>3207.13</v>
      </c>
      <c r="AY116" s="39">
        <v>3289.27</v>
      </c>
      <c r="AZ116" s="39">
        <v>2969.37</v>
      </c>
      <c r="BA116" s="39">
        <v>2887.23</v>
      </c>
      <c r="BB116" s="39">
        <v>2809.42</v>
      </c>
      <c r="BC116" s="39">
        <v>13</v>
      </c>
      <c r="BD116" s="39">
        <v>4</v>
      </c>
      <c r="BE116" s="39">
        <v>7</v>
      </c>
      <c r="BF116" s="39">
        <v>1</v>
      </c>
      <c r="BG116" s="48">
        <v>1088.7</v>
      </c>
      <c r="BH116" s="39">
        <v>0.4</v>
      </c>
      <c r="BI116" s="39" t="s">
        <v>4639</v>
      </c>
      <c r="BJ116" s="39" t="s">
        <v>4563</v>
      </c>
    </row>
    <row r="117" spans="1:62" x14ac:dyDescent="0.35">
      <c r="A117" s="39" t="s">
        <v>659</v>
      </c>
      <c r="B117" s="39" t="str">
        <f>IFERROR(INDEX(added_new_stocks!$F$6:$H$2155,MATCH($A117,added_new_stocks!$F$6:$F$2600,0),3),"")</f>
        <v>Mid</v>
      </c>
      <c r="C117" s="39">
        <v>261.35000000000002</v>
      </c>
      <c r="D117" s="48">
        <v>61</v>
      </c>
      <c r="G117" s="39" t="s">
        <v>4562</v>
      </c>
      <c r="H117" s="39" t="s">
        <v>5212</v>
      </c>
      <c r="I117" s="39" t="s">
        <v>4624</v>
      </c>
      <c r="J117" s="39" t="s">
        <v>5213</v>
      </c>
      <c r="K117" s="39" t="s">
        <v>133</v>
      </c>
      <c r="L117" s="39" t="s">
        <v>5214</v>
      </c>
      <c r="M117" s="39" t="s">
        <v>135</v>
      </c>
      <c r="N117" s="39">
        <v>3</v>
      </c>
      <c r="O117" s="39">
        <v>-13</v>
      </c>
      <c r="P117" s="39">
        <v>-10</v>
      </c>
      <c r="Q117" s="39" t="s">
        <v>4605</v>
      </c>
      <c r="R117" s="39">
        <v>0.36</v>
      </c>
      <c r="S117" s="39">
        <v>-2.52</v>
      </c>
      <c r="T117" s="39">
        <v>4.0599999999999996</v>
      </c>
      <c r="U117" s="39">
        <v>26.07</v>
      </c>
      <c r="V117" s="39">
        <v>45.44</v>
      </c>
      <c r="W117" s="39">
        <v>44.99</v>
      </c>
      <c r="X117" s="39">
        <v>62.83</v>
      </c>
      <c r="Y117" s="39">
        <v>61.73</v>
      </c>
      <c r="Z117" s="39">
        <v>51.73</v>
      </c>
      <c r="AA117" s="39">
        <v>46.25</v>
      </c>
      <c r="AB117" s="39">
        <v>-8.1</v>
      </c>
      <c r="AC117" s="39">
        <v>108.33</v>
      </c>
      <c r="AD117" s="39" t="s">
        <v>4606</v>
      </c>
      <c r="AE117" s="39" t="s">
        <v>134</v>
      </c>
      <c r="AF117" s="39">
        <v>27</v>
      </c>
      <c r="AG117" s="42">
        <v>0.1232</v>
      </c>
      <c r="AH117" s="42">
        <v>197</v>
      </c>
      <c r="AI117" s="42">
        <v>0.12859999999999999</v>
      </c>
      <c r="AJ117" s="42" t="s">
        <v>5215</v>
      </c>
      <c r="AK117" s="42">
        <v>0.45989999999999998</v>
      </c>
      <c r="AL117" s="42" t="s">
        <v>5216</v>
      </c>
      <c r="AM117" s="42">
        <v>4.6899999999999997E-2</v>
      </c>
      <c r="AN117" s="42">
        <v>0.1444</v>
      </c>
      <c r="AO117" s="41">
        <v>60</v>
      </c>
      <c r="AP117" s="39">
        <v>41</v>
      </c>
      <c r="AQ117" s="39">
        <v>62</v>
      </c>
      <c r="AR117" s="39">
        <v>249</v>
      </c>
      <c r="AS117" s="39">
        <v>-4</v>
      </c>
      <c r="AT117" s="39" t="s">
        <v>4562</v>
      </c>
      <c r="AU117" s="39">
        <v>18</v>
      </c>
      <c r="AV117" s="39" t="s">
        <v>6341</v>
      </c>
      <c r="AW117" s="39">
        <v>264.08</v>
      </c>
      <c r="AX117" s="39">
        <v>269.17</v>
      </c>
      <c r="AY117" s="39">
        <v>272.77999999999997</v>
      </c>
      <c r="AZ117" s="39">
        <v>255.38</v>
      </c>
      <c r="BA117" s="39">
        <v>251.77</v>
      </c>
      <c r="BB117" s="39">
        <v>246.68</v>
      </c>
      <c r="BC117" s="39">
        <v>8</v>
      </c>
      <c r="BD117" s="39">
        <v>3</v>
      </c>
      <c r="BE117" s="39">
        <v>4</v>
      </c>
      <c r="BF117" s="39" t="s">
        <v>130</v>
      </c>
      <c r="BG117" s="39">
        <v>171.2</v>
      </c>
      <c r="BH117" s="39">
        <v>0.7</v>
      </c>
      <c r="BI117" s="39" t="s">
        <v>4563</v>
      </c>
      <c r="BJ117" s="39" t="s">
        <v>4563</v>
      </c>
    </row>
    <row r="118" spans="1:62" x14ac:dyDescent="0.35">
      <c r="A118" s="39" t="s">
        <v>1159</v>
      </c>
      <c r="B118" s="39" t="str">
        <f>IFERROR(INDEX(added_new_stocks!$F$6:$H$2155,MATCH($A118,added_new_stocks!$F$6:$F$2600,0),3),"")</f>
        <v>Small</v>
      </c>
      <c r="C118" s="39">
        <v>386.75</v>
      </c>
      <c r="D118" s="39">
        <v>70</v>
      </c>
      <c r="G118" s="39" t="s">
        <v>129</v>
      </c>
      <c r="H118" s="39" t="s">
        <v>6971</v>
      </c>
      <c r="I118" s="39" t="s">
        <v>4624</v>
      </c>
      <c r="J118" s="39" t="s">
        <v>6972</v>
      </c>
      <c r="K118" s="39" t="s">
        <v>4615</v>
      </c>
      <c r="L118" s="39" t="s">
        <v>6973</v>
      </c>
      <c r="M118" s="39" t="s">
        <v>4959</v>
      </c>
      <c r="N118" s="39">
        <v>20</v>
      </c>
      <c r="O118" s="39">
        <v>0</v>
      </c>
      <c r="P118" s="39">
        <v>20</v>
      </c>
      <c r="Q118" s="39" t="s">
        <v>5060</v>
      </c>
      <c r="R118" s="39">
        <v>2.34</v>
      </c>
      <c r="S118" s="39">
        <v>-1.01</v>
      </c>
      <c r="T118" s="39">
        <v>12.22</v>
      </c>
      <c r="U118" s="39">
        <v>29</v>
      </c>
      <c r="V118" s="39">
        <v>50.05</v>
      </c>
      <c r="W118" s="39">
        <v>42.45</v>
      </c>
      <c r="X118" s="39">
        <v>46.91</v>
      </c>
      <c r="Y118" s="39">
        <v>11.1</v>
      </c>
      <c r="Z118" s="39">
        <v>17.62</v>
      </c>
      <c r="AA118" s="39">
        <v>140.44</v>
      </c>
      <c r="AB118" s="39">
        <v>56.33</v>
      </c>
      <c r="AC118" s="39">
        <v>367.94</v>
      </c>
      <c r="AD118" s="39" t="s">
        <v>4606</v>
      </c>
      <c r="AE118" s="39" t="s">
        <v>134</v>
      </c>
      <c r="AF118" s="39">
        <v>9</v>
      </c>
      <c r="AG118" s="42">
        <v>8.8800000000000004E-2</v>
      </c>
      <c r="AH118" s="42">
        <v>80</v>
      </c>
      <c r="AI118" s="42">
        <v>2.06E-2</v>
      </c>
      <c r="AJ118" s="42" t="s">
        <v>6974</v>
      </c>
      <c r="AK118" s="42">
        <v>0.19400000000000001</v>
      </c>
      <c r="AL118" s="42" t="s">
        <v>6975</v>
      </c>
      <c r="AM118" s="42">
        <v>5.4899999999999997E-2</v>
      </c>
      <c r="AN118" s="42">
        <v>0.15590000000000001</v>
      </c>
      <c r="AO118" s="41">
        <v>70</v>
      </c>
      <c r="AP118" s="39">
        <v>34</v>
      </c>
      <c r="AQ118" s="39">
        <v>62</v>
      </c>
      <c r="AS118" s="39" t="s">
        <v>4564</v>
      </c>
      <c r="AT118" s="39" t="s">
        <v>4633</v>
      </c>
      <c r="AU118" s="39">
        <v>1</v>
      </c>
      <c r="AV118" s="39" t="s">
        <v>6342</v>
      </c>
      <c r="AW118" s="39">
        <v>388.78</v>
      </c>
      <c r="AX118" s="39">
        <v>395.27</v>
      </c>
      <c r="AY118" s="39">
        <v>402.83</v>
      </c>
      <c r="AZ118" s="39">
        <v>374.73</v>
      </c>
      <c r="BA118" s="39">
        <v>367.17</v>
      </c>
      <c r="BB118" s="39">
        <v>360.68</v>
      </c>
      <c r="BC118" s="39">
        <v>4</v>
      </c>
      <c r="BD118" s="39">
        <v>3</v>
      </c>
      <c r="BE118" s="39" t="s">
        <v>130</v>
      </c>
      <c r="BF118" s="39">
        <v>-0.63</v>
      </c>
      <c r="BG118" s="39">
        <v>9</v>
      </c>
      <c r="BH118" s="39">
        <v>194.3</v>
      </c>
      <c r="BI118" s="39" t="s">
        <v>131</v>
      </c>
      <c r="BJ118" s="39" t="s">
        <v>4565</v>
      </c>
    </row>
    <row r="119" spans="1:62" x14ac:dyDescent="0.35">
      <c r="A119" s="39" t="s">
        <v>715</v>
      </c>
      <c r="B119" s="39" t="str">
        <f>IFERROR(INDEX(added_new_stocks!$F$6:$H$2155,MATCH($A119,added_new_stocks!$F$6:$F$2600,0),3),"")</f>
        <v>Mid</v>
      </c>
      <c r="C119" s="48">
        <v>1084.0999999999999</v>
      </c>
      <c r="D119" s="39">
        <v>65</v>
      </c>
      <c r="G119" s="39" t="s">
        <v>4562</v>
      </c>
      <c r="H119" s="39" t="s">
        <v>6976</v>
      </c>
      <c r="I119" s="39" t="s">
        <v>4624</v>
      </c>
      <c r="J119" s="39" t="s">
        <v>6977</v>
      </c>
      <c r="K119" s="39" t="s">
        <v>133</v>
      </c>
      <c r="L119" s="39" t="s">
        <v>6978</v>
      </c>
      <c r="M119" s="39" t="s">
        <v>4959</v>
      </c>
      <c r="N119" s="39">
        <v>4</v>
      </c>
      <c r="O119" s="39">
        <v>-1</v>
      </c>
      <c r="P119" s="39">
        <v>3</v>
      </c>
      <c r="Q119" s="39" t="s">
        <v>4611</v>
      </c>
      <c r="R119" s="39">
        <v>1.57</v>
      </c>
      <c r="S119" s="39">
        <v>-0.74</v>
      </c>
      <c r="T119" s="39">
        <v>4.2</v>
      </c>
      <c r="U119" s="39">
        <v>37.380000000000003</v>
      </c>
      <c r="V119" s="39">
        <v>53.5</v>
      </c>
      <c r="W119" s="39">
        <v>98.35</v>
      </c>
      <c r="X119" s="39">
        <v>135.34</v>
      </c>
      <c r="Y119" s="39">
        <v>138.29</v>
      </c>
      <c r="Z119" s="39">
        <v>259.45</v>
      </c>
      <c r="AA119" s="39">
        <v>195.11</v>
      </c>
      <c r="AB119" s="39">
        <v>96.63</v>
      </c>
      <c r="AC119" s="39">
        <v>2007.09</v>
      </c>
      <c r="AD119" s="39" t="s">
        <v>5015</v>
      </c>
      <c r="AE119" s="39" t="s">
        <v>134</v>
      </c>
      <c r="AF119" s="39">
        <v>19</v>
      </c>
      <c r="AG119" s="42">
        <v>0.12189999999999999</v>
      </c>
      <c r="AH119" s="42">
        <v>158</v>
      </c>
      <c r="AI119" s="42">
        <v>0.11260000000000001</v>
      </c>
      <c r="AJ119" s="42" t="s">
        <v>6979</v>
      </c>
      <c r="AK119" s="42">
        <v>0.3075</v>
      </c>
      <c r="AL119" s="42" t="s">
        <v>767</v>
      </c>
      <c r="AM119" s="42">
        <v>0.14530000000000001</v>
      </c>
      <c r="AN119" s="42">
        <v>0.17780000000000001</v>
      </c>
      <c r="AO119" s="41">
        <v>55</v>
      </c>
      <c r="AP119" s="39">
        <v>29</v>
      </c>
      <c r="AQ119" s="39">
        <v>64</v>
      </c>
      <c r="AR119" s="45">
        <v>1147</v>
      </c>
      <c r="AS119" s="39">
        <v>6</v>
      </c>
      <c r="AT119" s="39" t="s">
        <v>129</v>
      </c>
      <c r="AU119" s="39">
        <v>8</v>
      </c>
      <c r="AV119" s="39" t="s">
        <v>6343</v>
      </c>
      <c r="AW119" s="39">
        <v>1092.57</v>
      </c>
      <c r="AX119" s="39">
        <v>1107.28</v>
      </c>
      <c r="AY119" s="39">
        <v>1128.57</v>
      </c>
      <c r="AZ119" s="39">
        <v>1056.57</v>
      </c>
      <c r="BA119" s="39">
        <v>1035.28</v>
      </c>
      <c r="BB119" s="39">
        <v>1020.57</v>
      </c>
      <c r="BC119" s="39">
        <v>7</v>
      </c>
      <c r="BD119" s="39">
        <v>3</v>
      </c>
      <c r="BE119" s="39">
        <v>6</v>
      </c>
      <c r="BF119" s="39" t="s">
        <v>130</v>
      </c>
      <c r="BG119" s="39">
        <v>478.7</v>
      </c>
      <c r="BH119" s="39">
        <v>0.4</v>
      </c>
      <c r="BI119" s="39" t="s">
        <v>4563</v>
      </c>
      <c r="BJ119" s="39" t="s">
        <v>4563</v>
      </c>
    </row>
    <row r="120" spans="1:62" x14ac:dyDescent="0.35">
      <c r="A120" s="39" t="s">
        <v>701</v>
      </c>
      <c r="B120" s="39" t="str">
        <f>IFERROR(INDEX(added_new_stocks!$F$6:$H$2155,MATCH($A120,added_new_stocks!$F$6:$F$2600,0),3),"")</f>
        <v>Mid</v>
      </c>
      <c r="C120" s="48">
        <v>4842.6499999999996</v>
      </c>
      <c r="D120" s="48">
        <v>41</v>
      </c>
      <c r="G120" s="39" t="s">
        <v>4625</v>
      </c>
      <c r="H120" s="39" t="s">
        <v>6980</v>
      </c>
      <c r="I120" s="39" t="s">
        <v>4976</v>
      </c>
      <c r="J120" s="39" t="s">
        <v>6981</v>
      </c>
      <c r="K120" s="39" t="s">
        <v>4957</v>
      </c>
      <c r="L120" s="39" t="s">
        <v>6982</v>
      </c>
      <c r="M120" s="39" t="s">
        <v>4959</v>
      </c>
      <c r="N120" s="39">
        <v>1</v>
      </c>
      <c r="O120" s="39">
        <v>-14</v>
      </c>
      <c r="P120" s="39">
        <v>-13</v>
      </c>
      <c r="Q120" s="39" t="s">
        <v>4605</v>
      </c>
      <c r="R120" s="39">
        <v>0.72</v>
      </c>
      <c r="S120" s="39">
        <v>6.37</v>
      </c>
      <c r="T120" s="39">
        <v>8.18</v>
      </c>
      <c r="U120" s="39">
        <v>7.91</v>
      </c>
      <c r="V120" s="39">
        <v>6.56</v>
      </c>
      <c r="W120" s="39">
        <v>-15.7</v>
      </c>
      <c r="X120" s="39">
        <v>-21.86</v>
      </c>
      <c r="Y120" s="39">
        <v>71.959999999999994</v>
      </c>
      <c r="Z120" s="39">
        <v>79.55</v>
      </c>
      <c r="AA120" s="39">
        <v>237.11</v>
      </c>
      <c r="AB120" s="39">
        <v>381.26</v>
      </c>
      <c r="AC120" s="39" t="s">
        <v>4538</v>
      </c>
      <c r="AD120" s="39" t="s">
        <v>4606</v>
      </c>
      <c r="AE120" s="39" t="s">
        <v>134</v>
      </c>
      <c r="AF120" s="39">
        <v>19</v>
      </c>
      <c r="AG120" s="42">
        <v>0.11899999999999999</v>
      </c>
      <c r="AH120" s="42">
        <v>104</v>
      </c>
      <c r="AI120" s="42">
        <v>3.78E-2</v>
      </c>
      <c r="AJ120" s="42" t="s">
        <v>6983</v>
      </c>
      <c r="AK120" s="42">
        <v>0.1411</v>
      </c>
      <c r="AL120" s="42" t="s">
        <v>5589</v>
      </c>
      <c r="AM120" s="42">
        <v>5.2699999999999997E-2</v>
      </c>
      <c r="AN120" s="42">
        <v>7.5800000000000006E-2</v>
      </c>
      <c r="AO120" s="41">
        <v>85</v>
      </c>
      <c r="AP120" s="39">
        <v>30</v>
      </c>
      <c r="AQ120" s="39">
        <v>43</v>
      </c>
      <c r="AR120" s="45">
        <v>4253</v>
      </c>
      <c r="AS120" s="39">
        <v>-6</v>
      </c>
      <c r="AT120" s="39" t="s">
        <v>4625</v>
      </c>
      <c r="AU120" s="39">
        <v>8</v>
      </c>
      <c r="AV120" s="39" t="s">
        <v>6344</v>
      </c>
      <c r="AW120" s="39">
        <v>4570.8500000000004</v>
      </c>
      <c r="AX120" s="39">
        <v>4614.5</v>
      </c>
      <c r="AY120" s="39">
        <v>4639</v>
      </c>
      <c r="AZ120" s="39">
        <v>4502.7</v>
      </c>
      <c r="BA120" s="39">
        <v>4478.2</v>
      </c>
      <c r="BB120" s="39">
        <v>4434.55</v>
      </c>
      <c r="BC120" s="39">
        <v>9</v>
      </c>
      <c r="BD120" s="39">
        <v>5</v>
      </c>
      <c r="BE120" s="39">
        <v>2</v>
      </c>
      <c r="BF120" s="39" t="s">
        <v>130</v>
      </c>
      <c r="BG120" s="48">
        <v>1434.8</v>
      </c>
      <c r="BH120" s="39">
        <v>0.3</v>
      </c>
      <c r="BI120" s="39" t="s">
        <v>131</v>
      </c>
      <c r="BJ120" s="39" t="s">
        <v>4563</v>
      </c>
    </row>
    <row r="121" spans="1:62" x14ac:dyDescent="0.35">
      <c r="A121" s="39" t="s">
        <v>589</v>
      </c>
      <c r="B121" s="39" t="str">
        <f>IFERROR(INDEX(added_new_stocks!$F$6:$H$2155,MATCH($A121,added_new_stocks!$F$6:$F$2600,0),3),"")</f>
        <v>Mid</v>
      </c>
      <c r="C121" s="39">
        <v>331.5</v>
      </c>
      <c r="D121" s="48">
        <v>65</v>
      </c>
      <c r="G121" s="39" t="s">
        <v>4562</v>
      </c>
      <c r="H121" s="39" t="s">
        <v>5222</v>
      </c>
      <c r="I121" s="39" t="s">
        <v>4624</v>
      </c>
      <c r="J121" s="39" t="s">
        <v>6984</v>
      </c>
      <c r="K121" s="39" t="s">
        <v>4615</v>
      </c>
      <c r="L121" s="39" t="s">
        <v>5224</v>
      </c>
      <c r="M121" s="39" t="s">
        <v>5047</v>
      </c>
      <c r="N121" s="39">
        <v>7</v>
      </c>
      <c r="O121" s="39">
        <v>-6</v>
      </c>
      <c r="P121" s="39">
        <v>1</v>
      </c>
      <c r="Q121" s="39" t="s">
        <v>4611</v>
      </c>
      <c r="R121" s="39">
        <v>-0.88</v>
      </c>
      <c r="S121" s="39">
        <v>2.6</v>
      </c>
      <c r="T121" s="39">
        <v>-1</v>
      </c>
      <c r="U121" s="39">
        <v>18.03</v>
      </c>
      <c r="V121" s="39">
        <v>21.03</v>
      </c>
      <c r="W121" s="39">
        <v>15.85</v>
      </c>
      <c r="X121" s="39">
        <v>12.58</v>
      </c>
      <c r="Y121" s="39">
        <v>16.010000000000002</v>
      </c>
      <c r="Z121" s="39">
        <v>149.06</v>
      </c>
      <c r="AA121" s="39">
        <v>166.16</v>
      </c>
      <c r="AB121" s="39">
        <v>122.93</v>
      </c>
      <c r="AC121" s="39">
        <v>248.21</v>
      </c>
      <c r="AD121" s="39" t="s">
        <v>4606</v>
      </c>
      <c r="AE121" s="39" t="s">
        <v>134</v>
      </c>
      <c r="AF121" s="39">
        <v>19</v>
      </c>
      <c r="AG121" s="42">
        <v>0.18490000000000001</v>
      </c>
      <c r="AH121" s="42">
        <v>232</v>
      </c>
      <c r="AI121" s="42">
        <v>0.30030000000000001</v>
      </c>
      <c r="AJ121" s="42" t="s">
        <v>5225</v>
      </c>
      <c r="AK121" s="42">
        <v>0.31169999999999998</v>
      </c>
      <c r="AL121" s="42" t="s">
        <v>5226</v>
      </c>
      <c r="AM121" s="42">
        <v>4.5900000000000003E-2</v>
      </c>
      <c r="AN121" s="42">
        <v>0.1181</v>
      </c>
      <c r="AO121" s="41" t="s">
        <v>130</v>
      </c>
      <c r="AP121" s="39">
        <v>31</v>
      </c>
      <c r="AQ121" s="39">
        <v>69</v>
      </c>
      <c r="AR121" s="39">
        <v>376</v>
      </c>
      <c r="AS121" s="39">
        <v>13</v>
      </c>
      <c r="AT121" s="39" t="s">
        <v>129</v>
      </c>
      <c r="AU121" s="39">
        <v>11</v>
      </c>
      <c r="AV121" s="39" t="s">
        <v>6345</v>
      </c>
      <c r="AW121" s="39">
        <v>336.45</v>
      </c>
      <c r="AX121" s="39">
        <v>339.45</v>
      </c>
      <c r="AY121" s="39">
        <v>343.75</v>
      </c>
      <c r="AZ121" s="39">
        <v>329.15</v>
      </c>
      <c r="BA121" s="39">
        <v>324.85000000000002</v>
      </c>
      <c r="BB121" s="39">
        <v>321.85000000000002</v>
      </c>
      <c r="BC121" s="39">
        <v>12</v>
      </c>
      <c r="BD121" s="39">
        <v>2</v>
      </c>
      <c r="BE121" s="39">
        <v>6</v>
      </c>
      <c r="BF121" s="39">
        <v>1</v>
      </c>
      <c r="BG121" s="39">
        <v>136</v>
      </c>
      <c r="BH121" s="39">
        <v>0.4</v>
      </c>
      <c r="BI121" s="39" t="s">
        <v>4563</v>
      </c>
      <c r="BJ121" s="39" t="s">
        <v>4563</v>
      </c>
    </row>
    <row r="122" spans="1:62" x14ac:dyDescent="0.35">
      <c r="A122" s="39" t="s">
        <v>1176</v>
      </c>
      <c r="B122" s="39" t="str">
        <f>IFERROR(INDEX(added_new_stocks!$F$6:$H$2155,MATCH($A122,added_new_stocks!$F$6:$F$2600,0),3),"")</f>
        <v>Small</v>
      </c>
      <c r="C122" s="39">
        <v>622.70000000000005</v>
      </c>
      <c r="D122" s="39">
        <v>81</v>
      </c>
      <c r="G122" s="39" t="s">
        <v>4633</v>
      </c>
      <c r="H122" s="39" t="s">
        <v>6985</v>
      </c>
      <c r="I122" s="39" t="s">
        <v>4989</v>
      </c>
      <c r="J122" s="39" t="s">
        <v>6986</v>
      </c>
      <c r="K122" s="39" t="s">
        <v>133</v>
      </c>
      <c r="L122" s="39" t="s">
        <v>4998</v>
      </c>
      <c r="N122" s="39">
        <v>28</v>
      </c>
      <c r="O122" s="39">
        <v>0</v>
      </c>
      <c r="P122" s="39">
        <v>28</v>
      </c>
      <c r="Q122" s="39" t="s">
        <v>5060</v>
      </c>
      <c r="R122" s="39">
        <v>-2.12</v>
      </c>
      <c r="S122" s="39">
        <v>3.7</v>
      </c>
      <c r="T122" s="39">
        <v>-5.07</v>
      </c>
      <c r="U122" s="39">
        <v>24.45</v>
      </c>
      <c r="V122" s="39">
        <v>54.25</v>
      </c>
      <c r="W122" s="39">
        <v>71.569999999999993</v>
      </c>
      <c r="X122" s="39" t="s">
        <v>4538</v>
      </c>
      <c r="Y122" s="39" t="s">
        <v>4538</v>
      </c>
      <c r="Z122" s="39" t="s">
        <v>4538</v>
      </c>
      <c r="AA122" s="39" t="s">
        <v>4538</v>
      </c>
      <c r="AB122" s="39" t="s">
        <v>4538</v>
      </c>
      <c r="AC122" s="39" t="s">
        <v>4538</v>
      </c>
      <c r="AD122" s="39" t="s">
        <v>4606</v>
      </c>
      <c r="AE122" s="39">
        <v>2.36</v>
      </c>
      <c r="AF122" s="39">
        <v>8</v>
      </c>
      <c r="AG122" s="42">
        <v>0.11459999999999999</v>
      </c>
      <c r="AH122" s="42">
        <v>33</v>
      </c>
      <c r="AI122" s="42">
        <v>5.4399999999999997E-2</v>
      </c>
      <c r="AJ122" s="42" t="s">
        <v>6987</v>
      </c>
      <c r="AK122" s="42">
        <v>0.39369999999999999</v>
      </c>
      <c r="AL122" s="42" t="s">
        <v>5573</v>
      </c>
      <c r="AM122" s="42">
        <v>4.7300000000000002E-2</v>
      </c>
      <c r="AN122" s="42">
        <v>6.7400000000000002E-2</v>
      </c>
      <c r="AO122" s="41">
        <v>35</v>
      </c>
      <c r="AP122" s="39">
        <v>34</v>
      </c>
      <c r="AQ122" s="39">
        <v>45</v>
      </c>
      <c r="AR122" s="39">
        <v>752</v>
      </c>
      <c r="AS122" s="39">
        <v>19</v>
      </c>
      <c r="AT122" s="39" t="s">
        <v>4633</v>
      </c>
      <c r="AU122" s="39">
        <v>7</v>
      </c>
      <c r="AV122" s="39" t="s">
        <v>6346</v>
      </c>
      <c r="AW122" s="39">
        <v>638.83000000000004</v>
      </c>
      <c r="AX122" s="39">
        <v>646.82000000000005</v>
      </c>
      <c r="AY122" s="39">
        <v>658.73</v>
      </c>
      <c r="AZ122" s="39">
        <v>618.92999999999995</v>
      </c>
      <c r="BA122" s="39">
        <v>607.02</v>
      </c>
      <c r="BB122" s="39">
        <v>599.03</v>
      </c>
      <c r="BC122" s="39">
        <v>3</v>
      </c>
      <c r="BD122" s="39">
        <v>4</v>
      </c>
      <c r="BE122" s="39" t="s">
        <v>130</v>
      </c>
      <c r="BF122" s="39">
        <v>-0.3</v>
      </c>
      <c r="BG122" s="39">
        <v>9</v>
      </c>
      <c r="BH122" s="39">
        <v>473</v>
      </c>
      <c r="BI122" s="39" t="s">
        <v>4565</v>
      </c>
      <c r="BJ122" s="39" t="s">
        <v>131</v>
      </c>
    </row>
    <row r="123" spans="1:62" x14ac:dyDescent="0.35">
      <c r="A123" s="39" t="s">
        <v>1550</v>
      </c>
      <c r="B123" s="39" t="str">
        <f>IFERROR(INDEX(added_new_stocks!$F$6:$H$2155,MATCH($A123,added_new_stocks!$F$6:$F$2600,0),3),"")</f>
        <v>Small</v>
      </c>
      <c r="C123" s="39">
        <v>315.8</v>
      </c>
      <c r="D123" s="39">
        <v>72</v>
      </c>
      <c r="E123" s="39" t="s">
        <v>4987</v>
      </c>
      <c r="F123" s="39" t="s">
        <v>6988</v>
      </c>
      <c r="G123" s="39" t="s">
        <v>129</v>
      </c>
      <c r="H123" s="39" t="s">
        <v>6989</v>
      </c>
      <c r="I123" s="39" t="s">
        <v>4624</v>
      </c>
      <c r="J123" s="39" t="s">
        <v>6990</v>
      </c>
      <c r="K123" s="39" t="s">
        <v>133</v>
      </c>
      <c r="L123" s="39" t="s">
        <v>6991</v>
      </c>
      <c r="M123" s="39" t="s">
        <v>4620</v>
      </c>
      <c r="N123" s="39">
        <v>14</v>
      </c>
      <c r="O123" s="39">
        <v>0</v>
      </c>
      <c r="P123" s="39">
        <v>14</v>
      </c>
      <c r="Q123" s="39" t="s">
        <v>14</v>
      </c>
      <c r="R123" s="39">
        <v>-1.79</v>
      </c>
      <c r="S123" s="39">
        <v>14.09</v>
      </c>
      <c r="T123" s="39">
        <v>45.46</v>
      </c>
      <c r="U123" s="39">
        <v>82.23</v>
      </c>
      <c r="V123" s="39">
        <v>106.47</v>
      </c>
      <c r="W123" s="39">
        <v>69.78</v>
      </c>
      <c r="X123" s="39">
        <v>99.49</v>
      </c>
      <c r="Y123" s="39">
        <v>120.38</v>
      </c>
      <c r="Z123" s="39">
        <v>174.37</v>
      </c>
      <c r="AA123" s="39">
        <v>204.24</v>
      </c>
      <c r="AB123" s="39">
        <v>128.1</v>
      </c>
      <c r="AC123" s="39">
        <v>1808.16</v>
      </c>
      <c r="AD123" s="39" t="s">
        <v>4606</v>
      </c>
      <c r="AE123" s="39" t="s">
        <v>134</v>
      </c>
      <c r="AF123" s="39">
        <v>6</v>
      </c>
      <c r="AG123" s="42">
        <v>0.1066</v>
      </c>
      <c r="AH123" s="42">
        <v>53</v>
      </c>
      <c r="AI123" s="42">
        <v>2.69E-2</v>
      </c>
      <c r="AJ123" s="42" t="s">
        <v>6992</v>
      </c>
      <c r="AK123" s="42">
        <v>0.52639999999999998</v>
      </c>
      <c r="AL123" s="42" t="s">
        <v>5180</v>
      </c>
      <c r="AM123" s="42">
        <v>9.2499999999999999E-2</v>
      </c>
      <c r="AN123" s="42">
        <v>0.26429999999999998</v>
      </c>
      <c r="AO123" s="41">
        <v>85</v>
      </c>
      <c r="AP123" s="39">
        <v>34</v>
      </c>
      <c r="AQ123" s="39">
        <v>73</v>
      </c>
      <c r="AR123" s="39">
        <v>266</v>
      </c>
      <c r="AS123" s="39">
        <v>-13</v>
      </c>
      <c r="AT123" s="39" t="s">
        <v>4633</v>
      </c>
      <c r="AU123" s="39">
        <v>5</v>
      </c>
      <c r="AV123" s="39" t="s">
        <v>6347</v>
      </c>
      <c r="AW123" s="39">
        <v>321.2</v>
      </c>
      <c r="AX123" s="39">
        <v>334.65</v>
      </c>
      <c r="AY123" s="39">
        <v>354.35</v>
      </c>
      <c r="AZ123" s="39">
        <v>288.05</v>
      </c>
      <c r="BA123" s="39">
        <v>268.35000000000002</v>
      </c>
      <c r="BB123" s="39">
        <v>254.9</v>
      </c>
      <c r="BC123" s="39">
        <v>18</v>
      </c>
      <c r="BD123" s="39">
        <v>2</v>
      </c>
      <c r="BE123" s="39">
        <v>9</v>
      </c>
      <c r="BF123" s="39" t="s">
        <v>130</v>
      </c>
      <c r="BG123" s="39">
        <v>116.1</v>
      </c>
      <c r="BH123" s="39">
        <v>0.4</v>
      </c>
      <c r="BI123" s="39" t="s">
        <v>4563</v>
      </c>
      <c r="BJ123" s="39" t="s">
        <v>4563</v>
      </c>
    </row>
    <row r="124" spans="1:62" x14ac:dyDescent="0.35">
      <c r="A124" s="39" t="s">
        <v>861</v>
      </c>
      <c r="B124" s="39" t="str">
        <f>IFERROR(INDEX(added_new_stocks!$F$6:$H$2155,MATCH($A124,added_new_stocks!$F$6:$F$2600,0),3),"")</f>
        <v>Mid</v>
      </c>
      <c r="C124" s="48">
        <v>2697.8</v>
      </c>
      <c r="D124" s="39">
        <v>51</v>
      </c>
      <c r="G124" s="39" t="s">
        <v>4562</v>
      </c>
      <c r="H124" s="39" t="s">
        <v>6993</v>
      </c>
      <c r="I124" s="39" t="s">
        <v>4989</v>
      </c>
      <c r="J124" s="39" t="s">
        <v>6994</v>
      </c>
      <c r="K124" s="39" t="s">
        <v>133</v>
      </c>
      <c r="L124" s="39" t="s">
        <v>6995</v>
      </c>
      <c r="M124" s="39" t="s">
        <v>4620</v>
      </c>
      <c r="N124" s="39">
        <v>6</v>
      </c>
      <c r="O124" s="39">
        <v>-13</v>
      </c>
      <c r="P124" s="39">
        <v>-7</v>
      </c>
      <c r="Q124" s="39" t="s">
        <v>4605</v>
      </c>
      <c r="R124" s="39">
        <v>1.28</v>
      </c>
      <c r="S124" s="39">
        <v>0.62</v>
      </c>
      <c r="T124" s="39">
        <v>1.1299999999999999</v>
      </c>
      <c r="U124" s="39">
        <v>8.09</v>
      </c>
      <c r="V124" s="39">
        <v>14.2</v>
      </c>
      <c r="W124" s="39">
        <v>9.65</v>
      </c>
      <c r="X124" s="39">
        <v>-17.489999999999998</v>
      </c>
      <c r="Y124" s="39">
        <v>-13.65</v>
      </c>
      <c r="Z124" s="39">
        <v>47.52</v>
      </c>
      <c r="AA124" s="39">
        <v>108.44</v>
      </c>
      <c r="AB124" s="39">
        <v>114.67</v>
      </c>
      <c r="AC124" s="39" t="s">
        <v>4538</v>
      </c>
      <c r="AD124" s="39" t="s">
        <v>4606</v>
      </c>
      <c r="AE124" s="39" t="s">
        <v>134</v>
      </c>
      <c r="AF124" s="39">
        <v>11</v>
      </c>
      <c r="AG124" s="42">
        <v>0.11700000000000001</v>
      </c>
      <c r="AH124" s="42">
        <v>80</v>
      </c>
      <c r="AI124" s="42">
        <v>2.9899999999999999E-2</v>
      </c>
      <c r="AJ124" s="42" t="s">
        <v>5233</v>
      </c>
      <c r="AK124" s="42">
        <v>0.1192</v>
      </c>
      <c r="AL124" s="42" t="s">
        <v>5118</v>
      </c>
      <c r="AM124" s="42">
        <v>7.6700000000000004E-2</v>
      </c>
      <c r="AN124" s="42">
        <v>9.69E-2</v>
      </c>
      <c r="AO124" s="41">
        <v>90</v>
      </c>
      <c r="AP124" s="39">
        <v>36</v>
      </c>
      <c r="AQ124" s="39">
        <v>64</v>
      </c>
      <c r="AR124" s="45">
        <v>3042</v>
      </c>
      <c r="AS124" s="39">
        <v>13</v>
      </c>
      <c r="AT124" s="39" t="s">
        <v>129</v>
      </c>
      <c r="AU124" s="39">
        <v>8</v>
      </c>
      <c r="AV124" s="39" t="s">
        <v>6348</v>
      </c>
      <c r="AW124" s="39">
        <v>2711.17</v>
      </c>
      <c r="AX124" s="39">
        <v>2732.18</v>
      </c>
      <c r="AY124" s="39">
        <v>2759.47</v>
      </c>
      <c r="AZ124" s="39">
        <v>2662.87</v>
      </c>
      <c r="BA124" s="39">
        <v>2635.58</v>
      </c>
      <c r="BB124" s="39">
        <v>2614.5700000000002</v>
      </c>
      <c r="BC124" s="39">
        <v>6</v>
      </c>
      <c r="BD124" s="39">
        <v>6</v>
      </c>
      <c r="BE124" s="39">
        <v>4</v>
      </c>
      <c r="BF124" s="39" t="s">
        <v>130</v>
      </c>
      <c r="BG124" s="48">
        <v>1095.0999999999999</v>
      </c>
      <c r="BH124" s="39">
        <v>0.4</v>
      </c>
      <c r="BI124" s="39" t="s">
        <v>131</v>
      </c>
      <c r="BJ124" s="39" t="s">
        <v>4563</v>
      </c>
    </row>
    <row r="125" spans="1:62" x14ac:dyDescent="0.35">
      <c r="A125" s="39" t="s">
        <v>1312</v>
      </c>
      <c r="B125" s="39" t="str">
        <f>IFERROR(INDEX(added_new_stocks!$F$6:$H$2155,MATCH($A125,added_new_stocks!$F$6:$F$2600,0),3),"")</f>
        <v>Small</v>
      </c>
      <c r="C125" s="39">
        <v>85.54</v>
      </c>
      <c r="D125" s="48">
        <v>62</v>
      </c>
      <c r="G125" s="39" t="s">
        <v>4562</v>
      </c>
      <c r="H125" s="39" t="s">
        <v>6996</v>
      </c>
      <c r="I125" s="39" t="s">
        <v>4624</v>
      </c>
      <c r="J125" s="39" t="s">
        <v>6997</v>
      </c>
      <c r="K125" s="39" t="s">
        <v>4615</v>
      </c>
      <c r="L125" s="39" t="s">
        <v>5008</v>
      </c>
      <c r="M125" s="39" t="s">
        <v>135</v>
      </c>
      <c r="N125" s="39">
        <v>1</v>
      </c>
      <c r="O125" s="39">
        <v>0</v>
      </c>
      <c r="P125" s="39">
        <v>1</v>
      </c>
      <c r="Q125" s="39" t="s">
        <v>4611</v>
      </c>
      <c r="R125" s="39">
        <v>-0.88</v>
      </c>
      <c r="S125" s="39">
        <v>-0.53</v>
      </c>
      <c r="T125" s="39">
        <v>9.92</v>
      </c>
      <c r="U125" s="39">
        <v>27.63</v>
      </c>
      <c r="V125" s="39">
        <v>39.909999999999997</v>
      </c>
      <c r="W125" s="39">
        <v>26.26</v>
      </c>
      <c r="X125" s="39">
        <v>25.79</v>
      </c>
      <c r="Y125" s="39" t="s">
        <v>4538</v>
      </c>
      <c r="Z125" s="39" t="s">
        <v>4538</v>
      </c>
      <c r="AA125" s="39" t="s">
        <v>4538</v>
      </c>
      <c r="AB125" s="39" t="s">
        <v>4538</v>
      </c>
      <c r="AC125" s="39" t="s">
        <v>4538</v>
      </c>
      <c r="AD125" s="39" t="s">
        <v>5220</v>
      </c>
      <c r="AE125" s="39" t="s">
        <v>134</v>
      </c>
      <c r="AF125" s="39">
        <v>11</v>
      </c>
      <c r="AG125" s="42">
        <v>0.3745</v>
      </c>
      <c r="AH125" s="42">
        <v>56</v>
      </c>
      <c r="AI125" s="42">
        <v>0.13789999999999999</v>
      </c>
      <c r="AJ125" s="42" t="s">
        <v>6998</v>
      </c>
      <c r="AK125" s="42">
        <v>0.2409</v>
      </c>
      <c r="AL125" s="42" t="s">
        <v>5506</v>
      </c>
      <c r="AM125" s="42">
        <v>9.4899999999999998E-2</v>
      </c>
      <c r="AN125" s="42">
        <v>0.10539999999999999</v>
      </c>
      <c r="AO125" s="41">
        <v>70</v>
      </c>
      <c r="AP125" s="39">
        <v>45</v>
      </c>
      <c r="AQ125" s="39">
        <v>68</v>
      </c>
      <c r="AR125" s="39">
        <v>94</v>
      </c>
      <c r="AS125" s="39">
        <v>9</v>
      </c>
      <c r="AT125" s="39" t="s">
        <v>129</v>
      </c>
      <c r="AU125" s="39">
        <v>13</v>
      </c>
      <c r="AV125" s="39" t="s">
        <v>6349</v>
      </c>
      <c r="AW125" s="39">
        <v>90.33</v>
      </c>
      <c r="AX125" s="39">
        <v>93.62</v>
      </c>
      <c r="AY125" s="39">
        <v>95.53</v>
      </c>
      <c r="AZ125" s="39">
        <v>85.13</v>
      </c>
      <c r="BA125" s="39">
        <v>83.22</v>
      </c>
      <c r="BB125" s="39">
        <v>79.930000000000007</v>
      </c>
      <c r="BC125" s="39">
        <v>11</v>
      </c>
      <c r="BD125" s="39">
        <v>2</v>
      </c>
      <c r="BE125" s="39">
        <v>5</v>
      </c>
      <c r="BF125" s="39" t="s">
        <v>130</v>
      </c>
      <c r="BG125" s="39">
        <v>62.9</v>
      </c>
      <c r="BH125" s="39">
        <v>0.7</v>
      </c>
      <c r="BI125" s="39" t="s">
        <v>4563</v>
      </c>
      <c r="BJ125" s="39" t="s">
        <v>4563</v>
      </c>
    </row>
    <row r="126" spans="1:62" x14ac:dyDescent="0.35">
      <c r="A126" s="39" t="s">
        <v>1481</v>
      </c>
      <c r="B126" s="39" t="str">
        <f>IFERROR(INDEX(added_new_stocks!$F$6:$H$2155,MATCH($A126,added_new_stocks!$F$6:$F$2600,0),3),"")</f>
        <v>Small</v>
      </c>
      <c r="C126" s="39">
        <v>246.45</v>
      </c>
      <c r="D126" s="39">
        <v>44</v>
      </c>
      <c r="G126" s="39" t="s">
        <v>4625</v>
      </c>
      <c r="H126" s="39" t="s">
        <v>6999</v>
      </c>
      <c r="I126" s="39" t="s">
        <v>4624</v>
      </c>
      <c r="J126" s="39" t="s">
        <v>7000</v>
      </c>
      <c r="K126" s="39" t="s">
        <v>4603</v>
      </c>
      <c r="L126" s="39" t="s">
        <v>7001</v>
      </c>
      <c r="M126" s="39" t="s">
        <v>4959</v>
      </c>
      <c r="N126" s="39">
        <v>17</v>
      </c>
      <c r="O126" s="39">
        <v>-21</v>
      </c>
      <c r="P126" s="39">
        <v>-4</v>
      </c>
      <c r="Q126" s="39" t="s">
        <v>4611</v>
      </c>
      <c r="R126" s="39">
        <v>-4.99</v>
      </c>
      <c r="S126" s="39">
        <v>6.37</v>
      </c>
      <c r="T126" s="39">
        <v>39.24</v>
      </c>
      <c r="U126" s="39">
        <v>174.63</v>
      </c>
      <c r="V126" s="39">
        <v>180.41</v>
      </c>
      <c r="W126" s="39">
        <v>191.48</v>
      </c>
      <c r="X126" s="39">
        <v>190.63</v>
      </c>
      <c r="Y126" s="39">
        <v>309.73</v>
      </c>
      <c r="Z126" s="39">
        <v>842.45</v>
      </c>
      <c r="AA126" s="39">
        <v>1084.8599999999999</v>
      </c>
      <c r="AB126" s="39">
        <v>524.71</v>
      </c>
      <c r="AC126" s="39">
        <v>2461.85</v>
      </c>
      <c r="AD126" s="39" t="s">
        <v>4606</v>
      </c>
      <c r="AE126" s="39">
        <v>1.92</v>
      </c>
      <c r="AF126" s="39">
        <v>1</v>
      </c>
      <c r="AG126" s="42">
        <v>5.04E-2</v>
      </c>
      <c r="AH126" s="42">
        <v>35</v>
      </c>
      <c r="AI126" s="42">
        <v>2.6700000000000002E-2</v>
      </c>
      <c r="AJ126" s="42" t="s">
        <v>7002</v>
      </c>
      <c r="AK126" s="42">
        <v>0.18360000000000001</v>
      </c>
      <c r="AL126" s="42" t="s">
        <v>7003</v>
      </c>
      <c r="AM126" s="42">
        <v>0.1069</v>
      </c>
      <c r="AN126" s="42">
        <v>0.32919999999999999</v>
      </c>
      <c r="AO126" s="41">
        <v>35</v>
      </c>
      <c r="AP126" s="39">
        <v>9</v>
      </c>
      <c r="AQ126" s="39">
        <v>78</v>
      </c>
      <c r="AR126" s="39">
        <v>250</v>
      </c>
      <c r="AS126" s="39">
        <v>4</v>
      </c>
      <c r="AT126" s="39" t="s">
        <v>4633</v>
      </c>
      <c r="AU126" s="39">
        <v>1</v>
      </c>
      <c r="AV126" s="39" t="s">
        <v>6350</v>
      </c>
      <c r="AW126" s="39">
        <v>245.93</v>
      </c>
      <c r="AX126" s="39">
        <v>252.02</v>
      </c>
      <c r="AY126" s="39">
        <v>258.13</v>
      </c>
      <c r="AZ126" s="39">
        <v>233.73</v>
      </c>
      <c r="BA126" s="39">
        <v>227.62</v>
      </c>
      <c r="BB126" s="39">
        <v>221.53</v>
      </c>
      <c r="BC126" s="39">
        <v>11</v>
      </c>
      <c r="BD126" s="39">
        <v>7</v>
      </c>
      <c r="BE126" s="39">
        <v>6</v>
      </c>
      <c r="BF126" s="39" t="s">
        <v>130</v>
      </c>
      <c r="BG126" s="39">
        <v>36.5</v>
      </c>
      <c r="BH126" s="39">
        <v>0.2</v>
      </c>
      <c r="BI126" s="39" t="s">
        <v>132</v>
      </c>
      <c r="BJ126" s="39" t="s">
        <v>132</v>
      </c>
    </row>
    <row r="127" spans="1:62" x14ac:dyDescent="0.35">
      <c r="A127" s="39" t="s">
        <v>1319</v>
      </c>
      <c r="B127" s="39" t="str">
        <f>IFERROR(INDEX(added_new_stocks!$F$6:$H$2155,MATCH($A127,added_new_stocks!$F$6:$F$2600,0),3),"")</f>
        <v>Small</v>
      </c>
      <c r="C127" s="39">
        <v>318.25</v>
      </c>
      <c r="D127" s="39">
        <v>54</v>
      </c>
      <c r="G127" s="39" t="s">
        <v>4562</v>
      </c>
      <c r="H127" s="39" t="s">
        <v>7004</v>
      </c>
      <c r="I127" s="39" t="s">
        <v>4624</v>
      </c>
      <c r="J127" s="39" t="s">
        <v>7005</v>
      </c>
      <c r="K127" s="39" t="s">
        <v>4603</v>
      </c>
      <c r="L127" s="39" t="s">
        <v>7006</v>
      </c>
      <c r="M127" s="39" t="s">
        <v>135</v>
      </c>
      <c r="N127" s="39">
        <v>25</v>
      </c>
      <c r="O127" s="39">
        <v>-9</v>
      </c>
      <c r="P127" s="39">
        <v>16</v>
      </c>
      <c r="Q127" s="39" t="s">
        <v>14</v>
      </c>
      <c r="R127" s="39">
        <v>-3.49</v>
      </c>
      <c r="S127" s="39">
        <v>-7.59</v>
      </c>
      <c r="T127" s="39">
        <v>31.02</v>
      </c>
      <c r="U127" s="39">
        <v>70.78</v>
      </c>
      <c r="V127" s="39">
        <v>206.89</v>
      </c>
      <c r="W127" s="39">
        <v>174.95</v>
      </c>
      <c r="X127" s="39">
        <v>135.91999999999999</v>
      </c>
      <c r="Y127" s="39">
        <v>122.86</v>
      </c>
      <c r="Z127" s="39">
        <v>189.58</v>
      </c>
      <c r="AA127" s="39">
        <v>112.45</v>
      </c>
      <c r="AB127" s="39">
        <v>14.01</v>
      </c>
      <c r="AC127" s="39">
        <v>122.01</v>
      </c>
      <c r="AD127" s="39" t="s">
        <v>4606</v>
      </c>
      <c r="AE127" s="39" t="s">
        <v>134</v>
      </c>
      <c r="AF127" s="39">
        <v>5</v>
      </c>
      <c r="AG127" s="42">
        <v>0.1535</v>
      </c>
      <c r="AH127" s="42">
        <v>24</v>
      </c>
      <c r="AI127" s="42">
        <v>3.7000000000000002E-3</v>
      </c>
      <c r="AJ127" s="42" t="s">
        <v>7007</v>
      </c>
      <c r="AK127" s="42">
        <v>0.68540000000000001</v>
      </c>
      <c r="AL127" s="42" t="s">
        <v>7008</v>
      </c>
      <c r="AM127" s="42">
        <v>9.6600000000000005E-2</v>
      </c>
      <c r="AN127" s="42">
        <v>6.4500000000000002E-2</v>
      </c>
      <c r="AO127" s="41">
        <v>60</v>
      </c>
      <c r="AP127" s="39">
        <v>14</v>
      </c>
      <c r="AQ127" s="39">
        <v>77</v>
      </c>
      <c r="AR127" s="39">
        <v>291</v>
      </c>
      <c r="AS127" s="39">
        <v>-17</v>
      </c>
      <c r="AT127" s="39" t="s">
        <v>4562</v>
      </c>
      <c r="AU127" s="39">
        <v>5</v>
      </c>
      <c r="AV127" s="39" t="s">
        <v>6351</v>
      </c>
      <c r="AW127" s="39">
        <v>363.97</v>
      </c>
      <c r="AX127" s="39">
        <v>376.73</v>
      </c>
      <c r="AY127" s="39">
        <v>385.72</v>
      </c>
      <c r="AZ127" s="39">
        <v>342.22</v>
      </c>
      <c r="BA127" s="39">
        <v>333.23</v>
      </c>
      <c r="BB127" s="39">
        <v>320.47000000000003</v>
      </c>
      <c r="BC127" s="39">
        <v>11</v>
      </c>
      <c r="BD127" s="39">
        <v>5</v>
      </c>
      <c r="BE127" s="39">
        <v>7</v>
      </c>
      <c r="BF127" s="39" t="s">
        <v>130</v>
      </c>
      <c r="BG127" s="39">
        <v>38.9</v>
      </c>
      <c r="BH127" s="39">
        <v>0.1</v>
      </c>
      <c r="BI127" s="39" t="s">
        <v>132</v>
      </c>
      <c r="BJ127" s="39" t="s">
        <v>132</v>
      </c>
    </row>
    <row r="128" spans="1:62" x14ac:dyDescent="0.35">
      <c r="A128" s="39" t="s">
        <v>679</v>
      </c>
      <c r="B128" s="39" t="str">
        <f>IFERROR(INDEX(added_new_stocks!$F$6:$H$2155,MATCH($A128,added_new_stocks!$F$6:$F$2600,0),3),"")</f>
        <v>Mid</v>
      </c>
      <c r="C128" s="48">
        <v>5595</v>
      </c>
      <c r="D128" s="39">
        <v>65</v>
      </c>
      <c r="G128" s="39" t="s">
        <v>4562</v>
      </c>
      <c r="H128" s="39" t="s">
        <v>7009</v>
      </c>
      <c r="I128" s="39" t="s">
        <v>4989</v>
      </c>
      <c r="J128" s="39" t="s">
        <v>7010</v>
      </c>
      <c r="K128" s="39" t="s">
        <v>133</v>
      </c>
      <c r="L128" s="39" t="s">
        <v>7011</v>
      </c>
      <c r="M128" s="39" t="s">
        <v>4620</v>
      </c>
      <c r="N128" s="39">
        <v>8</v>
      </c>
      <c r="O128" s="39">
        <v>-2</v>
      </c>
      <c r="P128" s="39">
        <v>6</v>
      </c>
      <c r="Q128" s="39" t="s">
        <v>14</v>
      </c>
      <c r="R128" s="39">
        <v>1.47</v>
      </c>
      <c r="S128" s="39">
        <v>1.72</v>
      </c>
      <c r="T128" s="39">
        <v>-2.06</v>
      </c>
      <c r="U128" s="39">
        <v>27.03</v>
      </c>
      <c r="V128" s="39">
        <v>19</v>
      </c>
      <c r="W128" s="39">
        <v>11.26</v>
      </c>
      <c r="X128" s="39">
        <v>2.12</v>
      </c>
      <c r="Y128" s="39">
        <v>-4.33</v>
      </c>
      <c r="Z128" s="39">
        <v>-0.73</v>
      </c>
      <c r="AA128" s="39">
        <v>-23.36</v>
      </c>
      <c r="AB128" s="39">
        <v>-14.7</v>
      </c>
      <c r="AC128" s="39">
        <v>171.08</v>
      </c>
      <c r="AD128" s="39" t="s">
        <v>4606</v>
      </c>
      <c r="AE128" s="39" t="s">
        <v>134</v>
      </c>
      <c r="AF128" s="39">
        <v>5</v>
      </c>
      <c r="AG128" s="42">
        <v>5.21E-2</v>
      </c>
      <c r="AH128" s="42">
        <v>74</v>
      </c>
      <c r="AI128" s="42">
        <v>6.6E-3</v>
      </c>
      <c r="AJ128" s="42" t="s">
        <v>5582</v>
      </c>
      <c r="AK128" s="42">
        <v>0.4012</v>
      </c>
      <c r="AL128" s="42" t="s">
        <v>5663</v>
      </c>
      <c r="AM128" s="42">
        <v>5.2600000000000001E-2</v>
      </c>
      <c r="AN128" s="42">
        <v>6.25E-2</v>
      </c>
      <c r="AO128" s="41">
        <v>75</v>
      </c>
      <c r="AP128" s="39">
        <v>16</v>
      </c>
      <c r="AQ128" s="39">
        <v>61</v>
      </c>
      <c r="AS128" s="39" t="s">
        <v>4564</v>
      </c>
      <c r="AW128" s="39">
        <v>5493.45</v>
      </c>
      <c r="AX128" s="39">
        <v>5519.2</v>
      </c>
      <c r="AY128" s="39">
        <v>5555.4</v>
      </c>
      <c r="AZ128" s="39">
        <v>5431.5</v>
      </c>
      <c r="BA128" s="39">
        <v>5395.3</v>
      </c>
      <c r="BB128" s="39">
        <v>5369.55</v>
      </c>
      <c r="BC128" s="39" t="s">
        <v>130</v>
      </c>
      <c r="BD128" s="39">
        <v>3</v>
      </c>
      <c r="BE128" s="39" t="s">
        <v>130</v>
      </c>
      <c r="BF128" s="39">
        <v>-0.34</v>
      </c>
      <c r="BG128" s="39">
        <v>7</v>
      </c>
      <c r="BH128" s="39">
        <v>777.7</v>
      </c>
      <c r="BI128" s="39" t="s">
        <v>4563</v>
      </c>
      <c r="BJ128" s="39" t="s">
        <v>4639</v>
      </c>
    </row>
    <row r="129" spans="1:62" x14ac:dyDescent="0.35">
      <c r="A129" s="39" t="s">
        <v>563</v>
      </c>
      <c r="B129" s="39" t="str">
        <f>IFERROR(INDEX(added_new_stocks!$F$6:$H$2155,MATCH($A129,added_new_stocks!$F$6:$F$2600,0),3),"")</f>
        <v>Large</v>
      </c>
      <c r="C129" s="48">
        <v>1595.4</v>
      </c>
      <c r="D129" s="48">
        <v>34</v>
      </c>
      <c r="G129" s="39" t="s">
        <v>4625</v>
      </c>
      <c r="H129" s="39" t="s">
        <v>7012</v>
      </c>
      <c r="I129" s="39" t="s">
        <v>4996</v>
      </c>
      <c r="J129" s="39" t="s">
        <v>7013</v>
      </c>
      <c r="K129" s="39" t="s">
        <v>4615</v>
      </c>
      <c r="L129" s="39" t="s">
        <v>5008</v>
      </c>
      <c r="M129" s="39" t="s">
        <v>4620</v>
      </c>
      <c r="N129" s="39">
        <v>2</v>
      </c>
      <c r="O129" s="39">
        <v>-8</v>
      </c>
      <c r="P129" s="39">
        <v>-6</v>
      </c>
      <c r="Q129" s="39" t="s">
        <v>4605</v>
      </c>
      <c r="R129" s="39">
        <v>1.33</v>
      </c>
      <c r="S129" s="39">
        <v>0.89</v>
      </c>
      <c r="T129" s="39">
        <v>23.29</v>
      </c>
      <c r="U129" s="39">
        <v>75.67</v>
      </c>
      <c r="V129" s="39">
        <v>23.93</v>
      </c>
      <c r="W129" s="39">
        <v>1.22</v>
      </c>
      <c r="X129" s="39">
        <v>-32.630000000000003</v>
      </c>
      <c r="Y129" s="39">
        <v>-58.96</v>
      </c>
      <c r="Z129" s="39" t="s">
        <v>4538</v>
      </c>
      <c r="AA129" s="39" t="s">
        <v>4538</v>
      </c>
      <c r="AB129" s="39" t="s">
        <v>4538</v>
      </c>
      <c r="AC129" s="39" t="s">
        <v>4538</v>
      </c>
      <c r="AD129" s="39" t="s">
        <v>4606</v>
      </c>
      <c r="AE129" s="39" t="s">
        <v>134</v>
      </c>
      <c r="AF129" s="39">
        <v>15</v>
      </c>
      <c r="AG129" s="42">
        <v>0.20480000000000001</v>
      </c>
      <c r="AH129" s="42">
        <v>76</v>
      </c>
      <c r="AI129" s="42">
        <v>2.8000000000000001E-2</v>
      </c>
      <c r="AJ129" s="42" t="s">
        <v>5247</v>
      </c>
      <c r="AK129" s="42">
        <v>0.5786</v>
      </c>
      <c r="AL129" s="42" t="s">
        <v>5248</v>
      </c>
      <c r="AM129" s="42">
        <v>5.0799999999999998E-2</v>
      </c>
      <c r="AN129" s="42">
        <v>5.6099999999999997E-2</v>
      </c>
      <c r="AO129" s="41">
        <v>50</v>
      </c>
      <c r="AP129" s="39">
        <v>25</v>
      </c>
      <c r="AQ129" s="39">
        <v>52</v>
      </c>
      <c r="AR129" s="45">
        <v>1513</v>
      </c>
      <c r="AS129" s="39">
        <v>-2</v>
      </c>
      <c r="AT129" s="39" t="s">
        <v>4562</v>
      </c>
      <c r="AU129" s="39">
        <v>15</v>
      </c>
      <c r="AV129" s="39" t="s">
        <v>6352</v>
      </c>
      <c r="AW129" s="39">
        <v>1573.93</v>
      </c>
      <c r="AX129" s="39">
        <v>1601.27</v>
      </c>
      <c r="AY129" s="39">
        <v>1618.23</v>
      </c>
      <c r="AZ129" s="39">
        <v>1529.63</v>
      </c>
      <c r="BA129" s="39">
        <v>1512.67</v>
      </c>
      <c r="BB129" s="39">
        <v>1485.33</v>
      </c>
      <c r="BC129" s="39">
        <v>6</v>
      </c>
      <c r="BD129" s="39">
        <v>4</v>
      </c>
      <c r="BE129" s="39">
        <v>3</v>
      </c>
      <c r="BF129" s="39" t="s">
        <v>130</v>
      </c>
      <c r="BG129" s="39">
        <v>700.9</v>
      </c>
      <c r="BH129" s="39">
        <v>0.5</v>
      </c>
      <c r="BI129" s="39" t="s">
        <v>131</v>
      </c>
      <c r="BJ129" s="39" t="s">
        <v>4563</v>
      </c>
    </row>
    <row r="130" spans="1:62" x14ac:dyDescent="0.35">
      <c r="A130" s="39" t="s">
        <v>545</v>
      </c>
      <c r="B130" s="39" t="str">
        <f>IFERROR(INDEX(added_new_stocks!$F$6:$H$2155,MATCH($A130,added_new_stocks!$F$6:$F$2600,0),3),"")</f>
        <v>Large</v>
      </c>
      <c r="C130" s="48">
        <v>1412.95</v>
      </c>
      <c r="D130" s="48">
        <v>51</v>
      </c>
      <c r="G130" s="39" t="s">
        <v>4562</v>
      </c>
      <c r="H130" s="39" t="s">
        <v>5249</v>
      </c>
      <c r="I130" s="39" t="s">
        <v>4989</v>
      </c>
      <c r="J130" s="39" t="s">
        <v>7014</v>
      </c>
      <c r="K130" s="39" t="s">
        <v>133</v>
      </c>
      <c r="L130" s="39" t="s">
        <v>7015</v>
      </c>
      <c r="M130" s="39" t="s">
        <v>4620</v>
      </c>
      <c r="N130" s="39">
        <v>2</v>
      </c>
      <c r="O130" s="39">
        <v>-20</v>
      </c>
      <c r="P130" s="39">
        <v>-18</v>
      </c>
      <c r="Q130" s="39" t="s">
        <v>4605</v>
      </c>
      <c r="R130" s="39">
        <v>-0.02</v>
      </c>
      <c r="S130" s="39">
        <v>-0.51</v>
      </c>
      <c r="T130" s="39">
        <v>1.27</v>
      </c>
      <c r="U130" s="39">
        <v>8.01</v>
      </c>
      <c r="V130" s="39">
        <v>6.83</v>
      </c>
      <c r="W130" s="39">
        <v>7.13</v>
      </c>
      <c r="X130" s="39">
        <v>-3.18</v>
      </c>
      <c r="Y130" s="39">
        <v>-7.23</v>
      </c>
      <c r="Z130" s="39">
        <v>-10.72</v>
      </c>
      <c r="AA130" s="39">
        <v>16.239999999999998</v>
      </c>
      <c r="AB130" s="39">
        <v>-16.71</v>
      </c>
      <c r="AC130" s="39">
        <v>20.36</v>
      </c>
      <c r="AD130" s="39" t="s">
        <v>4606</v>
      </c>
      <c r="AE130" s="39" t="s">
        <v>134</v>
      </c>
      <c r="AF130" s="39">
        <v>23</v>
      </c>
      <c r="AG130" s="42">
        <v>4.2500000000000003E-2</v>
      </c>
      <c r="AH130" s="42">
        <v>137</v>
      </c>
      <c r="AI130" s="42">
        <v>2.41E-2</v>
      </c>
      <c r="AJ130" s="42" t="s">
        <v>5252</v>
      </c>
      <c r="AK130" s="42">
        <v>0.3599</v>
      </c>
      <c r="AL130" s="42" t="s">
        <v>136</v>
      </c>
      <c r="AM130" s="42">
        <v>3.3599999999999998E-2</v>
      </c>
      <c r="AN130" s="42">
        <v>0.1057</v>
      </c>
      <c r="AO130" s="41">
        <v>55</v>
      </c>
      <c r="AP130" s="39">
        <v>16</v>
      </c>
      <c r="AQ130" s="39">
        <v>56</v>
      </c>
      <c r="AR130" s="45">
        <v>1408</v>
      </c>
      <c r="AS130" s="39">
        <v>-1</v>
      </c>
      <c r="AT130" s="39" t="s">
        <v>4562</v>
      </c>
      <c r="AU130" s="39">
        <v>5</v>
      </c>
      <c r="AV130" s="39" t="s">
        <v>6353</v>
      </c>
      <c r="AW130" s="39">
        <v>1431.23</v>
      </c>
      <c r="AX130" s="39">
        <v>1442.07</v>
      </c>
      <c r="AY130" s="39">
        <v>1459.13</v>
      </c>
      <c r="AZ130" s="39">
        <v>1403.33</v>
      </c>
      <c r="BA130" s="39">
        <v>1386.27</v>
      </c>
      <c r="BB130" s="39">
        <v>1375.43</v>
      </c>
      <c r="BC130" s="39">
        <v>5</v>
      </c>
      <c r="BD130" s="39">
        <v>6</v>
      </c>
      <c r="BE130" s="39">
        <v>4</v>
      </c>
      <c r="BF130" s="39" t="s">
        <v>130</v>
      </c>
      <c r="BG130" s="39">
        <v>291.8</v>
      </c>
      <c r="BH130" s="39">
        <v>0.2</v>
      </c>
      <c r="BI130" s="39" t="s">
        <v>4565</v>
      </c>
      <c r="BJ130" s="39" t="s">
        <v>132</v>
      </c>
    </row>
    <row r="131" spans="1:62" x14ac:dyDescent="0.35">
      <c r="A131" s="39" t="s">
        <v>1029</v>
      </c>
      <c r="B131" s="39" t="str">
        <f>IFERROR(INDEX(added_new_stocks!$F$6:$H$2155,MATCH($A131,added_new_stocks!$F$6:$F$2600,0),3),"")</f>
        <v>Mid</v>
      </c>
      <c r="C131" s="48">
        <v>1304.8499999999999</v>
      </c>
      <c r="D131" s="48">
        <v>71</v>
      </c>
      <c r="G131" s="39" t="s">
        <v>129</v>
      </c>
      <c r="H131" s="39" t="s">
        <v>7016</v>
      </c>
      <c r="I131" s="39" t="s">
        <v>4624</v>
      </c>
      <c r="J131" s="39" t="s">
        <v>7017</v>
      </c>
      <c r="K131" s="39" t="s">
        <v>133</v>
      </c>
      <c r="L131" s="39" t="s">
        <v>4998</v>
      </c>
      <c r="M131" s="39" t="s">
        <v>4959</v>
      </c>
      <c r="N131" s="39">
        <v>11</v>
      </c>
      <c r="O131" s="39">
        <v>-3</v>
      </c>
      <c r="P131" s="39">
        <v>8</v>
      </c>
      <c r="Q131" s="39" t="s">
        <v>14</v>
      </c>
      <c r="R131" s="39">
        <v>2.31</v>
      </c>
      <c r="S131" s="39">
        <v>4.43</v>
      </c>
      <c r="T131" s="39">
        <v>11.4</v>
      </c>
      <c r="U131" s="39">
        <v>19.54</v>
      </c>
      <c r="V131" s="39">
        <v>37.24</v>
      </c>
      <c r="W131" s="39">
        <v>8.99</v>
      </c>
      <c r="X131" s="39">
        <v>12.55</v>
      </c>
      <c r="Y131" s="39" t="s">
        <v>4538</v>
      </c>
      <c r="Z131" s="39" t="s">
        <v>4538</v>
      </c>
      <c r="AA131" s="39" t="s">
        <v>4538</v>
      </c>
      <c r="AB131" s="39" t="s">
        <v>4538</v>
      </c>
      <c r="AC131" s="39" t="s">
        <v>4538</v>
      </c>
      <c r="AD131" s="39" t="s">
        <v>4606</v>
      </c>
      <c r="AE131" s="39">
        <v>16.329999999999998</v>
      </c>
      <c r="AF131" s="39">
        <v>16</v>
      </c>
      <c r="AG131" s="42">
        <v>0.24959999999999999</v>
      </c>
      <c r="AH131" s="42">
        <v>63</v>
      </c>
      <c r="AI131" s="42">
        <v>0.11020000000000001</v>
      </c>
      <c r="AJ131" s="42" t="s">
        <v>7018</v>
      </c>
      <c r="AK131" s="42">
        <v>0.18390000000000001</v>
      </c>
      <c r="AL131" s="42" t="s">
        <v>7019</v>
      </c>
      <c r="AM131" s="42">
        <v>0.1018</v>
      </c>
      <c r="AN131" s="42">
        <v>3.1099999999999999E-2</v>
      </c>
      <c r="AO131" s="41">
        <v>55</v>
      </c>
      <c r="AP131" s="39">
        <v>8</v>
      </c>
      <c r="AQ131" s="39">
        <v>58</v>
      </c>
      <c r="AR131" s="45">
        <v>1387</v>
      </c>
      <c r="AS131" s="39">
        <v>8</v>
      </c>
      <c r="AT131" s="39" t="s">
        <v>129</v>
      </c>
      <c r="AU131" s="39">
        <v>7</v>
      </c>
      <c r="AV131" s="39" t="s">
        <v>6354</v>
      </c>
      <c r="AW131" s="39">
        <v>1302.02</v>
      </c>
      <c r="AX131" s="39">
        <v>1323.38</v>
      </c>
      <c r="AY131" s="39">
        <v>1351.87</v>
      </c>
      <c r="AZ131" s="39">
        <v>1252.17</v>
      </c>
      <c r="BA131" s="39">
        <v>1223.68</v>
      </c>
      <c r="BB131" s="39">
        <v>1202.32</v>
      </c>
      <c r="BC131" s="39">
        <v>9</v>
      </c>
      <c r="BD131" s="39">
        <v>1</v>
      </c>
      <c r="BE131" s="39">
        <v>4</v>
      </c>
      <c r="BF131" s="39" t="s">
        <v>130</v>
      </c>
      <c r="BG131" s="39">
        <v>184.3</v>
      </c>
      <c r="BH131" s="39">
        <v>0.1</v>
      </c>
      <c r="BI131" s="39" t="s">
        <v>4563</v>
      </c>
      <c r="BJ131" s="39" t="s">
        <v>132</v>
      </c>
    </row>
    <row r="132" spans="1:62" x14ac:dyDescent="0.35">
      <c r="A132" s="39" t="s">
        <v>878</v>
      </c>
      <c r="B132" s="39" t="str">
        <f>IFERROR(INDEX(added_new_stocks!$F$6:$H$2155,MATCH($A132,added_new_stocks!$F$6:$F$2600,0),3),"")</f>
        <v>Mid</v>
      </c>
      <c r="C132" s="39">
        <v>481.6</v>
      </c>
      <c r="D132" s="48">
        <v>58</v>
      </c>
      <c r="G132" s="39" t="s">
        <v>4562</v>
      </c>
      <c r="H132" s="39" t="s">
        <v>7020</v>
      </c>
      <c r="I132" s="39" t="s">
        <v>4989</v>
      </c>
      <c r="J132" s="39" t="s">
        <v>7021</v>
      </c>
      <c r="K132" s="39" t="s">
        <v>4615</v>
      </c>
      <c r="L132" s="39" t="s">
        <v>7022</v>
      </c>
      <c r="M132" s="39" t="s">
        <v>5047</v>
      </c>
      <c r="N132" s="39">
        <v>10</v>
      </c>
      <c r="O132" s="39">
        <v>-8</v>
      </c>
      <c r="P132" s="39">
        <v>2</v>
      </c>
      <c r="Q132" s="39" t="s">
        <v>4611</v>
      </c>
      <c r="R132" s="39">
        <v>0.1</v>
      </c>
      <c r="S132" s="39">
        <v>-0.64</v>
      </c>
      <c r="T132" s="39">
        <v>-0.95</v>
      </c>
      <c r="U132" s="39">
        <v>12.43</v>
      </c>
      <c r="V132" s="39">
        <v>9.58</v>
      </c>
      <c r="W132" s="39">
        <v>2.54</v>
      </c>
      <c r="X132" s="39">
        <v>-7.64</v>
      </c>
      <c r="Y132" s="39">
        <v>-23.26</v>
      </c>
      <c r="Z132" s="39">
        <v>-1.75</v>
      </c>
      <c r="AA132" s="39">
        <v>7.21</v>
      </c>
      <c r="AB132" s="39">
        <v>-17.7</v>
      </c>
      <c r="AC132" s="39" t="s">
        <v>4538</v>
      </c>
      <c r="AD132" s="39" t="s">
        <v>4606</v>
      </c>
      <c r="AE132" s="39" t="s">
        <v>134</v>
      </c>
      <c r="AF132" s="39">
        <v>7</v>
      </c>
      <c r="AG132" s="42">
        <v>2.0899999999999998E-2</v>
      </c>
      <c r="AH132" s="42">
        <v>42</v>
      </c>
      <c r="AI132" s="42">
        <v>1.5599999999999999E-2</v>
      </c>
      <c r="AJ132" s="42" t="s">
        <v>7023</v>
      </c>
      <c r="AK132" s="42">
        <v>0.64890000000000003</v>
      </c>
      <c r="AL132" s="42" t="s">
        <v>7024</v>
      </c>
      <c r="AM132" s="42">
        <v>8.1500000000000003E-2</v>
      </c>
      <c r="AN132" s="42">
        <v>7.4300000000000005E-2</v>
      </c>
      <c r="AO132" s="41">
        <v>45</v>
      </c>
      <c r="AP132" s="39">
        <v>41</v>
      </c>
      <c r="AQ132" s="39">
        <v>56</v>
      </c>
      <c r="AR132" s="39">
        <v>521</v>
      </c>
      <c r="AS132" s="39">
        <v>7</v>
      </c>
      <c r="AT132" s="39" t="s">
        <v>4562</v>
      </c>
      <c r="AU132" s="39">
        <v>8</v>
      </c>
      <c r="AV132" s="39" t="s">
        <v>6355</v>
      </c>
      <c r="AW132" s="39">
        <v>490</v>
      </c>
      <c r="AX132" s="39">
        <v>495</v>
      </c>
      <c r="AY132" s="39">
        <v>499</v>
      </c>
      <c r="AZ132" s="39">
        <v>481</v>
      </c>
      <c r="BA132" s="39">
        <v>477</v>
      </c>
      <c r="BB132" s="39">
        <v>472</v>
      </c>
      <c r="BC132" s="39">
        <v>5</v>
      </c>
      <c r="BD132" s="39">
        <v>1</v>
      </c>
      <c r="BE132" s="39">
        <v>4</v>
      </c>
      <c r="BF132" s="39" t="s">
        <v>130</v>
      </c>
      <c r="BG132" s="39">
        <v>232.8</v>
      </c>
      <c r="BH132" s="39">
        <v>0.5</v>
      </c>
      <c r="BI132" s="39" t="s">
        <v>4565</v>
      </c>
      <c r="BJ132" s="39" t="s">
        <v>4563</v>
      </c>
    </row>
    <row r="133" spans="1:62" x14ac:dyDescent="0.35">
      <c r="A133" s="39" t="s">
        <v>268</v>
      </c>
      <c r="B133" s="39" t="str">
        <f>IFERROR(INDEX(added_new_stocks!$F$6:$H$2155,MATCH($A133,added_new_stocks!$F$6:$F$2600,0),3),"")</f>
        <v>Large</v>
      </c>
      <c r="C133" s="48">
        <v>1018.7</v>
      </c>
      <c r="D133" s="39">
        <v>51</v>
      </c>
      <c r="G133" s="39" t="s">
        <v>4562</v>
      </c>
      <c r="H133" s="39" t="s">
        <v>7025</v>
      </c>
      <c r="I133" s="39" t="s">
        <v>4989</v>
      </c>
      <c r="J133" s="39" t="s">
        <v>7026</v>
      </c>
      <c r="K133" s="39" t="s">
        <v>133</v>
      </c>
      <c r="L133" s="39" t="s">
        <v>7027</v>
      </c>
      <c r="M133" s="39" t="s">
        <v>4620</v>
      </c>
      <c r="N133" s="39">
        <v>4</v>
      </c>
      <c r="O133" s="39">
        <v>-17</v>
      </c>
      <c r="P133" s="39">
        <v>-13</v>
      </c>
      <c r="Q133" s="39" t="s">
        <v>4605</v>
      </c>
      <c r="R133" s="39">
        <v>0.52</v>
      </c>
      <c r="S133" s="39">
        <v>-0.43</v>
      </c>
      <c r="T133" s="39">
        <v>-1.68</v>
      </c>
      <c r="U133" s="39">
        <v>-2.73</v>
      </c>
      <c r="V133" s="39">
        <v>11.68</v>
      </c>
      <c r="W133" s="39">
        <v>16.54</v>
      </c>
      <c r="X133" s="39">
        <v>10.23</v>
      </c>
      <c r="Y133" s="39">
        <v>-6.31</v>
      </c>
      <c r="Z133" s="39">
        <v>51.85</v>
      </c>
      <c r="AA133" s="39">
        <v>67.36</v>
      </c>
      <c r="AB133" s="39">
        <v>6.05</v>
      </c>
      <c r="AC133" s="39">
        <v>278.20999999999998</v>
      </c>
      <c r="AD133" s="39" t="s">
        <v>4606</v>
      </c>
      <c r="AE133" s="39">
        <v>0.66</v>
      </c>
      <c r="AF133" s="39">
        <v>32</v>
      </c>
      <c r="AG133" s="42">
        <v>4.24E-2</v>
      </c>
      <c r="AH133" s="42">
        <v>754</v>
      </c>
      <c r="AI133" s="42">
        <v>0.23530000000000001</v>
      </c>
      <c r="AJ133" s="42" t="s">
        <v>7028</v>
      </c>
      <c r="AK133" s="42">
        <v>0.27429999999999999</v>
      </c>
      <c r="AL133" s="42" t="s">
        <v>7029</v>
      </c>
      <c r="AM133" s="42">
        <v>0.18729999999999999</v>
      </c>
      <c r="AN133" s="42">
        <v>4.3900000000000002E-2</v>
      </c>
      <c r="AO133" s="41">
        <v>50</v>
      </c>
      <c r="AP133" s="39">
        <v>15</v>
      </c>
      <c r="AQ133" s="39">
        <v>57</v>
      </c>
      <c r="AR133" s="45">
        <v>1139</v>
      </c>
      <c r="AS133" s="39">
        <v>11</v>
      </c>
      <c r="AT133" s="39" t="s">
        <v>129</v>
      </c>
      <c r="AU133" s="39">
        <v>34</v>
      </c>
      <c r="AV133" s="39" t="s">
        <v>6356</v>
      </c>
      <c r="AW133" s="39">
        <v>1038.32</v>
      </c>
      <c r="AX133" s="39">
        <v>1046.28</v>
      </c>
      <c r="AY133" s="39">
        <v>1051.82</v>
      </c>
      <c r="AZ133" s="39">
        <v>1024.82</v>
      </c>
      <c r="BA133" s="39">
        <v>1019.28</v>
      </c>
      <c r="BB133" s="39">
        <v>1011.32</v>
      </c>
      <c r="BC133" s="39">
        <v>3</v>
      </c>
      <c r="BD133" s="39">
        <v>8</v>
      </c>
      <c r="BE133" s="39">
        <v>3</v>
      </c>
      <c r="BF133" s="39" t="s">
        <v>130</v>
      </c>
      <c r="BG133" s="39">
        <v>223</v>
      </c>
      <c r="BH133" s="39">
        <v>0.2</v>
      </c>
      <c r="BI133" s="39" t="s">
        <v>4563</v>
      </c>
      <c r="BJ133" s="39" t="s">
        <v>4563</v>
      </c>
    </row>
    <row r="134" spans="1:62" x14ac:dyDescent="0.35">
      <c r="A134" s="39" t="s">
        <v>1487</v>
      </c>
      <c r="B134" s="39" t="str">
        <f>IFERROR(INDEX(added_new_stocks!$F$6:$H$2155,MATCH($A134,added_new_stocks!$F$6:$F$2600,0),3),"")</f>
        <v>Small</v>
      </c>
      <c r="C134" s="39">
        <v>867.35</v>
      </c>
      <c r="D134" s="48">
        <v>50</v>
      </c>
      <c r="G134" s="39" t="s">
        <v>4562</v>
      </c>
      <c r="H134" s="39" t="s">
        <v>7030</v>
      </c>
      <c r="I134" s="39" t="s">
        <v>4624</v>
      </c>
      <c r="J134" s="39" t="s">
        <v>7031</v>
      </c>
      <c r="K134" s="39" t="s">
        <v>4615</v>
      </c>
      <c r="L134" s="39" t="s">
        <v>7032</v>
      </c>
      <c r="N134" s="39">
        <v>2</v>
      </c>
      <c r="O134" s="39">
        <v>-13</v>
      </c>
      <c r="P134" s="39">
        <v>-11</v>
      </c>
      <c r="Q134" s="39" t="s">
        <v>4605</v>
      </c>
      <c r="R134" s="39">
        <v>17.95</v>
      </c>
      <c r="S134" s="39">
        <v>44.11</v>
      </c>
      <c r="T134" s="39">
        <v>63.84</v>
      </c>
      <c r="U134" s="39">
        <v>108.22</v>
      </c>
      <c r="V134" s="39">
        <v>111.55</v>
      </c>
      <c r="W134" s="39">
        <v>137.21</v>
      </c>
      <c r="X134" s="39">
        <v>139.63</v>
      </c>
      <c r="Y134" s="39">
        <v>346.97</v>
      </c>
      <c r="Z134" s="39">
        <v>1405.82</v>
      </c>
      <c r="AA134" s="39">
        <v>985.54</v>
      </c>
      <c r="AB134" s="39">
        <v>953.25</v>
      </c>
      <c r="AC134" s="39">
        <v>2943.33</v>
      </c>
      <c r="AD134" s="39" t="s">
        <v>5015</v>
      </c>
      <c r="AE134" s="39" t="s">
        <v>134</v>
      </c>
      <c r="AF134" s="39">
        <v>9</v>
      </c>
      <c r="AG134" s="42">
        <v>0.2631</v>
      </c>
      <c r="AH134" s="42">
        <v>34</v>
      </c>
      <c r="AI134" s="42">
        <v>0.16200000000000001</v>
      </c>
      <c r="AJ134" s="42" t="s">
        <v>7033</v>
      </c>
      <c r="AK134" s="42">
        <v>0.1065</v>
      </c>
      <c r="AL134" s="42" t="s">
        <v>5256</v>
      </c>
      <c r="AM134" s="42">
        <v>8.48E-2</v>
      </c>
      <c r="AN134" s="42">
        <v>0.2908</v>
      </c>
      <c r="AO134" s="41">
        <v>70</v>
      </c>
      <c r="AP134" s="39">
        <v>36</v>
      </c>
      <c r="AQ134" s="39">
        <v>70</v>
      </c>
      <c r="AR134" s="39">
        <v>598</v>
      </c>
      <c r="AS134" s="39">
        <v>-1</v>
      </c>
      <c r="AT134" s="39" t="s">
        <v>129</v>
      </c>
      <c r="AU134" s="39">
        <v>8</v>
      </c>
      <c r="AV134" s="39" t="s">
        <v>6357</v>
      </c>
      <c r="AW134" s="39">
        <v>617.45000000000005</v>
      </c>
      <c r="AX134" s="39">
        <v>629.79999999999995</v>
      </c>
      <c r="AY134" s="39">
        <v>650.6</v>
      </c>
      <c r="AZ134" s="39">
        <v>584.29999999999995</v>
      </c>
      <c r="BA134" s="39">
        <v>563.5</v>
      </c>
      <c r="BB134" s="39">
        <v>551.15</v>
      </c>
      <c r="BC134" s="39">
        <v>11</v>
      </c>
      <c r="BD134" s="39">
        <v>3</v>
      </c>
      <c r="BE134" s="39">
        <v>5</v>
      </c>
      <c r="BF134" s="39" t="s">
        <v>130</v>
      </c>
      <c r="BG134" s="39">
        <v>300.10000000000002</v>
      </c>
      <c r="BH134" s="39">
        <v>0.5</v>
      </c>
      <c r="BI134" s="39" t="s">
        <v>131</v>
      </c>
      <c r="BJ134" s="39" t="s">
        <v>132</v>
      </c>
    </row>
    <row r="135" spans="1:62" x14ac:dyDescent="0.35">
      <c r="A135" s="39" t="s">
        <v>1008</v>
      </c>
      <c r="B135" s="39" t="str">
        <f>IFERROR(INDEX(added_new_stocks!$F$6:$H$2155,MATCH($A135,added_new_stocks!$F$6:$F$2600,0),3),"")</f>
        <v>Mid</v>
      </c>
      <c r="C135" s="39">
        <v>130.75</v>
      </c>
      <c r="D135" s="39">
        <v>65</v>
      </c>
      <c r="G135" s="39" t="s">
        <v>4562</v>
      </c>
      <c r="H135" s="39" t="s">
        <v>7034</v>
      </c>
      <c r="I135" s="39" t="s">
        <v>4624</v>
      </c>
      <c r="J135" s="39" t="s">
        <v>7035</v>
      </c>
      <c r="K135" s="39" t="s">
        <v>133</v>
      </c>
      <c r="L135" s="39" t="s">
        <v>7036</v>
      </c>
      <c r="M135" s="39" t="s">
        <v>4959</v>
      </c>
      <c r="N135" s="39">
        <v>11</v>
      </c>
      <c r="O135" s="39">
        <v>-14</v>
      </c>
      <c r="P135" s="39">
        <v>-3</v>
      </c>
      <c r="Q135" s="39" t="s">
        <v>4611</v>
      </c>
      <c r="R135" s="39">
        <v>2.11</v>
      </c>
      <c r="S135" s="39">
        <v>11.04</v>
      </c>
      <c r="T135" s="39">
        <v>9.5500000000000007</v>
      </c>
      <c r="U135" s="39">
        <v>22.08</v>
      </c>
      <c r="V135" s="39">
        <v>19.84</v>
      </c>
      <c r="W135" s="39">
        <v>30.1</v>
      </c>
      <c r="X135" s="39">
        <v>50.72</v>
      </c>
      <c r="Y135" s="39">
        <v>28.38</v>
      </c>
      <c r="Z135" s="39">
        <v>57.82</v>
      </c>
      <c r="AA135" s="39">
        <v>66.88</v>
      </c>
      <c r="AB135" s="39">
        <v>16.53</v>
      </c>
      <c r="AC135" s="39">
        <v>204.78</v>
      </c>
      <c r="AD135" s="39" t="s">
        <v>4606</v>
      </c>
      <c r="AE135" s="39" t="s">
        <v>134</v>
      </c>
      <c r="AF135" s="39">
        <v>11</v>
      </c>
      <c r="AG135" s="42">
        <v>0.20019999999999999</v>
      </c>
      <c r="AH135" s="42">
        <v>185</v>
      </c>
      <c r="AI135" s="42">
        <v>0.2102</v>
      </c>
      <c r="AJ135" s="42" t="s">
        <v>7037</v>
      </c>
      <c r="AK135" s="42">
        <v>0.44009999999999999</v>
      </c>
      <c r="AL135" s="42" t="s">
        <v>7038</v>
      </c>
      <c r="AM135" s="42">
        <v>9.0899999999999995E-2</v>
      </c>
      <c r="AN135" s="42">
        <v>9.8000000000000004E-2</v>
      </c>
      <c r="AO135" s="41">
        <v>75</v>
      </c>
      <c r="AP135" s="39">
        <v>47</v>
      </c>
      <c r="AQ135" s="39">
        <v>51</v>
      </c>
      <c r="AR135" s="39">
        <v>124</v>
      </c>
      <c r="AS135" s="39">
        <v>7</v>
      </c>
      <c r="AT135" s="39" t="s">
        <v>129</v>
      </c>
      <c r="AU135" s="39">
        <v>14</v>
      </c>
      <c r="AV135" s="39" t="s">
        <v>6358</v>
      </c>
      <c r="AW135" s="39">
        <v>117.85</v>
      </c>
      <c r="AX135" s="39">
        <v>119.3</v>
      </c>
      <c r="AY135" s="39">
        <v>120.2</v>
      </c>
      <c r="AZ135" s="39">
        <v>115.5</v>
      </c>
      <c r="BA135" s="39">
        <v>114.6</v>
      </c>
      <c r="BB135" s="39">
        <v>113.15</v>
      </c>
      <c r="BC135" s="39">
        <v>6</v>
      </c>
      <c r="BD135" s="39">
        <v>3</v>
      </c>
      <c r="BE135" s="39">
        <v>5</v>
      </c>
      <c r="BF135" s="39" t="s">
        <v>130</v>
      </c>
      <c r="BG135" s="39">
        <v>84.6</v>
      </c>
      <c r="BH135" s="39">
        <v>0.7</v>
      </c>
      <c r="BI135" s="39" t="s">
        <v>4563</v>
      </c>
      <c r="BJ135" s="39" t="s">
        <v>4563</v>
      </c>
    </row>
    <row r="136" spans="1:62" x14ac:dyDescent="0.35">
      <c r="A136" s="39" t="s">
        <v>1057</v>
      </c>
      <c r="B136" s="39" t="str">
        <f>IFERROR(INDEX(added_new_stocks!$F$6:$H$2155,MATCH($A136,added_new_stocks!$F$6:$F$2600,0),3),"")</f>
        <v>Mid</v>
      </c>
      <c r="C136" s="39">
        <v>472.2</v>
      </c>
      <c r="D136" s="39">
        <v>61</v>
      </c>
      <c r="G136" s="39" t="s">
        <v>4562</v>
      </c>
      <c r="H136" s="39" t="s">
        <v>7039</v>
      </c>
      <c r="I136" s="39" t="s">
        <v>4624</v>
      </c>
      <c r="J136" s="39" t="s">
        <v>7040</v>
      </c>
      <c r="K136" s="39" t="s">
        <v>133</v>
      </c>
      <c r="L136" s="39" t="s">
        <v>7041</v>
      </c>
      <c r="N136" s="39">
        <v>0</v>
      </c>
      <c r="O136" s="39">
        <v>-18</v>
      </c>
      <c r="P136" s="39">
        <v>-18</v>
      </c>
      <c r="Q136" s="39" t="s">
        <v>4605</v>
      </c>
      <c r="R136" s="39">
        <v>-0.69</v>
      </c>
      <c r="S136" s="39">
        <v>1.66</v>
      </c>
      <c r="T136" s="39">
        <v>11.9</v>
      </c>
      <c r="U136" s="39">
        <v>47.17</v>
      </c>
      <c r="V136" s="39">
        <v>62.02</v>
      </c>
      <c r="W136" s="39">
        <v>26.48</v>
      </c>
      <c r="X136" s="39">
        <v>14.53</v>
      </c>
      <c r="Y136" s="39">
        <v>-26.38</v>
      </c>
      <c r="Z136" s="39">
        <v>132.84</v>
      </c>
      <c r="AA136" s="39">
        <v>75.77</v>
      </c>
      <c r="AB136" s="39">
        <v>-52.24</v>
      </c>
      <c r="AC136" s="39">
        <v>574.57000000000005</v>
      </c>
      <c r="AD136" s="39" t="s">
        <v>4606</v>
      </c>
      <c r="AE136" s="39" t="s">
        <v>134</v>
      </c>
      <c r="AF136" s="39">
        <v>18</v>
      </c>
      <c r="AG136" s="42">
        <v>6.13E-2</v>
      </c>
      <c r="AH136" s="42">
        <v>91</v>
      </c>
      <c r="AI136" s="42">
        <v>4.0500000000000001E-2</v>
      </c>
      <c r="AJ136" s="42" t="s">
        <v>7042</v>
      </c>
      <c r="AK136" s="42">
        <v>0.61329999999999996</v>
      </c>
      <c r="AL136" s="42" t="s">
        <v>5022</v>
      </c>
      <c r="AM136" s="42">
        <v>2.1100000000000001E-2</v>
      </c>
      <c r="AN136" s="42">
        <v>0.18160000000000001</v>
      </c>
      <c r="AO136" s="41">
        <v>40</v>
      </c>
      <c r="AP136" s="39">
        <v>24</v>
      </c>
      <c r="AQ136" s="39">
        <v>70</v>
      </c>
      <c r="AR136" s="39">
        <v>523</v>
      </c>
      <c r="AS136" s="39">
        <v>14</v>
      </c>
      <c r="AT136" s="39" t="s">
        <v>4633</v>
      </c>
      <c r="AU136" s="39">
        <v>3</v>
      </c>
      <c r="AV136" s="39" t="s">
        <v>6359</v>
      </c>
      <c r="AW136" s="39">
        <v>465.2</v>
      </c>
      <c r="AX136" s="39">
        <v>472.4</v>
      </c>
      <c r="AY136" s="39">
        <v>480.8</v>
      </c>
      <c r="AZ136" s="39">
        <v>449.6</v>
      </c>
      <c r="BA136" s="39">
        <v>441.2</v>
      </c>
      <c r="BB136" s="39">
        <v>434</v>
      </c>
      <c r="BC136" s="39">
        <v>6</v>
      </c>
      <c r="BD136" s="39">
        <v>8</v>
      </c>
      <c r="BE136" s="39">
        <v>5</v>
      </c>
      <c r="BF136" s="39" t="s">
        <v>130</v>
      </c>
      <c r="BG136" s="39">
        <v>205.5</v>
      </c>
      <c r="BH136" s="39">
        <v>0.4</v>
      </c>
      <c r="BI136" s="39" t="s">
        <v>4563</v>
      </c>
      <c r="BJ136" s="39" t="s">
        <v>4563</v>
      </c>
    </row>
    <row r="137" spans="1:62" x14ac:dyDescent="0.35">
      <c r="A137" s="39" t="s">
        <v>258</v>
      </c>
      <c r="B137" s="39" t="str">
        <f>IFERROR(INDEX(added_new_stocks!$F$6:$H$2155,MATCH($A137,added_new_stocks!$F$6:$F$2600,0),3),"")</f>
        <v>Large</v>
      </c>
      <c r="C137" s="48">
        <v>1806.45</v>
      </c>
      <c r="D137" s="39">
        <v>50</v>
      </c>
      <c r="G137" s="39" t="s">
        <v>4562</v>
      </c>
      <c r="H137" s="39" t="s">
        <v>7043</v>
      </c>
      <c r="I137" s="39" t="s">
        <v>4989</v>
      </c>
      <c r="J137" s="39" t="s">
        <v>7044</v>
      </c>
      <c r="K137" s="39" t="s">
        <v>4615</v>
      </c>
      <c r="L137" s="39" t="s">
        <v>7045</v>
      </c>
      <c r="M137" s="39" t="s">
        <v>5047</v>
      </c>
      <c r="N137" s="39">
        <v>3</v>
      </c>
      <c r="O137" s="39">
        <v>-16</v>
      </c>
      <c r="P137" s="39">
        <v>-13</v>
      </c>
      <c r="Q137" s="39" t="s">
        <v>4605</v>
      </c>
      <c r="R137" s="39">
        <v>0.1</v>
      </c>
      <c r="S137" s="39">
        <v>0.56999999999999995</v>
      </c>
      <c r="T137" s="39">
        <v>-0.94</v>
      </c>
      <c r="U137" s="39">
        <v>4.8</v>
      </c>
      <c r="V137" s="39">
        <v>13.03</v>
      </c>
      <c r="W137" s="39">
        <v>4.66</v>
      </c>
      <c r="X137" s="39">
        <v>7.6</v>
      </c>
      <c r="Y137" s="39">
        <v>22.78</v>
      </c>
      <c r="Z137" s="39">
        <v>157.81</v>
      </c>
      <c r="AA137" s="39">
        <v>154.05000000000001</v>
      </c>
      <c r="AB137" s="39">
        <v>68.05</v>
      </c>
      <c r="AC137" s="39">
        <v>299.8</v>
      </c>
      <c r="AD137" s="39" t="s">
        <v>4606</v>
      </c>
      <c r="AE137" s="39" t="s">
        <v>134</v>
      </c>
      <c r="AF137" s="39">
        <v>54</v>
      </c>
      <c r="AG137" s="42">
        <v>4.7199999999999999E-2</v>
      </c>
      <c r="AH137" s="42">
        <v>569</v>
      </c>
      <c r="AI137" s="42">
        <v>0.1229</v>
      </c>
      <c r="AJ137" s="42" t="s">
        <v>4607</v>
      </c>
      <c r="AK137" s="42">
        <v>0.18990000000000001</v>
      </c>
      <c r="AL137" s="42" t="s">
        <v>136</v>
      </c>
      <c r="AM137" s="42">
        <v>9.35E-2</v>
      </c>
      <c r="AN137" s="42">
        <v>0.113</v>
      </c>
      <c r="AO137" s="41">
        <v>35</v>
      </c>
      <c r="AP137" s="39">
        <v>47</v>
      </c>
      <c r="AQ137" s="39">
        <v>50</v>
      </c>
      <c r="AR137" s="45">
        <v>1931</v>
      </c>
      <c r="AS137" s="39">
        <v>9</v>
      </c>
      <c r="AT137" s="39" t="s">
        <v>129</v>
      </c>
      <c r="AU137" s="39">
        <v>12</v>
      </c>
      <c r="AV137" s="39" t="s">
        <v>6360</v>
      </c>
      <c r="AW137" s="39">
        <v>1786.58</v>
      </c>
      <c r="AX137" s="39">
        <v>1796.92</v>
      </c>
      <c r="AY137" s="39">
        <v>1811.18</v>
      </c>
      <c r="AZ137" s="39">
        <v>1761.98</v>
      </c>
      <c r="BA137" s="39">
        <v>1747.72</v>
      </c>
      <c r="BB137" s="39">
        <v>1737.38</v>
      </c>
      <c r="BC137" s="39">
        <v>5</v>
      </c>
      <c r="BD137" s="39">
        <v>4</v>
      </c>
      <c r="BE137" s="39">
        <v>4</v>
      </c>
      <c r="BF137" s="39" t="s">
        <v>130</v>
      </c>
      <c r="BG137" s="48">
        <v>2031.6</v>
      </c>
      <c r="BH137" s="39">
        <v>1.1000000000000001</v>
      </c>
      <c r="BI137" s="39" t="s">
        <v>131</v>
      </c>
      <c r="BJ137" s="39" t="s">
        <v>131</v>
      </c>
    </row>
    <row r="138" spans="1:62" x14ac:dyDescent="0.35">
      <c r="A138" s="39" t="s">
        <v>1202</v>
      </c>
      <c r="B138" s="39" t="str">
        <f>IFERROR(INDEX(added_new_stocks!$F$6:$H$2155,MATCH($A138,added_new_stocks!$F$6:$F$2600,0),3),"")</f>
        <v>Small</v>
      </c>
      <c r="C138" s="39">
        <v>445.2</v>
      </c>
      <c r="D138" s="48">
        <v>65</v>
      </c>
      <c r="G138" s="39" t="s">
        <v>4562</v>
      </c>
      <c r="H138" s="39" t="s">
        <v>7046</v>
      </c>
      <c r="I138" s="39" t="s">
        <v>4989</v>
      </c>
      <c r="J138" s="39" t="s">
        <v>7047</v>
      </c>
      <c r="K138" s="39" t="s">
        <v>133</v>
      </c>
      <c r="L138" s="39" t="s">
        <v>7048</v>
      </c>
      <c r="M138" s="39" t="s">
        <v>5047</v>
      </c>
      <c r="N138" s="39">
        <v>12</v>
      </c>
      <c r="O138" s="39">
        <v>-10</v>
      </c>
      <c r="P138" s="39">
        <v>2</v>
      </c>
      <c r="Q138" s="39" t="s">
        <v>4611</v>
      </c>
      <c r="R138" s="39">
        <v>0.19</v>
      </c>
      <c r="S138" s="39">
        <v>-3.31</v>
      </c>
      <c r="T138" s="39">
        <v>-6.87</v>
      </c>
      <c r="U138" s="39">
        <v>23.14</v>
      </c>
      <c r="V138" s="39">
        <v>44.62</v>
      </c>
      <c r="W138" s="39">
        <v>38.299999999999997</v>
      </c>
      <c r="X138" s="39">
        <v>29.08</v>
      </c>
      <c r="Y138" s="39">
        <v>60.84</v>
      </c>
      <c r="Z138" s="39">
        <v>201.79</v>
      </c>
      <c r="AA138" s="39">
        <v>199.84</v>
      </c>
      <c r="AB138" s="39">
        <v>114.02</v>
      </c>
      <c r="AC138" s="39" t="s">
        <v>4538</v>
      </c>
      <c r="AD138" s="39" t="s">
        <v>4606</v>
      </c>
      <c r="AE138" s="39" t="s">
        <v>134</v>
      </c>
      <c r="AF138" s="39">
        <v>4</v>
      </c>
      <c r="AG138" s="42">
        <v>0.12889999999999999</v>
      </c>
      <c r="AH138" s="42">
        <v>24</v>
      </c>
      <c r="AI138" s="42">
        <v>1.46E-2</v>
      </c>
      <c r="AJ138" s="42" t="s">
        <v>7049</v>
      </c>
      <c r="AK138" s="42">
        <v>0.3795</v>
      </c>
      <c r="AL138" s="42" t="s">
        <v>7050</v>
      </c>
      <c r="AM138" s="42">
        <v>8.4900000000000003E-2</v>
      </c>
      <c r="AN138" s="42">
        <v>0.14449999999999999</v>
      </c>
      <c r="AO138" s="41">
        <v>65</v>
      </c>
      <c r="AP138" s="39">
        <v>27</v>
      </c>
      <c r="AQ138" s="39">
        <v>69</v>
      </c>
      <c r="AR138" s="39">
        <v>501</v>
      </c>
      <c r="AS138" s="39">
        <v>10</v>
      </c>
      <c r="AT138" s="39" t="s">
        <v>4562</v>
      </c>
      <c r="AU138" s="39">
        <v>8</v>
      </c>
      <c r="AV138" s="39" t="s">
        <v>6361</v>
      </c>
      <c r="AW138" s="39">
        <v>464.47</v>
      </c>
      <c r="AX138" s="39">
        <v>471.53</v>
      </c>
      <c r="AY138" s="39">
        <v>476.07</v>
      </c>
      <c r="AZ138" s="39">
        <v>452.87</v>
      </c>
      <c r="BA138" s="39">
        <v>448.33</v>
      </c>
      <c r="BB138" s="39">
        <v>441.27</v>
      </c>
      <c r="BC138" s="39">
        <v>8</v>
      </c>
      <c r="BD138" s="39">
        <v>3</v>
      </c>
      <c r="BE138" s="39">
        <v>3</v>
      </c>
      <c r="BF138" s="39" t="s">
        <v>130</v>
      </c>
      <c r="BG138" s="39">
        <v>135.80000000000001</v>
      </c>
      <c r="BH138" s="39">
        <v>0.3</v>
      </c>
      <c r="BI138" s="39" t="s">
        <v>4563</v>
      </c>
      <c r="BJ138" s="39" t="s">
        <v>4563</v>
      </c>
    </row>
    <row r="139" spans="1:62" x14ac:dyDescent="0.35">
      <c r="A139" s="39" t="s">
        <v>567</v>
      </c>
      <c r="B139" s="39" t="str">
        <f>IFERROR(INDEX(added_new_stocks!$F$6:$H$2155,MATCH($A139,added_new_stocks!$F$6:$F$2600,0),3),"")</f>
        <v>Large</v>
      </c>
      <c r="C139" s="48">
        <v>2224.4</v>
      </c>
      <c r="D139" s="39">
        <v>58</v>
      </c>
      <c r="G139" s="39" t="s">
        <v>4562</v>
      </c>
      <c r="H139" s="39" t="s">
        <v>7051</v>
      </c>
      <c r="I139" s="39" t="s">
        <v>4989</v>
      </c>
      <c r="J139" s="39" t="s">
        <v>7052</v>
      </c>
      <c r="K139" s="39" t="s">
        <v>133</v>
      </c>
      <c r="L139" s="39" t="s">
        <v>7053</v>
      </c>
      <c r="M139" s="39" t="s">
        <v>4959</v>
      </c>
      <c r="N139" s="39">
        <v>5</v>
      </c>
      <c r="O139" s="39">
        <v>0</v>
      </c>
      <c r="P139" s="39">
        <v>5</v>
      </c>
      <c r="Q139" s="39" t="s">
        <v>4611</v>
      </c>
      <c r="R139" s="39">
        <v>-0.71</v>
      </c>
      <c r="S139" s="39">
        <v>-1.96</v>
      </c>
      <c r="T139" s="39">
        <v>2.39</v>
      </c>
      <c r="U139" s="39">
        <v>4.96</v>
      </c>
      <c r="V139" s="39">
        <v>22.93</v>
      </c>
      <c r="W139" s="39">
        <v>24.64</v>
      </c>
      <c r="X139" s="39">
        <v>1.1000000000000001</v>
      </c>
      <c r="Y139" s="39">
        <v>73.680000000000007</v>
      </c>
      <c r="Z139" s="39">
        <v>330.96</v>
      </c>
      <c r="AA139" s="39">
        <v>297.32</v>
      </c>
      <c r="AB139" s="39">
        <v>320.05</v>
      </c>
      <c r="AC139" s="39">
        <v>1871.99</v>
      </c>
      <c r="AD139" s="39" t="s">
        <v>4606</v>
      </c>
      <c r="AE139" s="39" t="s">
        <v>134</v>
      </c>
      <c r="AF139" s="39">
        <v>25</v>
      </c>
      <c r="AG139" s="42">
        <v>0.1409</v>
      </c>
      <c r="AH139" s="42">
        <v>140</v>
      </c>
      <c r="AI139" s="42">
        <v>8.3400000000000002E-2</v>
      </c>
      <c r="AJ139" s="42" t="s">
        <v>7054</v>
      </c>
      <c r="AK139" s="42">
        <v>0.26769999999999999</v>
      </c>
      <c r="AL139" s="42" t="s">
        <v>5000</v>
      </c>
      <c r="AM139" s="42">
        <v>3.95E-2</v>
      </c>
      <c r="AN139" s="42">
        <v>0.1265</v>
      </c>
      <c r="AO139" s="41">
        <v>50</v>
      </c>
      <c r="AP139" s="39">
        <v>11</v>
      </c>
      <c r="AQ139" s="39">
        <v>59</v>
      </c>
      <c r="AR139" s="45">
        <v>2302</v>
      </c>
      <c r="AS139" s="39">
        <v>2</v>
      </c>
      <c r="AT139" s="39" t="s">
        <v>4562</v>
      </c>
      <c r="AU139" s="39">
        <v>7</v>
      </c>
      <c r="AV139" s="39" t="s">
        <v>6362</v>
      </c>
      <c r="AW139" s="39">
        <v>2284.73</v>
      </c>
      <c r="AX139" s="39">
        <v>2320.4699999999998</v>
      </c>
      <c r="AY139" s="39">
        <v>2348.83</v>
      </c>
      <c r="AZ139" s="39">
        <v>2220.63</v>
      </c>
      <c r="BA139" s="39">
        <v>2192.27</v>
      </c>
      <c r="BB139" s="39">
        <v>2156.5300000000002</v>
      </c>
      <c r="BC139" s="39">
        <v>11</v>
      </c>
      <c r="BD139" s="39">
        <v>3</v>
      </c>
      <c r="BE139" s="39">
        <v>3</v>
      </c>
      <c r="BF139" s="39" t="s">
        <v>130</v>
      </c>
      <c r="BG139" s="39">
        <v>349.3</v>
      </c>
      <c r="BH139" s="39">
        <v>0.2</v>
      </c>
      <c r="BI139" s="39" t="s">
        <v>4565</v>
      </c>
      <c r="BJ139" s="39" t="s">
        <v>132</v>
      </c>
    </row>
    <row r="140" spans="1:62" x14ac:dyDescent="0.35">
      <c r="A140" s="39" t="s">
        <v>797</v>
      </c>
      <c r="B140" s="39" t="str">
        <f>IFERROR(INDEX(added_new_stocks!$F$6:$H$2155,MATCH($A140,added_new_stocks!$F$6:$F$2600,0),3),"")</f>
        <v>Mid</v>
      </c>
      <c r="C140" s="48">
        <v>1286.0999999999999</v>
      </c>
      <c r="D140" s="48">
        <v>57</v>
      </c>
      <c r="G140" s="39" t="s">
        <v>4562</v>
      </c>
      <c r="H140" s="39" t="s">
        <v>5253</v>
      </c>
      <c r="I140" s="39" t="s">
        <v>4624</v>
      </c>
      <c r="J140" s="39" t="s">
        <v>7055</v>
      </c>
      <c r="K140" s="39" t="s">
        <v>4615</v>
      </c>
      <c r="L140" s="39" t="s">
        <v>5008</v>
      </c>
      <c r="N140" s="39">
        <v>3</v>
      </c>
      <c r="O140" s="39">
        <v>-10</v>
      </c>
      <c r="P140" s="39">
        <v>-7</v>
      </c>
      <c r="Q140" s="39" t="s">
        <v>4605</v>
      </c>
      <c r="R140" s="39">
        <v>0.02</v>
      </c>
      <c r="S140" s="39">
        <v>2.44</v>
      </c>
      <c r="T140" s="39">
        <v>0.2</v>
      </c>
      <c r="U140" s="39">
        <v>11.03</v>
      </c>
      <c r="V140" s="39">
        <v>26.63</v>
      </c>
      <c r="W140" s="39">
        <v>12.93</v>
      </c>
      <c r="X140" s="39">
        <v>-5.35</v>
      </c>
      <c r="Y140" s="39">
        <v>-19.25</v>
      </c>
      <c r="Z140" s="39" t="s">
        <v>4538</v>
      </c>
      <c r="AA140" s="39" t="s">
        <v>4538</v>
      </c>
      <c r="AB140" s="39" t="s">
        <v>4538</v>
      </c>
      <c r="AC140" s="39" t="s">
        <v>4538</v>
      </c>
      <c r="AD140" s="39" t="s">
        <v>4606</v>
      </c>
      <c r="AE140" s="39" t="s">
        <v>134</v>
      </c>
      <c r="AF140" s="39">
        <v>12</v>
      </c>
      <c r="AG140" s="42">
        <v>0.15820000000000001</v>
      </c>
      <c r="AH140" s="42">
        <v>27</v>
      </c>
      <c r="AI140" s="42">
        <v>5.8999999999999999E-3</v>
      </c>
      <c r="AJ140" s="42" t="s">
        <v>5255</v>
      </c>
      <c r="AK140" s="42">
        <v>0.31830000000000003</v>
      </c>
      <c r="AL140" s="42" t="s">
        <v>5256</v>
      </c>
      <c r="AM140" s="42">
        <v>8.6400000000000005E-2</v>
      </c>
      <c r="AN140" s="42">
        <v>1.7500000000000002E-2</v>
      </c>
      <c r="AO140" s="41">
        <v>75</v>
      </c>
      <c r="AP140" s="39">
        <v>56</v>
      </c>
      <c r="AQ140" s="39">
        <v>49</v>
      </c>
      <c r="AR140" s="45">
        <v>1488</v>
      </c>
      <c r="AS140" s="39">
        <v>17</v>
      </c>
      <c r="AT140" s="39" t="s">
        <v>129</v>
      </c>
      <c r="AU140" s="39">
        <v>14</v>
      </c>
      <c r="AV140" s="39" t="s">
        <v>6363</v>
      </c>
      <c r="AW140" s="39">
        <v>1289.72</v>
      </c>
      <c r="AX140" s="39">
        <v>1306.3800000000001</v>
      </c>
      <c r="AY140" s="39">
        <v>1327.82</v>
      </c>
      <c r="AZ140" s="39">
        <v>1251.6199999999999</v>
      </c>
      <c r="BA140" s="39">
        <v>1230.18</v>
      </c>
      <c r="BB140" s="39">
        <v>1213.52</v>
      </c>
      <c r="BC140" s="39">
        <v>5</v>
      </c>
      <c r="BD140" s="39">
        <v>4</v>
      </c>
      <c r="BE140" s="39">
        <v>4</v>
      </c>
      <c r="BF140" s="39" t="s">
        <v>130</v>
      </c>
      <c r="BG140" s="48">
        <v>1431.7</v>
      </c>
      <c r="BH140" s="39">
        <v>1.1000000000000001</v>
      </c>
      <c r="BI140" s="39" t="s">
        <v>4651</v>
      </c>
      <c r="BJ140" s="39" t="s">
        <v>4563</v>
      </c>
    </row>
    <row r="141" spans="1:62" x14ac:dyDescent="0.35">
      <c r="A141" s="39" t="s">
        <v>1858</v>
      </c>
      <c r="B141" s="39" t="str">
        <f>IFERROR(INDEX(added_new_stocks!$F$6:$H$2155,MATCH($A141,added_new_stocks!$F$6:$F$2600,0),3),"")</f>
        <v>Small</v>
      </c>
      <c r="C141" s="48">
        <v>1164.6500000000001</v>
      </c>
      <c r="D141" s="48">
        <v>58</v>
      </c>
      <c r="G141" s="39" t="s">
        <v>4562</v>
      </c>
      <c r="H141" s="39" t="s">
        <v>7056</v>
      </c>
      <c r="I141" s="39" t="s">
        <v>4624</v>
      </c>
      <c r="J141" s="39" t="s">
        <v>7057</v>
      </c>
      <c r="K141" s="39" t="s">
        <v>4615</v>
      </c>
      <c r="L141" s="39" t="s">
        <v>7058</v>
      </c>
      <c r="M141" s="39" t="s">
        <v>4959</v>
      </c>
      <c r="N141" s="39">
        <v>3</v>
      </c>
      <c r="O141" s="39">
        <v>-2</v>
      </c>
      <c r="P141" s="39">
        <v>1</v>
      </c>
      <c r="Q141" s="39" t="s">
        <v>4611</v>
      </c>
      <c r="R141" s="39">
        <v>2.27</v>
      </c>
      <c r="S141" s="39">
        <v>5.27</v>
      </c>
      <c r="T141" s="39">
        <v>19.28</v>
      </c>
      <c r="U141" s="39">
        <v>74.83</v>
      </c>
      <c r="V141" s="39">
        <v>92.04</v>
      </c>
      <c r="W141" s="39">
        <v>77.34</v>
      </c>
      <c r="X141" s="39">
        <v>40.4</v>
      </c>
      <c r="Y141" s="39">
        <v>16.04</v>
      </c>
      <c r="Z141" s="39">
        <v>346.14</v>
      </c>
      <c r="AA141" s="39">
        <v>400.82</v>
      </c>
      <c r="AB141" s="39">
        <v>461.28</v>
      </c>
      <c r="AC141" s="39">
        <v>1675.38</v>
      </c>
      <c r="AD141" s="39" t="s">
        <v>4606</v>
      </c>
      <c r="AE141" s="39" t="s">
        <v>134</v>
      </c>
      <c r="AF141" s="39">
        <v>8</v>
      </c>
      <c r="AG141" s="42">
        <v>2.1999999999999999E-2</v>
      </c>
      <c r="AH141" s="42">
        <v>8</v>
      </c>
      <c r="AI141" s="42">
        <v>1.1000000000000001E-3</v>
      </c>
      <c r="AJ141" s="42" t="s">
        <v>7059</v>
      </c>
      <c r="AK141" s="42">
        <v>0.38169999999999998</v>
      </c>
      <c r="AL141" s="42" t="s">
        <v>7060</v>
      </c>
      <c r="AM141" s="42">
        <v>4.1700000000000001E-2</v>
      </c>
      <c r="AN141" s="42">
        <v>0.29949999999999999</v>
      </c>
      <c r="AO141" s="41">
        <v>70</v>
      </c>
      <c r="AP141" s="39">
        <v>50</v>
      </c>
      <c r="AQ141" s="39">
        <v>74</v>
      </c>
      <c r="AS141" s="39" t="s">
        <v>4564</v>
      </c>
      <c r="AW141" s="39">
        <v>1172.7</v>
      </c>
      <c r="AX141" s="39">
        <v>1195.7</v>
      </c>
      <c r="AY141" s="39">
        <v>1231.55</v>
      </c>
      <c r="AZ141" s="39">
        <v>1113.8499999999999</v>
      </c>
      <c r="BA141" s="39">
        <v>1078</v>
      </c>
      <c r="BB141" s="39">
        <v>1055</v>
      </c>
      <c r="BC141" s="39">
        <v>2</v>
      </c>
      <c r="BD141" s="39">
        <v>7</v>
      </c>
      <c r="BE141" s="39" t="s">
        <v>130</v>
      </c>
      <c r="BF141" s="39">
        <v>1.58</v>
      </c>
      <c r="BG141" s="39">
        <v>11</v>
      </c>
      <c r="BH141" s="48">
        <v>1130.9000000000001</v>
      </c>
      <c r="BI141" s="39" t="s">
        <v>131</v>
      </c>
      <c r="BJ141" s="39" t="s">
        <v>4639</v>
      </c>
    </row>
    <row r="142" spans="1:62" x14ac:dyDescent="0.35">
      <c r="A142" s="39" t="s">
        <v>663</v>
      </c>
      <c r="B142" s="39" t="str">
        <f>IFERROR(INDEX(added_new_stocks!$F$6:$H$2155,MATCH($A142,added_new_stocks!$F$6:$F$2600,0),3),"")</f>
        <v>Mid</v>
      </c>
      <c r="C142" s="39">
        <v>275.8</v>
      </c>
      <c r="D142" s="48">
        <v>54</v>
      </c>
      <c r="G142" s="39" t="s">
        <v>4562</v>
      </c>
      <c r="H142" s="39" t="s">
        <v>7061</v>
      </c>
      <c r="I142" s="39" t="s">
        <v>4989</v>
      </c>
      <c r="J142" s="39" t="s">
        <v>7062</v>
      </c>
      <c r="K142" s="39" t="s">
        <v>133</v>
      </c>
      <c r="L142" s="39" t="s">
        <v>7063</v>
      </c>
      <c r="M142" s="39" t="s">
        <v>135</v>
      </c>
      <c r="N142" s="39">
        <v>1</v>
      </c>
      <c r="O142" s="39">
        <v>-20</v>
      </c>
      <c r="P142" s="39">
        <v>-19</v>
      </c>
      <c r="Q142" s="39" t="s">
        <v>4605</v>
      </c>
      <c r="R142" s="39">
        <v>0.6</v>
      </c>
      <c r="S142" s="39">
        <v>-0.4</v>
      </c>
      <c r="T142" s="39">
        <v>-3.77</v>
      </c>
      <c r="U142" s="39">
        <v>-9.07</v>
      </c>
      <c r="V142" s="39">
        <v>-2.63</v>
      </c>
      <c r="W142" s="39">
        <v>4.49</v>
      </c>
      <c r="X142" s="39">
        <v>13.85</v>
      </c>
      <c r="Y142" s="39">
        <v>-20.8</v>
      </c>
      <c r="Z142" s="39">
        <v>29.61</v>
      </c>
      <c r="AA142" s="39">
        <v>25.62</v>
      </c>
      <c r="AB142" s="39">
        <v>43.8</v>
      </c>
      <c r="AC142" s="39">
        <v>454.37</v>
      </c>
      <c r="AD142" s="39" t="s">
        <v>4606</v>
      </c>
      <c r="AE142" s="39" t="s">
        <v>134</v>
      </c>
      <c r="AF142" s="39">
        <v>23</v>
      </c>
      <c r="AG142" s="42">
        <v>0.22270000000000001</v>
      </c>
      <c r="AH142" s="42">
        <v>195</v>
      </c>
      <c r="AI142" s="42">
        <v>0.16550000000000001</v>
      </c>
      <c r="AJ142" s="42" t="s">
        <v>7064</v>
      </c>
      <c r="AK142" s="42">
        <v>0.37630000000000002</v>
      </c>
      <c r="AL142" s="42" t="s">
        <v>7065</v>
      </c>
      <c r="AM142" s="42">
        <v>7.9899999999999999E-2</v>
      </c>
      <c r="AN142" s="42">
        <v>6.3799999999999996E-2</v>
      </c>
      <c r="AO142" s="41">
        <v>80</v>
      </c>
      <c r="AP142" s="39">
        <v>64</v>
      </c>
      <c r="AQ142" s="39">
        <v>54</v>
      </c>
      <c r="AR142" s="39">
        <v>336</v>
      </c>
      <c r="AS142" s="39">
        <v>21</v>
      </c>
      <c r="AT142" s="39" t="s">
        <v>129</v>
      </c>
      <c r="AU142" s="39">
        <v>22</v>
      </c>
      <c r="AV142" s="39" t="s">
        <v>6364</v>
      </c>
      <c r="AW142" s="39">
        <v>281.05</v>
      </c>
      <c r="AX142" s="39">
        <v>283.39999999999998</v>
      </c>
      <c r="AY142" s="39">
        <v>285.39999999999998</v>
      </c>
      <c r="AZ142" s="39">
        <v>276.7</v>
      </c>
      <c r="BA142" s="39">
        <v>274.7</v>
      </c>
      <c r="BB142" s="39">
        <v>272.35000000000002</v>
      </c>
      <c r="BC142" s="39">
        <v>5</v>
      </c>
      <c r="BD142" s="39">
        <v>7</v>
      </c>
      <c r="BE142" s="39">
        <v>2</v>
      </c>
      <c r="BF142" s="39" t="s">
        <v>130</v>
      </c>
      <c r="BG142" s="39">
        <v>367.2</v>
      </c>
      <c r="BH142" s="39">
        <v>1.3</v>
      </c>
      <c r="BI142" s="39" t="s">
        <v>4639</v>
      </c>
      <c r="BJ142" s="39" t="s">
        <v>4651</v>
      </c>
    </row>
    <row r="143" spans="1:62" x14ac:dyDescent="0.35">
      <c r="A143" s="39" t="s">
        <v>462</v>
      </c>
      <c r="B143" s="39" t="str">
        <f>IFERROR(INDEX(added_new_stocks!$F$6:$H$2155,MATCH($A143,added_new_stocks!$F$6:$F$2600,0),3),"")</f>
        <v>Large</v>
      </c>
      <c r="C143" s="39">
        <v>453.3</v>
      </c>
      <c r="D143" s="39">
        <v>37</v>
      </c>
      <c r="G143" s="39" t="s">
        <v>4625</v>
      </c>
      <c r="H143" s="39" t="s">
        <v>7066</v>
      </c>
      <c r="I143" s="39" t="s">
        <v>5677</v>
      </c>
      <c r="J143" s="39" t="s">
        <v>7067</v>
      </c>
      <c r="K143" s="39" t="s">
        <v>4957</v>
      </c>
      <c r="L143" s="39" t="s">
        <v>7068</v>
      </c>
      <c r="M143" s="39" t="s">
        <v>135</v>
      </c>
      <c r="N143" s="39">
        <v>0</v>
      </c>
      <c r="O143" s="39">
        <v>-20</v>
      </c>
      <c r="P143" s="39">
        <v>-20</v>
      </c>
      <c r="Q143" s="39" t="s">
        <v>5026</v>
      </c>
      <c r="R143" s="39">
        <v>-1.25</v>
      </c>
      <c r="S143" s="39">
        <v>-0.2</v>
      </c>
      <c r="T143" s="39">
        <v>-5.79</v>
      </c>
      <c r="U143" s="39">
        <v>-9.94</v>
      </c>
      <c r="V143" s="39">
        <v>-11.35</v>
      </c>
      <c r="W143" s="39">
        <v>-6.73</v>
      </c>
      <c r="X143" s="39">
        <v>-3.9</v>
      </c>
      <c r="Y143" s="39">
        <v>-36.24</v>
      </c>
      <c r="Z143" s="39">
        <v>41.52</v>
      </c>
      <c r="AA143" s="39">
        <v>155.31</v>
      </c>
      <c r="AB143" s="39">
        <v>195.17</v>
      </c>
      <c r="AC143" s="39" t="s">
        <v>4538</v>
      </c>
      <c r="AD143" s="39" t="s">
        <v>4606</v>
      </c>
      <c r="AE143" s="39" t="s">
        <v>134</v>
      </c>
      <c r="AF143" s="39">
        <v>24</v>
      </c>
      <c r="AG143" s="42">
        <v>8.4400000000000003E-2</v>
      </c>
      <c r="AH143" s="42">
        <v>192</v>
      </c>
      <c r="AI143" s="42">
        <v>4.4699999999999997E-2</v>
      </c>
      <c r="AJ143" s="42" t="s">
        <v>7069</v>
      </c>
      <c r="AK143" s="42">
        <v>0.54169999999999996</v>
      </c>
      <c r="AL143" s="42" t="s">
        <v>1106</v>
      </c>
      <c r="AM143" s="42">
        <v>6.8199999999999997E-2</v>
      </c>
      <c r="AN143" s="42">
        <v>5.79E-2</v>
      </c>
      <c r="AO143" s="41">
        <v>75</v>
      </c>
      <c r="AP143" s="39">
        <v>38</v>
      </c>
      <c r="AQ143" s="39">
        <v>32</v>
      </c>
      <c r="AR143" s="39">
        <v>490</v>
      </c>
      <c r="AS143" s="39">
        <v>8</v>
      </c>
      <c r="AT143" s="39" t="s">
        <v>4562</v>
      </c>
      <c r="AU143" s="39">
        <v>27</v>
      </c>
      <c r="AV143" s="39" t="s">
        <v>6365</v>
      </c>
      <c r="AW143" s="39">
        <v>458.12</v>
      </c>
      <c r="AX143" s="39">
        <v>462.83</v>
      </c>
      <c r="AY143" s="39">
        <v>465.72</v>
      </c>
      <c r="AZ143" s="39">
        <v>450.52</v>
      </c>
      <c r="BA143" s="39">
        <v>447.63</v>
      </c>
      <c r="BB143" s="39">
        <v>442.92</v>
      </c>
      <c r="BC143" s="39">
        <v>5</v>
      </c>
      <c r="BD143" s="39">
        <v>9</v>
      </c>
      <c r="BE143" s="39">
        <v>1</v>
      </c>
      <c r="BF143" s="39" t="s">
        <v>130</v>
      </c>
      <c r="BG143" s="39">
        <v>213.2</v>
      </c>
      <c r="BH143" s="39">
        <v>0.5</v>
      </c>
      <c r="BI143" s="39" t="s">
        <v>4563</v>
      </c>
      <c r="BJ143" s="39" t="s">
        <v>4563</v>
      </c>
    </row>
    <row r="144" spans="1:62" x14ac:dyDescent="0.35">
      <c r="A144" s="39" t="s">
        <v>276</v>
      </c>
      <c r="B144" s="39" t="str">
        <f>IFERROR(INDEX(added_new_stocks!$F$6:$H$2155,MATCH($A144,added_new_stocks!$F$6:$F$2600,0),3),"")</f>
        <v>Large</v>
      </c>
      <c r="C144" s="48">
        <v>3905.7</v>
      </c>
      <c r="D144" s="39">
        <v>65</v>
      </c>
      <c r="G144" s="39" t="s">
        <v>4562</v>
      </c>
      <c r="H144" s="39" t="s">
        <v>7070</v>
      </c>
      <c r="I144" s="39" t="s">
        <v>4624</v>
      </c>
      <c r="J144" s="39" t="s">
        <v>7071</v>
      </c>
      <c r="K144" s="39" t="s">
        <v>133</v>
      </c>
      <c r="L144" s="39" t="s">
        <v>7072</v>
      </c>
      <c r="M144" s="39" t="s">
        <v>4959</v>
      </c>
      <c r="N144" s="39">
        <v>4</v>
      </c>
      <c r="O144" s="39">
        <v>-1</v>
      </c>
      <c r="P144" s="39">
        <v>3</v>
      </c>
      <c r="Q144" s="39" t="s">
        <v>4611</v>
      </c>
      <c r="R144" s="39">
        <v>0.22</v>
      </c>
      <c r="S144" s="39">
        <v>-3.08</v>
      </c>
      <c r="T144" s="39">
        <v>-0.56000000000000005</v>
      </c>
      <c r="U144" s="39">
        <v>25.87</v>
      </c>
      <c r="V144" s="39">
        <v>44.14</v>
      </c>
      <c r="W144" s="39">
        <v>54.29</v>
      </c>
      <c r="X144" s="39">
        <v>70.239999999999995</v>
      </c>
      <c r="Y144" s="39">
        <v>179.27</v>
      </c>
      <c r="Z144" s="39">
        <v>286.38</v>
      </c>
      <c r="AA144" s="39">
        <v>501.29</v>
      </c>
      <c r="AB144" s="39">
        <v>335.32</v>
      </c>
      <c r="AC144" s="39" t="s">
        <v>4538</v>
      </c>
      <c r="AD144" s="39" t="s">
        <v>4606</v>
      </c>
      <c r="AE144" s="39" t="s">
        <v>134</v>
      </c>
      <c r="AF144" s="39">
        <v>28</v>
      </c>
      <c r="AG144" s="42">
        <v>6.6000000000000003E-2</v>
      </c>
      <c r="AH144" s="42">
        <v>591</v>
      </c>
      <c r="AI144" s="42">
        <v>0.1191</v>
      </c>
      <c r="AJ144" s="42" t="s">
        <v>5061</v>
      </c>
      <c r="AK144" s="42">
        <v>0.71640000000000004</v>
      </c>
      <c r="AL144" s="42" t="s">
        <v>7073</v>
      </c>
      <c r="AM144" s="42">
        <v>3.7499999999999999E-2</v>
      </c>
      <c r="AN144" s="42">
        <v>4.7500000000000001E-2</v>
      </c>
      <c r="AO144" s="41" t="s">
        <v>130</v>
      </c>
      <c r="AP144" s="39">
        <v>66</v>
      </c>
      <c r="AQ144" s="39">
        <v>64</v>
      </c>
      <c r="AS144" s="39" t="s">
        <v>4564</v>
      </c>
      <c r="AW144" s="39">
        <v>5.15</v>
      </c>
      <c r="AX144" s="39">
        <v>5.3</v>
      </c>
      <c r="AY144" s="39">
        <v>5.4</v>
      </c>
      <c r="AZ144" s="39">
        <v>4.9000000000000004</v>
      </c>
      <c r="BA144" s="39">
        <v>4.8</v>
      </c>
      <c r="BB144" s="39">
        <v>4.6500000000000004</v>
      </c>
      <c r="BC144" s="39">
        <v>2</v>
      </c>
      <c r="BD144" s="39">
        <v>6</v>
      </c>
      <c r="BE144" s="39" t="s">
        <v>130</v>
      </c>
      <c r="BF144" s="39">
        <v>0.09</v>
      </c>
      <c r="BG144" s="39">
        <v>7</v>
      </c>
      <c r="BH144" s="39">
        <v>42.2</v>
      </c>
      <c r="BI144" s="39" t="s">
        <v>4565</v>
      </c>
      <c r="BJ144" s="39" t="s">
        <v>4563</v>
      </c>
    </row>
    <row r="145" spans="1:62" x14ac:dyDescent="0.35">
      <c r="A145" s="39" t="s">
        <v>738</v>
      </c>
      <c r="B145" s="39" t="str">
        <f>IFERROR(INDEX(added_new_stocks!$F$6:$H$2155,MATCH($A145,added_new_stocks!$F$6:$F$2600,0),3),"")</f>
        <v>Mid</v>
      </c>
      <c r="C145" s="39">
        <v>908.15</v>
      </c>
      <c r="D145" s="48">
        <v>42</v>
      </c>
      <c r="G145" s="39" t="s">
        <v>4625</v>
      </c>
      <c r="H145" s="39" t="s">
        <v>7074</v>
      </c>
      <c r="I145" s="39" t="s">
        <v>4989</v>
      </c>
      <c r="J145" s="39" t="s">
        <v>7075</v>
      </c>
      <c r="K145" s="39" t="s">
        <v>4615</v>
      </c>
      <c r="L145" s="39" t="s">
        <v>5008</v>
      </c>
      <c r="M145" s="39" t="s">
        <v>4959</v>
      </c>
      <c r="N145" s="39">
        <v>10</v>
      </c>
      <c r="O145" s="39">
        <v>-19</v>
      </c>
      <c r="P145" s="39">
        <v>-9</v>
      </c>
      <c r="Q145" s="39" t="s">
        <v>4605</v>
      </c>
      <c r="R145" s="39">
        <v>0.69</v>
      </c>
      <c r="S145" s="39">
        <v>-0.89</v>
      </c>
      <c r="T145" s="39">
        <v>-1.81</v>
      </c>
      <c r="U145" s="39">
        <v>1.31</v>
      </c>
      <c r="V145" s="39">
        <v>6.82</v>
      </c>
      <c r="W145" s="39">
        <v>3.13</v>
      </c>
      <c r="X145" s="39">
        <v>-11.98</v>
      </c>
      <c r="Y145" s="39">
        <v>-35.75</v>
      </c>
      <c r="Z145" s="39" t="s">
        <v>4538</v>
      </c>
      <c r="AA145" s="39" t="s">
        <v>4538</v>
      </c>
      <c r="AB145" s="39" t="s">
        <v>4538</v>
      </c>
      <c r="AC145" s="39" t="s">
        <v>4538</v>
      </c>
      <c r="AD145" s="39" t="s">
        <v>4606</v>
      </c>
      <c r="AE145" s="39">
        <v>7.01</v>
      </c>
      <c r="AF145" s="39">
        <v>14</v>
      </c>
      <c r="AG145" s="42">
        <v>7.7999999999999996E-3</v>
      </c>
      <c r="AH145" s="42">
        <v>109</v>
      </c>
      <c r="AI145" s="42">
        <v>4.5199999999999997E-2</v>
      </c>
      <c r="AJ145" s="42" t="s">
        <v>7076</v>
      </c>
      <c r="AK145" s="42">
        <v>0.40910000000000002</v>
      </c>
      <c r="AL145" s="42" t="s">
        <v>7077</v>
      </c>
      <c r="AM145" s="42">
        <v>3.4000000000000002E-2</v>
      </c>
      <c r="AN145" s="42">
        <v>0.30530000000000002</v>
      </c>
      <c r="AO145" s="41">
        <v>35</v>
      </c>
      <c r="AP145" s="39">
        <v>12</v>
      </c>
      <c r="AQ145" s="39">
        <v>54</v>
      </c>
      <c r="AR145" s="45">
        <v>1070</v>
      </c>
      <c r="AS145" s="39">
        <v>17</v>
      </c>
      <c r="AT145" s="39" t="s">
        <v>129</v>
      </c>
      <c r="AU145" s="39">
        <v>4</v>
      </c>
      <c r="AV145" s="39" t="s">
        <v>6366</v>
      </c>
      <c r="AW145" s="39">
        <v>919.4</v>
      </c>
      <c r="AX145" s="39">
        <v>926.75</v>
      </c>
      <c r="AY145" s="39">
        <v>934.95</v>
      </c>
      <c r="AZ145" s="39">
        <v>903.85</v>
      </c>
      <c r="BA145" s="39">
        <v>895.65</v>
      </c>
      <c r="BB145" s="39">
        <v>888.3</v>
      </c>
      <c r="BC145" s="39">
        <v>7</v>
      </c>
      <c r="BD145" s="39">
        <v>5</v>
      </c>
      <c r="BE145" s="39">
        <v>3</v>
      </c>
      <c r="BF145" s="39" t="s">
        <v>130</v>
      </c>
      <c r="BG145" s="39">
        <v>141.80000000000001</v>
      </c>
      <c r="BH145" s="39">
        <v>0.2</v>
      </c>
      <c r="BI145" s="39" t="s">
        <v>4563</v>
      </c>
      <c r="BJ145" s="39" t="s">
        <v>132</v>
      </c>
    </row>
    <row r="146" spans="1:62" x14ac:dyDescent="0.35">
      <c r="A146" s="39" t="s">
        <v>1321</v>
      </c>
      <c r="B146" s="39" t="str">
        <f>IFERROR(INDEX(added_new_stocks!$F$6:$H$2155,MATCH($A146,added_new_stocks!$F$6:$F$2600,0),3),"")</f>
        <v>Small</v>
      </c>
      <c r="C146" s="39">
        <v>460.35</v>
      </c>
      <c r="D146" s="39">
        <v>47</v>
      </c>
      <c r="G146" s="39" t="s">
        <v>4625</v>
      </c>
      <c r="H146" s="39" t="s">
        <v>7078</v>
      </c>
      <c r="I146" s="39" t="s">
        <v>4624</v>
      </c>
      <c r="J146" s="39" t="s">
        <v>7079</v>
      </c>
      <c r="K146" s="39" t="s">
        <v>4615</v>
      </c>
      <c r="L146" s="39" t="s">
        <v>5008</v>
      </c>
      <c r="M146" s="39" t="s">
        <v>4620</v>
      </c>
      <c r="N146" s="39">
        <v>0</v>
      </c>
      <c r="O146" s="39">
        <v>-7</v>
      </c>
      <c r="P146" s="39">
        <v>-7</v>
      </c>
      <c r="Q146" s="39" t="s">
        <v>4605</v>
      </c>
      <c r="R146" s="39">
        <v>1.84</v>
      </c>
      <c r="S146" s="39">
        <v>4.32</v>
      </c>
      <c r="T146" s="39">
        <v>4.25</v>
      </c>
      <c r="U146" s="39">
        <v>7.66</v>
      </c>
      <c r="V146" s="39">
        <v>33.22</v>
      </c>
      <c r="W146" s="39">
        <v>20.32</v>
      </c>
      <c r="X146" s="39" t="s">
        <v>4538</v>
      </c>
      <c r="Y146" s="39" t="s">
        <v>4538</v>
      </c>
      <c r="Z146" s="39" t="s">
        <v>4538</v>
      </c>
      <c r="AA146" s="39" t="s">
        <v>4538</v>
      </c>
      <c r="AB146" s="39" t="s">
        <v>4538</v>
      </c>
      <c r="AC146" s="39" t="s">
        <v>4538</v>
      </c>
      <c r="AD146" s="39" t="s">
        <v>4606</v>
      </c>
      <c r="AE146" s="39" t="s">
        <v>134</v>
      </c>
      <c r="AF146" s="39">
        <v>9</v>
      </c>
      <c r="AG146" s="42">
        <v>8.8700000000000001E-2</v>
      </c>
      <c r="AH146" s="42">
        <v>9</v>
      </c>
      <c r="AI146" s="42">
        <v>1.8200000000000001E-2</v>
      </c>
      <c r="AJ146" s="42" t="s">
        <v>7080</v>
      </c>
      <c r="AK146" s="42">
        <v>0.14710000000000001</v>
      </c>
      <c r="AL146" s="42" t="s">
        <v>5573</v>
      </c>
      <c r="AM146" s="42">
        <v>5.7500000000000002E-2</v>
      </c>
      <c r="AN146" s="42">
        <v>7.7600000000000002E-2</v>
      </c>
      <c r="AO146" s="41">
        <v>65</v>
      </c>
      <c r="AP146" s="39">
        <v>25</v>
      </c>
      <c r="AQ146" s="39">
        <v>55</v>
      </c>
      <c r="AR146" s="39">
        <v>473</v>
      </c>
      <c r="AS146" s="39">
        <v>8</v>
      </c>
      <c r="AT146" s="39" t="s">
        <v>129</v>
      </c>
      <c r="AU146" s="39">
        <v>3</v>
      </c>
      <c r="AV146" s="39" t="s">
        <v>6367</v>
      </c>
      <c r="AW146" s="39">
        <v>441.13</v>
      </c>
      <c r="AX146" s="39">
        <v>446.47</v>
      </c>
      <c r="AY146" s="39">
        <v>453.03</v>
      </c>
      <c r="AZ146" s="39">
        <v>429.23</v>
      </c>
      <c r="BA146" s="39">
        <v>422.67</v>
      </c>
      <c r="BB146" s="39">
        <v>417.33</v>
      </c>
      <c r="BC146" s="39">
        <v>4</v>
      </c>
      <c r="BD146" s="39">
        <v>2</v>
      </c>
      <c r="BE146" s="39" t="s">
        <v>130</v>
      </c>
      <c r="BF146" s="39">
        <v>0.22</v>
      </c>
      <c r="BG146" s="39">
        <v>5</v>
      </c>
      <c r="BH146" s="39">
        <v>184.5</v>
      </c>
      <c r="BI146" s="39" t="s">
        <v>4563</v>
      </c>
      <c r="BJ146" s="39" t="s">
        <v>4563</v>
      </c>
    </row>
    <row r="147" spans="1:62" x14ac:dyDescent="0.35">
      <c r="A147" s="39" t="s">
        <v>6234</v>
      </c>
      <c r="B147" s="39" t="str">
        <f>IFERROR(INDEX(added_new_stocks!$F$6:$H$2155,MATCH($A147,added_new_stocks!$F$6:$F$2600,0),3),"")</f>
        <v/>
      </c>
      <c r="C147" s="48">
        <v>6873.6</v>
      </c>
      <c r="D147" s="39">
        <v>70</v>
      </c>
      <c r="G147" s="39" t="s">
        <v>129</v>
      </c>
      <c r="H147" s="39" t="s">
        <v>7081</v>
      </c>
      <c r="I147" s="39" t="s">
        <v>4624</v>
      </c>
      <c r="J147" s="39" t="s">
        <v>7082</v>
      </c>
      <c r="K147" s="39" t="s">
        <v>133</v>
      </c>
      <c r="L147" s="39" t="s">
        <v>7083</v>
      </c>
      <c r="M147" s="39" t="s">
        <v>135</v>
      </c>
      <c r="N147" s="39">
        <v>1</v>
      </c>
      <c r="O147" s="39">
        <v>-5</v>
      </c>
      <c r="P147" s="39">
        <v>-4</v>
      </c>
      <c r="Q147" s="39" t="s">
        <v>4611</v>
      </c>
      <c r="R147" s="39">
        <v>1.54</v>
      </c>
      <c r="S147" s="39">
        <v>1.96</v>
      </c>
      <c r="T147" s="39">
        <v>3.62</v>
      </c>
      <c r="U147" s="39">
        <v>7.38</v>
      </c>
      <c r="V147" s="39">
        <v>11.83</v>
      </c>
      <c r="W147" s="39">
        <v>9.6199999999999992</v>
      </c>
      <c r="X147" s="39">
        <v>18.14</v>
      </c>
      <c r="Y147" s="39">
        <v>9.61</v>
      </c>
      <c r="Z147" s="39">
        <v>40.19</v>
      </c>
      <c r="AA147" s="39">
        <v>139.05000000000001</v>
      </c>
      <c r="AB147" s="39">
        <v>99.88</v>
      </c>
      <c r="AC147" s="39">
        <v>306.94</v>
      </c>
      <c r="AD147" s="39" t="s">
        <v>4606</v>
      </c>
      <c r="AE147" s="39" t="s">
        <v>134</v>
      </c>
      <c r="AF147" s="39">
        <v>3</v>
      </c>
      <c r="AG147" s="42">
        <v>0.1716</v>
      </c>
      <c r="AH147" s="42">
        <v>11</v>
      </c>
      <c r="AI147" s="42">
        <v>3.7000000000000002E-3</v>
      </c>
      <c r="AJ147" s="42" t="s">
        <v>7084</v>
      </c>
      <c r="AK147" s="42">
        <v>0.1583</v>
      </c>
      <c r="AL147" s="42" t="s">
        <v>7085</v>
      </c>
      <c r="AM147" s="42">
        <v>9.5200000000000007E-2</v>
      </c>
      <c r="AN147" s="42">
        <v>0.22239999999999999</v>
      </c>
      <c r="AO147" s="41">
        <v>85</v>
      </c>
      <c r="AP147" s="39">
        <v>20</v>
      </c>
      <c r="AQ147" s="39">
        <v>59</v>
      </c>
      <c r="AS147" s="39" t="s">
        <v>4564</v>
      </c>
      <c r="AV147" s="39" t="s">
        <v>6368</v>
      </c>
      <c r="AW147" s="39">
        <v>6835.22</v>
      </c>
      <c r="AX147" s="39">
        <v>6894.93</v>
      </c>
      <c r="AY147" s="39">
        <v>6959.87</v>
      </c>
      <c r="AZ147" s="39">
        <v>6710.57</v>
      </c>
      <c r="BA147" s="39">
        <v>6645.63</v>
      </c>
      <c r="BB147" s="39">
        <v>6585.92</v>
      </c>
      <c r="BC147" s="39">
        <v>5</v>
      </c>
      <c r="BD147" s="39">
        <v>2</v>
      </c>
      <c r="BE147" s="39" t="s">
        <v>130</v>
      </c>
      <c r="BF147" s="39">
        <v>0.84</v>
      </c>
      <c r="BG147" s="39">
        <v>8</v>
      </c>
      <c r="BH147" s="48">
        <v>1433.4</v>
      </c>
      <c r="BI147" s="39" t="s">
        <v>4563</v>
      </c>
      <c r="BJ147" s="39" t="s">
        <v>4651</v>
      </c>
    </row>
    <row r="148" spans="1:62" x14ac:dyDescent="0.35">
      <c r="A148" s="39" t="s">
        <v>205</v>
      </c>
      <c r="B148" s="39" t="str">
        <f>IFERROR(INDEX(added_new_stocks!$F$6:$H$2155,MATCH($A148,added_new_stocks!$F$6:$F$2600,0),3),"")</f>
        <v>Large</v>
      </c>
      <c r="C148" s="48">
        <v>1170.25</v>
      </c>
      <c r="D148" s="48">
        <v>72</v>
      </c>
      <c r="G148" s="39" t="s">
        <v>129</v>
      </c>
      <c r="H148" s="39" t="s">
        <v>7086</v>
      </c>
      <c r="I148" s="39" t="s">
        <v>4989</v>
      </c>
      <c r="J148" s="39" t="s">
        <v>7087</v>
      </c>
      <c r="K148" s="39" t="s">
        <v>4957</v>
      </c>
      <c r="L148" s="39" t="s">
        <v>7088</v>
      </c>
      <c r="M148" s="39" t="s">
        <v>5047</v>
      </c>
      <c r="N148" s="39">
        <v>3</v>
      </c>
      <c r="O148" s="39">
        <v>0</v>
      </c>
      <c r="P148" s="39">
        <v>3</v>
      </c>
      <c r="Q148" s="39" t="s">
        <v>4611</v>
      </c>
      <c r="R148" s="39">
        <v>1.06</v>
      </c>
      <c r="S148" s="39">
        <v>-1.01</v>
      </c>
      <c r="T148" s="39">
        <v>6.07</v>
      </c>
      <c r="U148" s="39">
        <v>3.04</v>
      </c>
      <c r="V148" s="39">
        <v>5.76</v>
      </c>
      <c r="W148" s="39">
        <v>12.63</v>
      </c>
      <c r="X148" s="39">
        <v>24.58</v>
      </c>
      <c r="Y148" s="39">
        <v>0.62</v>
      </c>
      <c r="Z148" s="39">
        <v>65.8</v>
      </c>
      <c r="AA148" s="39">
        <v>112.72</v>
      </c>
      <c r="AB148" s="39">
        <v>130.22</v>
      </c>
      <c r="AC148" s="39">
        <v>350.85</v>
      </c>
      <c r="AD148" s="39" t="s">
        <v>4606</v>
      </c>
      <c r="AE148" s="39" t="s">
        <v>134</v>
      </c>
      <c r="AF148" s="39">
        <v>44</v>
      </c>
      <c r="AG148" s="42">
        <v>7.9799999999999996E-2</v>
      </c>
      <c r="AH148" s="42">
        <v>1135</v>
      </c>
      <c r="AI148" s="42">
        <v>0.1898</v>
      </c>
      <c r="AJ148" s="42" t="s">
        <v>7089</v>
      </c>
      <c r="AK148" s="39" t="s">
        <v>7090</v>
      </c>
      <c r="AL148" s="42" t="s">
        <v>136</v>
      </c>
      <c r="AM148" s="42">
        <v>4.2299999999999997E-2</v>
      </c>
      <c r="AN148" s="42">
        <v>3.5999999999999997E-2</v>
      </c>
      <c r="AO148" s="41">
        <v>70</v>
      </c>
      <c r="AP148" s="39">
        <v>37</v>
      </c>
      <c r="AQ148" s="39">
        <v>66</v>
      </c>
      <c r="AR148" s="45">
        <v>1186</v>
      </c>
      <c r="AS148" s="39">
        <v>3</v>
      </c>
      <c r="AT148" s="39" t="s">
        <v>4562</v>
      </c>
      <c r="AU148" s="39">
        <v>39</v>
      </c>
      <c r="AV148" s="39" t="s">
        <v>6369</v>
      </c>
      <c r="AW148" s="39">
        <v>1166.5</v>
      </c>
      <c r="AX148" s="39">
        <v>1179.05</v>
      </c>
      <c r="AY148" s="39">
        <v>1187.3</v>
      </c>
      <c r="AZ148" s="39">
        <v>1145.7</v>
      </c>
      <c r="BA148" s="39">
        <v>1137.45</v>
      </c>
      <c r="BB148" s="39">
        <v>1124.9000000000001</v>
      </c>
      <c r="BC148" s="39">
        <v>10</v>
      </c>
      <c r="BD148" s="39">
        <v>6</v>
      </c>
      <c r="BE148" s="39">
        <v>4</v>
      </c>
      <c r="BF148" s="39" t="s">
        <v>130</v>
      </c>
      <c r="BG148" s="39">
        <v>549.1</v>
      </c>
      <c r="BH148" s="39">
        <v>0.5</v>
      </c>
      <c r="BI148" s="39" t="s">
        <v>131</v>
      </c>
      <c r="BJ148" s="39" t="s">
        <v>4563</v>
      </c>
    </row>
    <row r="149" spans="1:62" x14ac:dyDescent="0.35">
      <c r="A149" s="39" t="s">
        <v>415</v>
      </c>
      <c r="B149" s="39" t="str">
        <f>IFERROR(INDEX(added_new_stocks!$F$6:$H$2155,MATCH($A149,added_new_stocks!$F$6:$F$2600,0),3),"")</f>
        <v>Large</v>
      </c>
      <c r="C149" s="48">
        <v>2494.35</v>
      </c>
      <c r="D149" s="48">
        <v>71</v>
      </c>
      <c r="G149" s="39" t="s">
        <v>129</v>
      </c>
      <c r="H149" s="39" t="s">
        <v>7091</v>
      </c>
      <c r="I149" s="39" t="s">
        <v>4624</v>
      </c>
      <c r="J149" s="39" t="s">
        <v>7092</v>
      </c>
      <c r="K149" s="39" t="s">
        <v>133</v>
      </c>
      <c r="L149" s="39" t="s">
        <v>4998</v>
      </c>
      <c r="M149" s="39" t="s">
        <v>4959</v>
      </c>
      <c r="N149" s="39">
        <v>15</v>
      </c>
      <c r="O149" s="39">
        <v>0</v>
      </c>
      <c r="P149" s="39">
        <v>15</v>
      </c>
      <c r="Q149" s="39" t="s">
        <v>14</v>
      </c>
      <c r="R149" s="39">
        <v>0.71</v>
      </c>
      <c r="S149" s="39">
        <v>-1.5</v>
      </c>
      <c r="T149" s="39">
        <v>-1.74</v>
      </c>
      <c r="U149" s="39">
        <v>27.8</v>
      </c>
      <c r="V149" s="39">
        <v>39.25</v>
      </c>
      <c r="W149" s="39">
        <v>14.36</v>
      </c>
      <c r="X149" s="39">
        <v>20.2</v>
      </c>
      <c r="Y149" s="39">
        <v>-18.510000000000002</v>
      </c>
      <c r="Z149" s="39">
        <v>-0.32</v>
      </c>
      <c r="AA149" s="39">
        <v>-2.5099999999999998</v>
      </c>
      <c r="AB149" s="39">
        <v>35.979999999999997</v>
      </c>
      <c r="AC149" s="39" t="s">
        <v>4538</v>
      </c>
      <c r="AD149" s="39" t="s">
        <v>4606</v>
      </c>
      <c r="AE149" s="39" t="s">
        <v>134</v>
      </c>
      <c r="AF149" s="39">
        <v>27</v>
      </c>
      <c r="AG149" s="42">
        <v>0.1154</v>
      </c>
      <c r="AH149" s="42">
        <v>245</v>
      </c>
      <c r="AI149" s="42">
        <v>0.12989999999999999</v>
      </c>
      <c r="AJ149" s="42" t="s">
        <v>7093</v>
      </c>
      <c r="AK149" s="42">
        <v>0.52549999999999997</v>
      </c>
      <c r="AL149" s="39" t="s">
        <v>136</v>
      </c>
      <c r="AM149" s="42">
        <v>9.2100000000000001E-2</v>
      </c>
      <c r="AN149" s="42">
        <v>0.1022</v>
      </c>
      <c r="AO149" s="41">
        <v>50</v>
      </c>
      <c r="AP149" s="39">
        <v>19</v>
      </c>
      <c r="AQ149" s="39">
        <v>60</v>
      </c>
      <c r="AR149" s="45">
        <v>2488</v>
      </c>
      <c r="AS149" s="39">
        <v>0</v>
      </c>
      <c r="AT149" s="39" t="s">
        <v>4562</v>
      </c>
      <c r="AU149" s="39">
        <v>20</v>
      </c>
      <c r="AV149" s="39" t="s">
        <v>6370</v>
      </c>
      <c r="AW149" s="39">
        <v>2529.9299999999998</v>
      </c>
      <c r="AX149" s="39">
        <v>2561.27</v>
      </c>
      <c r="AY149" s="39">
        <v>2590.58</v>
      </c>
      <c r="AZ149" s="39">
        <v>2469.2800000000002</v>
      </c>
      <c r="BA149" s="39">
        <v>2439.9699999999998</v>
      </c>
      <c r="BB149" s="39">
        <v>2408.63</v>
      </c>
      <c r="BC149" s="39">
        <v>11</v>
      </c>
      <c r="BD149" s="39">
        <v>4</v>
      </c>
      <c r="BE149" s="39">
        <v>6</v>
      </c>
      <c r="BF149" s="39" t="s">
        <v>130</v>
      </c>
      <c r="BG149" s="39">
        <v>685.6</v>
      </c>
      <c r="BH149" s="39">
        <v>0.3</v>
      </c>
      <c r="BI149" s="39" t="s">
        <v>4651</v>
      </c>
    </row>
    <row r="150" spans="1:62" x14ac:dyDescent="0.35">
      <c r="A150" s="39" t="s">
        <v>188</v>
      </c>
      <c r="B150" s="39" t="str">
        <f>IFERROR(INDEX(added_new_stocks!$F$6:$H$2155,MATCH($A150,added_new_stocks!$F$6:$F$2600,0),3),"")</f>
        <v>Large</v>
      </c>
      <c r="C150" s="48">
        <v>1578.95</v>
      </c>
      <c r="D150" s="48">
        <v>71</v>
      </c>
      <c r="E150" s="39" t="s">
        <v>4987</v>
      </c>
      <c r="F150" s="39" t="s">
        <v>7094</v>
      </c>
      <c r="G150" s="39" t="s">
        <v>129</v>
      </c>
      <c r="H150" s="39" t="s">
        <v>4972</v>
      </c>
      <c r="I150" s="39" t="s">
        <v>4989</v>
      </c>
      <c r="J150" s="39" t="s">
        <v>4990</v>
      </c>
      <c r="K150" s="39" t="s">
        <v>4957</v>
      </c>
      <c r="L150" s="39" t="s">
        <v>4973</v>
      </c>
      <c r="M150" s="39" t="s">
        <v>4959</v>
      </c>
      <c r="N150" s="39">
        <v>17</v>
      </c>
      <c r="O150" s="39">
        <v>-4</v>
      </c>
      <c r="P150" s="39">
        <v>13</v>
      </c>
      <c r="Q150" s="39" t="s">
        <v>14</v>
      </c>
      <c r="R150" s="39">
        <v>-0.71</v>
      </c>
      <c r="S150" s="39">
        <v>-0.47</v>
      </c>
      <c r="T150" s="39">
        <v>-4</v>
      </c>
      <c r="U150" s="39">
        <v>-3.55</v>
      </c>
      <c r="V150" s="39">
        <v>-0.36</v>
      </c>
      <c r="W150" s="39">
        <v>-2.97</v>
      </c>
      <c r="X150" s="39">
        <v>6.24</v>
      </c>
      <c r="Y150" s="39">
        <v>0.7</v>
      </c>
      <c r="Z150" s="39">
        <v>41.61</v>
      </c>
      <c r="AA150" s="39">
        <v>41.68</v>
      </c>
      <c r="AB150" s="39">
        <v>52.77</v>
      </c>
      <c r="AC150" s="39">
        <v>431.81</v>
      </c>
      <c r="AD150" s="39" t="s">
        <v>4974</v>
      </c>
      <c r="AE150" s="39" t="s">
        <v>134</v>
      </c>
      <c r="AF150" s="39">
        <v>564</v>
      </c>
      <c r="AG150" s="42">
        <v>0.1913</v>
      </c>
      <c r="AH150" s="42">
        <v>2841</v>
      </c>
      <c r="AI150" s="42">
        <v>0.5393</v>
      </c>
      <c r="AJ150" s="42"/>
      <c r="AL150" s="42" t="s">
        <v>4975</v>
      </c>
      <c r="AM150" s="42">
        <v>5.3999999999999999E-2</v>
      </c>
      <c r="AN150" s="42">
        <v>0.12809999999999999</v>
      </c>
      <c r="AO150" s="41">
        <v>50</v>
      </c>
      <c r="AP150" s="39">
        <v>31</v>
      </c>
      <c r="AQ150" s="39">
        <v>45</v>
      </c>
      <c r="AR150" s="45">
        <v>2041</v>
      </c>
      <c r="AS150" s="39">
        <v>31</v>
      </c>
      <c r="AT150" s="39" t="s">
        <v>129</v>
      </c>
      <c r="AU150" s="39">
        <v>37</v>
      </c>
      <c r="AV150" s="39" t="s">
        <v>6371</v>
      </c>
      <c r="AW150" s="39">
        <v>1573.2</v>
      </c>
      <c r="AX150" s="39">
        <v>1584.9</v>
      </c>
      <c r="AY150" s="39">
        <v>1592.3</v>
      </c>
      <c r="AZ150" s="39">
        <v>1554.1</v>
      </c>
      <c r="BA150" s="39">
        <v>1546.7</v>
      </c>
      <c r="BB150" s="39">
        <v>1535</v>
      </c>
      <c r="BC150" s="39">
        <v>12</v>
      </c>
      <c r="BD150" s="39">
        <v>4</v>
      </c>
      <c r="BE150" s="39">
        <v>3</v>
      </c>
      <c r="BF150" s="39">
        <v>1</v>
      </c>
      <c r="BG150" s="39">
        <v>867.5</v>
      </c>
      <c r="BH150" s="39">
        <v>0.6</v>
      </c>
      <c r="BI150" s="39" t="s">
        <v>131</v>
      </c>
      <c r="BJ150" s="39" t="s">
        <v>132</v>
      </c>
    </row>
    <row r="151" spans="1:62" x14ac:dyDescent="0.35">
      <c r="A151" s="39" t="s">
        <v>262</v>
      </c>
      <c r="B151" s="39" t="str">
        <f>IFERROR(INDEX(added_new_stocks!$F$6:$H$2155,MATCH($A151,added_new_stocks!$F$6:$F$2600,0),3),"")</f>
        <v>Large</v>
      </c>
      <c r="C151" s="39">
        <v>637.04999999999995</v>
      </c>
      <c r="D151" s="48">
        <v>58</v>
      </c>
      <c r="G151" s="39" t="s">
        <v>4562</v>
      </c>
      <c r="H151" s="39" t="s">
        <v>7095</v>
      </c>
      <c r="I151" s="39" t="s">
        <v>4989</v>
      </c>
      <c r="J151" s="39" t="s">
        <v>7096</v>
      </c>
      <c r="K151" s="39" t="s">
        <v>4615</v>
      </c>
      <c r="L151" s="39" t="s">
        <v>7097</v>
      </c>
      <c r="N151" s="39">
        <v>19</v>
      </c>
      <c r="O151" s="39">
        <v>-1</v>
      </c>
      <c r="P151" s="39">
        <v>18</v>
      </c>
      <c r="Q151" s="39" t="s">
        <v>14</v>
      </c>
      <c r="R151" s="39">
        <v>0.42</v>
      </c>
      <c r="S151" s="39">
        <v>0.67</v>
      </c>
      <c r="T151" s="39">
        <v>-3.35</v>
      </c>
      <c r="U151" s="39">
        <v>8.81</v>
      </c>
      <c r="V151" s="39">
        <v>31.95</v>
      </c>
      <c r="W151" s="39">
        <v>12.46</v>
      </c>
      <c r="X151" s="39">
        <v>10.77</v>
      </c>
      <c r="Y151" s="39">
        <v>-10.55</v>
      </c>
      <c r="Z151" s="39">
        <v>8.08</v>
      </c>
      <c r="AA151" s="39">
        <v>14.36</v>
      </c>
      <c r="AB151" s="39">
        <v>36.49</v>
      </c>
      <c r="AC151" s="39" t="s">
        <v>4538</v>
      </c>
      <c r="AD151" s="39" t="s">
        <v>4606</v>
      </c>
      <c r="AE151" s="39" t="s">
        <v>134</v>
      </c>
      <c r="AF151" s="39">
        <v>31</v>
      </c>
      <c r="AG151" s="42">
        <v>4.0099999999999997E-2</v>
      </c>
      <c r="AH151" s="42">
        <v>813</v>
      </c>
      <c r="AI151" s="42">
        <v>0.30880000000000002</v>
      </c>
      <c r="AJ151" s="42" t="s">
        <v>7093</v>
      </c>
      <c r="AK151" s="42">
        <v>0.48649999999999999</v>
      </c>
      <c r="AL151" s="39" t="s">
        <v>660</v>
      </c>
      <c r="AM151" s="42">
        <v>4.0500000000000001E-2</v>
      </c>
      <c r="AN151" s="42">
        <v>7.1400000000000005E-2</v>
      </c>
      <c r="AO151" s="41">
        <v>40</v>
      </c>
      <c r="AP151" s="39">
        <v>22</v>
      </c>
      <c r="AQ151" s="39">
        <v>48</v>
      </c>
      <c r="AR151" s="39">
        <v>733</v>
      </c>
      <c r="AS151" s="39">
        <v>17</v>
      </c>
      <c r="AT151" s="39" t="s">
        <v>129</v>
      </c>
      <c r="AU151" s="39">
        <v>30</v>
      </c>
      <c r="AV151" s="39" t="s">
        <v>6372</v>
      </c>
      <c r="AW151" s="39">
        <v>634.17999999999995</v>
      </c>
      <c r="AX151" s="39">
        <v>640.07000000000005</v>
      </c>
      <c r="AY151" s="39">
        <v>644.28</v>
      </c>
      <c r="AZ151" s="39">
        <v>624.08000000000004</v>
      </c>
      <c r="BA151" s="39">
        <v>619.87</v>
      </c>
      <c r="BB151" s="39">
        <v>613.98</v>
      </c>
      <c r="BC151" s="39">
        <v>7</v>
      </c>
      <c r="BD151" s="39">
        <v>5</v>
      </c>
      <c r="BE151" s="39">
        <v>2</v>
      </c>
      <c r="BF151" s="39" t="s">
        <v>130</v>
      </c>
      <c r="BG151" s="39">
        <v>94.9</v>
      </c>
      <c r="BH151" s="39">
        <v>0.2</v>
      </c>
    </row>
    <row r="152" spans="1:62" x14ac:dyDescent="0.35">
      <c r="A152" s="39" t="s">
        <v>1238</v>
      </c>
      <c r="B152" s="39" t="str">
        <f>IFERROR(INDEX(added_new_stocks!$F$6:$H$2155,MATCH($A152,added_new_stocks!$F$6:$F$2600,0),3),"")</f>
        <v>Small</v>
      </c>
      <c r="C152" s="39">
        <v>188</v>
      </c>
      <c r="D152" s="39">
        <v>70</v>
      </c>
      <c r="G152" s="39" t="s">
        <v>129</v>
      </c>
      <c r="H152" s="39" t="s">
        <v>7098</v>
      </c>
      <c r="I152" s="39" t="s">
        <v>4624</v>
      </c>
      <c r="J152" s="39" t="s">
        <v>7099</v>
      </c>
      <c r="K152" s="39" t="s">
        <v>133</v>
      </c>
      <c r="L152" s="39" t="s">
        <v>7100</v>
      </c>
      <c r="M152" s="39" t="s">
        <v>135</v>
      </c>
      <c r="N152" s="39">
        <v>10</v>
      </c>
      <c r="O152" s="39">
        <v>-9</v>
      </c>
      <c r="P152" s="39">
        <v>1</v>
      </c>
      <c r="Q152" s="39" t="s">
        <v>4611</v>
      </c>
      <c r="R152" s="39">
        <v>0.94</v>
      </c>
      <c r="S152" s="39">
        <v>0.75</v>
      </c>
      <c r="T152" s="39">
        <v>7.67</v>
      </c>
      <c r="U152" s="39">
        <v>11.77</v>
      </c>
      <c r="V152" s="39">
        <v>9.18</v>
      </c>
      <c r="W152" s="39">
        <v>0.27</v>
      </c>
      <c r="X152" s="39">
        <v>-1.47</v>
      </c>
      <c r="Y152" s="39">
        <v>-28.2</v>
      </c>
      <c r="Z152" s="39">
        <v>-4.18</v>
      </c>
      <c r="AA152" s="39">
        <v>-4.47</v>
      </c>
      <c r="AB152" s="39">
        <v>16.190000000000001</v>
      </c>
      <c r="AC152" s="39">
        <v>546.04999999999995</v>
      </c>
      <c r="AD152" s="39" t="s">
        <v>4606</v>
      </c>
      <c r="AE152" s="39" t="s">
        <v>134</v>
      </c>
      <c r="AF152" s="39">
        <v>20</v>
      </c>
      <c r="AG152" s="42">
        <v>5.21E-2</v>
      </c>
      <c r="AH152" s="42">
        <v>76</v>
      </c>
      <c r="AI152" s="42">
        <v>4.7300000000000002E-2</v>
      </c>
      <c r="AJ152" s="42" t="s">
        <v>7101</v>
      </c>
      <c r="AK152" s="42">
        <v>0.69389999999999996</v>
      </c>
      <c r="AL152" s="42" t="s">
        <v>136</v>
      </c>
      <c r="AM152" s="42">
        <v>3.5700000000000003E-2</v>
      </c>
      <c r="AN152" s="42">
        <v>0.12529999999999999</v>
      </c>
      <c r="AO152" s="41">
        <v>60</v>
      </c>
      <c r="AP152" s="39">
        <v>35</v>
      </c>
      <c r="AQ152" s="39">
        <v>51</v>
      </c>
      <c r="AR152" s="39">
        <v>188</v>
      </c>
      <c r="AS152" s="39">
        <v>1</v>
      </c>
      <c r="AT152" s="39" t="s">
        <v>4625</v>
      </c>
      <c r="AU152" s="39">
        <v>13</v>
      </c>
      <c r="AV152" s="39" t="s">
        <v>6373</v>
      </c>
      <c r="AW152" s="39">
        <v>188.83</v>
      </c>
      <c r="AX152" s="39">
        <v>192.02</v>
      </c>
      <c r="AY152" s="39">
        <v>195.28</v>
      </c>
      <c r="AZ152" s="39">
        <v>182.38</v>
      </c>
      <c r="BA152" s="39">
        <v>179.12</v>
      </c>
      <c r="BB152" s="39">
        <v>175.93</v>
      </c>
      <c r="BC152" s="39">
        <v>5</v>
      </c>
      <c r="BD152" s="39">
        <v>7</v>
      </c>
      <c r="BE152" s="39">
        <v>3</v>
      </c>
      <c r="BF152" s="39" t="s">
        <v>130</v>
      </c>
      <c r="BG152" s="39">
        <v>80</v>
      </c>
      <c r="BH152" s="39">
        <v>0.4</v>
      </c>
      <c r="BI152" s="39" t="s">
        <v>4563</v>
      </c>
      <c r="BJ152" s="39" t="s">
        <v>4563</v>
      </c>
    </row>
    <row r="153" spans="1:62" x14ac:dyDescent="0.35">
      <c r="A153" s="39" t="s">
        <v>1794</v>
      </c>
      <c r="B153" s="39" t="str">
        <f>IFERROR(INDEX(added_new_stocks!$F$6:$H$2155,MATCH($A153,added_new_stocks!$F$6:$F$2600,0),3),"")</f>
        <v>Small</v>
      </c>
      <c r="C153" s="39">
        <v>251.1</v>
      </c>
      <c r="D153" s="39">
        <v>62</v>
      </c>
      <c r="G153" s="39" t="s">
        <v>4562</v>
      </c>
      <c r="H153" s="39" t="s">
        <v>7102</v>
      </c>
      <c r="I153" s="39" t="s">
        <v>4624</v>
      </c>
      <c r="J153" s="39" t="s">
        <v>7103</v>
      </c>
      <c r="K153" s="39" t="s">
        <v>4615</v>
      </c>
      <c r="L153" s="39" t="s">
        <v>7104</v>
      </c>
      <c r="M153" s="39" t="s">
        <v>135</v>
      </c>
      <c r="N153" s="39">
        <v>12</v>
      </c>
      <c r="O153" s="39">
        <v>-7</v>
      </c>
      <c r="P153" s="39">
        <v>5</v>
      </c>
      <c r="Q153" s="39" t="s">
        <v>4611</v>
      </c>
      <c r="R153" s="39">
        <v>-0.04</v>
      </c>
      <c r="S153" s="39">
        <v>-0.36</v>
      </c>
      <c r="T153" s="39">
        <v>-5.19</v>
      </c>
      <c r="U153" s="39">
        <v>17.86</v>
      </c>
      <c r="V153" s="39">
        <v>74.680000000000007</v>
      </c>
      <c r="W153" s="39">
        <v>37.979999999999997</v>
      </c>
      <c r="X153" s="39">
        <v>52.16</v>
      </c>
      <c r="Y153" s="39">
        <v>5.44</v>
      </c>
      <c r="Z153" s="39">
        <v>44.34</v>
      </c>
      <c r="AA153" s="39">
        <v>42.8</v>
      </c>
      <c r="AB153" s="39">
        <v>-21.55</v>
      </c>
      <c r="AC153" s="39">
        <v>377.92</v>
      </c>
      <c r="AD153" s="39" t="s">
        <v>4606</v>
      </c>
      <c r="AE153" s="39" t="s">
        <v>134</v>
      </c>
      <c r="AF153" s="39">
        <v>6</v>
      </c>
      <c r="AG153" s="42">
        <v>0.15579999999999999</v>
      </c>
      <c r="AH153" s="42">
        <v>41</v>
      </c>
      <c r="AI153" s="42">
        <v>2.0799999999999999E-2</v>
      </c>
      <c r="AJ153" s="42" t="s">
        <v>7105</v>
      </c>
      <c r="AK153" s="42">
        <v>0.2437</v>
      </c>
      <c r="AL153" s="42" t="s">
        <v>7106</v>
      </c>
      <c r="AM153" s="42">
        <v>0.1176</v>
      </c>
      <c r="AN153" s="42">
        <v>0.2185</v>
      </c>
      <c r="AO153" s="41">
        <v>45</v>
      </c>
      <c r="AP153" s="39">
        <v>31</v>
      </c>
      <c r="AQ153" s="39">
        <v>61</v>
      </c>
      <c r="AR153" s="39">
        <v>295</v>
      </c>
      <c r="AS153" s="39">
        <v>18</v>
      </c>
      <c r="AT153" s="39" t="s">
        <v>4633</v>
      </c>
      <c r="AU153" s="39">
        <v>2</v>
      </c>
      <c r="AV153" s="39" t="s">
        <v>6374</v>
      </c>
      <c r="AW153" s="39">
        <v>257.17</v>
      </c>
      <c r="AX153" s="39">
        <v>264.77999999999997</v>
      </c>
      <c r="AY153" s="39">
        <v>274.72000000000003</v>
      </c>
      <c r="AZ153" s="39">
        <v>239.62</v>
      </c>
      <c r="BA153" s="39">
        <v>229.68</v>
      </c>
      <c r="BB153" s="39">
        <v>222.07</v>
      </c>
      <c r="BC153" s="39">
        <v>4</v>
      </c>
      <c r="BD153" s="39">
        <v>10</v>
      </c>
      <c r="BE153" s="39">
        <v>5</v>
      </c>
      <c r="BF153" s="39" t="s">
        <v>130</v>
      </c>
      <c r="BG153" s="39">
        <v>113.1</v>
      </c>
      <c r="BH153" s="39">
        <v>0.5</v>
      </c>
      <c r="BI153" s="39" t="s">
        <v>4563</v>
      </c>
      <c r="BJ153" s="39" t="s">
        <v>4563</v>
      </c>
    </row>
    <row r="154" spans="1:62" x14ac:dyDescent="0.35">
      <c r="A154" s="39" t="s">
        <v>356</v>
      </c>
      <c r="B154" s="39" t="str">
        <f>IFERROR(INDEX(added_new_stocks!$F$6:$H$2155,MATCH($A154,added_new_stocks!$F$6:$F$2600,0),3),"")</f>
        <v>Large</v>
      </c>
      <c r="C154" s="48">
        <v>2952.3</v>
      </c>
      <c r="D154" s="39">
        <v>68</v>
      </c>
      <c r="G154" s="39" t="s">
        <v>4562</v>
      </c>
      <c r="H154" s="39" t="s">
        <v>5271</v>
      </c>
      <c r="I154" s="39" t="s">
        <v>4989</v>
      </c>
      <c r="J154" s="39" t="s">
        <v>5272</v>
      </c>
      <c r="K154" s="39" t="s">
        <v>133</v>
      </c>
      <c r="L154" s="39" t="s">
        <v>5273</v>
      </c>
      <c r="M154" s="39" t="s">
        <v>135</v>
      </c>
      <c r="N154" s="39">
        <v>11</v>
      </c>
      <c r="O154" s="39">
        <v>-1</v>
      </c>
      <c r="P154" s="39">
        <v>10</v>
      </c>
      <c r="Q154" s="39" t="s">
        <v>14</v>
      </c>
      <c r="R154" s="39">
        <v>-1.1499999999999999</v>
      </c>
      <c r="S154" s="39">
        <v>0.05</v>
      </c>
      <c r="T154" s="39">
        <v>-6.93</v>
      </c>
      <c r="U154" s="39">
        <v>6.22</v>
      </c>
      <c r="V154" s="39">
        <v>19.86</v>
      </c>
      <c r="W154" s="39">
        <v>7.86</v>
      </c>
      <c r="X154" s="39">
        <v>3.99</v>
      </c>
      <c r="Y154" s="39">
        <v>8.31</v>
      </c>
      <c r="Z154" s="39">
        <v>-3.5</v>
      </c>
      <c r="AA154" s="39">
        <v>14.79</v>
      </c>
      <c r="AB154" s="39">
        <v>-8.35</v>
      </c>
      <c r="AC154" s="39">
        <v>45.43</v>
      </c>
      <c r="AD154" s="39" t="s">
        <v>4606</v>
      </c>
      <c r="AE154" s="39" t="s">
        <v>134</v>
      </c>
      <c r="AF154" s="39">
        <v>33</v>
      </c>
      <c r="AG154" s="42">
        <v>0.1033</v>
      </c>
      <c r="AH154" s="42">
        <v>771</v>
      </c>
      <c r="AI154" s="42">
        <v>0.28100000000000003</v>
      </c>
      <c r="AJ154" s="42" t="s">
        <v>5274</v>
      </c>
      <c r="AK154" s="42">
        <v>0.20030000000000001</v>
      </c>
      <c r="AL154" s="42" t="s">
        <v>136</v>
      </c>
      <c r="AM154" s="42">
        <v>0.11219999999999999</v>
      </c>
      <c r="AN154" s="42">
        <v>7.51E-2</v>
      </c>
      <c r="AO154" s="41">
        <v>75</v>
      </c>
      <c r="AP154" s="39">
        <v>41</v>
      </c>
      <c r="AQ154" s="39">
        <v>50</v>
      </c>
      <c r="AR154" s="45">
        <v>3192</v>
      </c>
      <c r="AS154" s="39">
        <v>10</v>
      </c>
      <c r="AT154" s="39" t="s">
        <v>4562</v>
      </c>
      <c r="AU154" s="39">
        <v>39</v>
      </c>
      <c r="AV154" s="39" t="s">
        <v>6375</v>
      </c>
      <c r="AW154" s="39">
        <v>2940.6</v>
      </c>
      <c r="AX154" s="39">
        <v>2970.3</v>
      </c>
      <c r="AY154" s="39">
        <v>2995.6</v>
      </c>
      <c r="AZ154" s="39">
        <v>2885.6</v>
      </c>
      <c r="BA154" s="39">
        <v>2860.3</v>
      </c>
      <c r="BB154" s="39">
        <v>2830.6</v>
      </c>
      <c r="BC154" s="39">
        <v>7</v>
      </c>
      <c r="BD154" s="39">
        <v>2</v>
      </c>
      <c r="BE154" s="39">
        <v>3</v>
      </c>
      <c r="BF154" s="39">
        <v>1</v>
      </c>
      <c r="BG154" s="48">
        <v>1664.1</v>
      </c>
      <c r="BH154" s="39">
        <v>0.6</v>
      </c>
      <c r="BI154" s="39" t="s">
        <v>4639</v>
      </c>
      <c r="BJ154" s="39" t="s">
        <v>4651</v>
      </c>
    </row>
    <row r="155" spans="1:62" x14ac:dyDescent="0.35">
      <c r="A155" s="39" t="s">
        <v>1058</v>
      </c>
      <c r="B155" s="39" t="str">
        <f>IFERROR(INDEX(added_new_stocks!$F$6:$H$2155,MATCH($A155,added_new_stocks!$F$6:$F$2600,0),3),"")</f>
        <v>Mid</v>
      </c>
      <c r="C155" s="39">
        <v>938.4</v>
      </c>
      <c r="D155" s="48">
        <v>72</v>
      </c>
      <c r="G155" s="39" t="s">
        <v>129</v>
      </c>
      <c r="H155" s="39" t="s">
        <v>7107</v>
      </c>
      <c r="I155" s="39" t="s">
        <v>4624</v>
      </c>
      <c r="J155" s="39" t="s">
        <v>7108</v>
      </c>
      <c r="K155" s="39" t="s">
        <v>133</v>
      </c>
      <c r="L155" s="39" t="s">
        <v>4998</v>
      </c>
      <c r="M155" s="39" t="s">
        <v>5047</v>
      </c>
      <c r="N155" s="39">
        <v>15</v>
      </c>
      <c r="O155" s="39">
        <v>-11</v>
      </c>
      <c r="P155" s="39">
        <v>4</v>
      </c>
      <c r="Q155" s="39" t="s">
        <v>4611</v>
      </c>
      <c r="R155" s="39">
        <v>0.87</v>
      </c>
      <c r="S155" s="39">
        <v>0.67</v>
      </c>
      <c r="T155" s="39">
        <v>0.28000000000000003</v>
      </c>
      <c r="U155" s="39">
        <v>4.5599999999999996</v>
      </c>
      <c r="V155" s="39">
        <v>30.41</v>
      </c>
      <c r="W155" s="39">
        <v>51.67</v>
      </c>
      <c r="X155" s="39">
        <v>56.14</v>
      </c>
      <c r="Y155" s="39">
        <v>68.760000000000005</v>
      </c>
      <c r="Z155" s="39">
        <v>339.02</v>
      </c>
      <c r="AA155" s="39">
        <v>375.02</v>
      </c>
      <c r="AB155" s="39">
        <v>299.32</v>
      </c>
      <c r="AC155" s="39" t="s">
        <v>4538</v>
      </c>
      <c r="AD155" s="39" t="s">
        <v>4606</v>
      </c>
      <c r="AE155" s="39" t="s">
        <v>134</v>
      </c>
      <c r="AF155" s="39">
        <v>9</v>
      </c>
      <c r="AG155" s="42">
        <v>0.11260000000000001</v>
      </c>
      <c r="AH155" s="42">
        <v>59</v>
      </c>
      <c r="AI155" s="42">
        <v>1.5900000000000001E-2</v>
      </c>
      <c r="AJ155" s="42" t="s">
        <v>7109</v>
      </c>
      <c r="AK155" s="39" t="s">
        <v>7110</v>
      </c>
      <c r="AL155" s="42" t="s">
        <v>7111</v>
      </c>
      <c r="AM155" s="42">
        <v>4.6199999999999998E-2</v>
      </c>
      <c r="AN155" s="42">
        <v>8.6999999999999994E-2</v>
      </c>
      <c r="AO155" s="41">
        <v>60</v>
      </c>
      <c r="AP155" s="39">
        <v>48</v>
      </c>
      <c r="AQ155" s="39">
        <v>61</v>
      </c>
      <c r="AR155" s="45">
        <v>1117</v>
      </c>
      <c r="AS155" s="39">
        <v>22</v>
      </c>
      <c r="AT155" s="39" t="s">
        <v>129</v>
      </c>
      <c r="AU155" s="39">
        <v>14</v>
      </c>
      <c r="AV155" s="39" t="s">
        <v>6376</v>
      </c>
      <c r="AW155" s="39">
        <v>921.22</v>
      </c>
      <c r="AX155" s="39">
        <v>929.33</v>
      </c>
      <c r="AY155" s="39">
        <v>934.67</v>
      </c>
      <c r="AZ155" s="39">
        <v>907.77</v>
      </c>
      <c r="BA155" s="39">
        <v>902.43</v>
      </c>
      <c r="BB155" s="39">
        <v>894.32</v>
      </c>
      <c r="BC155" s="39">
        <v>11</v>
      </c>
      <c r="BD155" s="39">
        <v>4</v>
      </c>
      <c r="BE155" s="39">
        <v>4</v>
      </c>
      <c r="BF155" s="39" t="s">
        <v>130</v>
      </c>
      <c r="BG155" s="39">
        <v>737.4</v>
      </c>
      <c r="BH155" s="39">
        <v>0.8</v>
      </c>
      <c r="BI155" s="39" t="s">
        <v>131</v>
      </c>
      <c r="BJ155" s="39" t="s">
        <v>4565</v>
      </c>
    </row>
    <row r="156" spans="1:62" x14ac:dyDescent="0.35">
      <c r="A156" s="39" t="s">
        <v>278</v>
      </c>
      <c r="B156" s="39" t="str">
        <f>IFERROR(INDEX(added_new_stocks!$F$6:$H$2155,MATCH($A156,added_new_stocks!$F$6:$F$2600,0),3),"")</f>
        <v>Large</v>
      </c>
      <c r="C156" s="39">
        <v>456.65</v>
      </c>
      <c r="D156" s="39">
        <v>65</v>
      </c>
      <c r="G156" s="39" t="s">
        <v>4562</v>
      </c>
      <c r="H156" s="39" t="s">
        <v>7112</v>
      </c>
      <c r="I156" s="39" t="s">
        <v>4624</v>
      </c>
      <c r="J156" s="39" t="s">
        <v>7113</v>
      </c>
      <c r="K156" s="39" t="s">
        <v>4615</v>
      </c>
      <c r="L156" s="39" t="s">
        <v>7114</v>
      </c>
      <c r="M156" s="39" t="s">
        <v>5047</v>
      </c>
      <c r="N156" s="39">
        <v>8</v>
      </c>
      <c r="O156" s="39">
        <v>-9</v>
      </c>
      <c r="P156" s="39">
        <v>-1</v>
      </c>
      <c r="Q156" s="39" t="s">
        <v>4611</v>
      </c>
      <c r="R156" s="39">
        <v>0.12</v>
      </c>
      <c r="S156" s="39">
        <v>-0.97</v>
      </c>
      <c r="T156" s="39">
        <v>1.17</v>
      </c>
      <c r="U156" s="39">
        <v>10.53</v>
      </c>
      <c r="V156" s="39">
        <v>11.15</v>
      </c>
      <c r="W156" s="39">
        <v>-3.51</v>
      </c>
      <c r="X156" s="39">
        <v>4.03</v>
      </c>
      <c r="Y156" s="39">
        <v>1.94</v>
      </c>
      <c r="Z156" s="39">
        <v>135.75</v>
      </c>
      <c r="AA156" s="39">
        <v>147.51</v>
      </c>
      <c r="AB156" s="39">
        <v>90.11</v>
      </c>
      <c r="AC156" s="39">
        <v>335.32</v>
      </c>
      <c r="AD156" s="39" t="s">
        <v>4606</v>
      </c>
      <c r="AE156" s="39" t="s">
        <v>134</v>
      </c>
      <c r="AF156" s="39">
        <v>267</v>
      </c>
      <c r="AG156" s="42">
        <v>0.1113</v>
      </c>
      <c r="AH156" s="42">
        <v>872</v>
      </c>
      <c r="AI156" s="42">
        <v>0.26250000000000001</v>
      </c>
      <c r="AJ156" s="42" t="s">
        <v>7115</v>
      </c>
      <c r="AK156" s="42">
        <v>0.15579999999999999</v>
      </c>
      <c r="AL156" s="39" t="s">
        <v>7116</v>
      </c>
      <c r="AM156" s="42">
        <v>9.6500000000000002E-2</v>
      </c>
      <c r="AN156" s="42">
        <v>4.8899999999999999E-2</v>
      </c>
      <c r="AO156" s="41">
        <v>60</v>
      </c>
      <c r="AP156" s="39">
        <v>66</v>
      </c>
      <c r="AQ156" s="39">
        <v>54</v>
      </c>
      <c r="AR156" s="39">
        <v>529</v>
      </c>
      <c r="AS156" s="39">
        <v>18</v>
      </c>
      <c r="AT156" s="39" t="s">
        <v>129</v>
      </c>
      <c r="AU156" s="39">
        <v>20</v>
      </c>
      <c r="AV156" s="39" t="s">
        <v>6377</v>
      </c>
      <c r="AW156" s="39">
        <v>453.23</v>
      </c>
      <c r="AX156" s="39">
        <v>456.47</v>
      </c>
      <c r="AY156" s="39">
        <v>458.63</v>
      </c>
      <c r="AZ156" s="39">
        <v>447.83</v>
      </c>
      <c r="BA156" s="39">
        <v>445.67</v>
      </c>
      <c r="BB156" s="39">
        <v>442.43</v>
      </c>
      <c r="BC156" s="39">
        <v>7</v>
      </c>
      <c r="BD156" s="39">
        <v>3</v>
      </c>
      <c r="BE156" s="39">
        <v>3</v>
      </c>
      <c r="BF156" s="39" t="s">
        <v>130</v>
      </c>
      <c r="BG156" s="39">
        <v>600.5</v>
      </c>
      <c r="BH156" s="39">
        <v>1.3</v>
      </c>
      <c r="BI156" s="39" t="s">
        <v>4651</v>
      </c>
      <c r="BJ156" s="39" t="s">
        <v>4565</v>
      </c>
    </row>
    <row r="157" spans="1:62" x14ac:dyDescent="0.35">
      <c r="A157" s="39" t="s">
        <v>1695</v>
      </c>
      <c r="B157" s="39" t="str">
        <f>IFERROR(INDEX(added_new_stocks!$F$6:$H$2155,MATCH($A157,added_new_stocks!$F$6:$F$2600,0),3),"")</f>
        <v>Small</v>
      </c>
      <c r="C157" s="39">
        <v>167.45</v>
      </c>
      <c r="D157" s="39">
        <v>64</v>
      </c>
      <c r="G157" s="39" t="s">
        <v>4562</v>
      </c>
      <c r="H157" s="39" t="s">
        <v>7117</v>
      </c>
      <c r="I157" s="39" t="s">
        <v>4989</v>
      </c>
      <c r="J157" s="39" t="s">
        <v>7118</v>
      </c>
      <c r="K157" s="39" t="s">
        <v>4615</v>
      </c>
      <c r="L157" s="39" t="s">
        <v>7119</v>
      </c>
      <c r="M157" s="39" t="s">
        <v>4620</v>
      </c>
      <c r="N157" s="39">
        <v>29</v>
      </c>
      <c r="O157" s="39">
        <v>-5</v>
      </c>
      <c r="P157" s="39">
        <v>24</v>
      </c>
      <c r="Q157" s="39" t="s">
        <v>5060</v>
      </c>
      <c r="R157" s="39">
        <v>-1.27</v>
      </c>
      <c r="S157" s="39">
        <v>1.86</v>
      </c>
      <c r="T157" s="39">
        <v>-25.48</v>
      </c>
      <c r="U157" s="39">
        <v>-6.24</v>
      </c>
      <c r="V157" s="39">
        <v>22.45</v>
      </c>
      <c r="W157" s="39">
        <v>21.87</v>
      </c>
      <c r="X157" s="39">
        <v>2.4500000000000002</v>
      </c>
      <c r="Y157" s="39">
        <v>0.18</v>
      </c>
      <c r="Z157" s="39">
        <v>104.83</v>
      </c>
      <c r="AA157" s="39">
        <v>74.52</v>
      </c>
      <c r="AB157" s="39">
        <v>8.91</v>
      </c>
      <c r="AC157" s="39">
        <v>469.56</v>
      </c>
      <c r="AD157" s="39" t="s">
        <v>5015</v>
      </c>
      <c r="AE157" s="39" t="s">
        <v>134</v>
      </c>
      <c r="AF157" s="39">
        <v>3</v>
      </c>
      <c r="AG157" s="42">
        <v>1.37E-2</v>
      </c>
      <c r="AH157" s="42">
        <v>22</v>
      </c>
      <c r="AI157" s="42">
        <v>7.1999999999999998E-3</v>
      </c>
      <c r="AJ157" s="42"/>
      <c r="AL157" s="42" t="s">
        <v>7120</v>
      </c>
      <c r="AM157" s="39" t="s">
        <v>7121</v>
      </c>
      <c r="AN157" s="42">
        <v>0.37819999999999998</v>
      </c>
      <c r="AO157" s="41">
        <v>65</v>
      </c>
      <c r="AP157" s="39">
        <v>63</v>
      </c>
      <c r="AQ157" s="39">
        <v>45</v>
      </c>
      <c r="AS157" s="39" t="s">
        <v>4564</v>
      </c>
      <c r="AW157" s="39">
        <v>162.05000000000001</v>
      </c>
      <c r="AX157" s="39">
        <v>167.35</v>
      </c>
      <c r="AY157" s="39">
        <v>170.5</v>
      </c>
      <c r="AZ157" s="39">
        <v>153.6</v>
      </c>
      <c r="BA157" s="39">
        <v>150.44999999999999</v>
      </c>
      <c r="BB157" s="39">
        <v>145.15</v>
      </c>
      <c r="BC157" s="39">
        <v>8</v>
      </c>
      <c r="BD157" s="39">
        <v>4</v>
      </c>
      <c r="BE157" s="39">
        <v>5</v>
      </c>
      <c r="BF157" s="39">
        <v>1</v>
      </c>
      <c r="BG157" s="39">
        <v>166.6</v>
      </c>
      <c r="BH157" s="39">
        <v>1.1000000000000001</v>
      </c>
      <c r="BJ157" s="39" t="s">
        <v>132</v>
      </c>
    </row>
    <row r="158" spans="1:62" x14ac:dyDescent="0.35">
      <c r="A158" s="39" t="s">
        <v>450</v>
      </c>
      <c r="B158" s="39" t="str">
        <f>IFERROR(INDEX(added_new_stocks!$F$6:$H$2155,MATCH($A158,added_new_stocks!$F$6:$F$2600,0),3),"")</f>
        <v>Large</v>
      </c>
      <c r="C158" s="39">
        <v>257.5</v>
      </c>
      <c r="D158" s="39">
        <v>72</v>
      </c>
      <c r="G158" s="39" t="s">
        <v>129</v>
      </c>
      <c r="H158" s="39" t="s">
        <v>7122</v>
      </c>
      <c r="I158" s="39" t="s">
        <v>4989</v>
      </c>
      <c r="J158" s="39" t="s">
        <v>7123</v>
      </c>
      <c r="K158" s="39" t="s">
        <v>4615</v>
      </c>
      <c r="L158" s="39" t="s">
        <v>7124</v>
      </c>
      <c r="N158" s="39">
        <v>27</v>
      </c>
      <c r="O158" s="39">
        <v>0</v>
      </c>
      <c r="P158" s="39">
        <v>27</v>
      </c>
      <c r="Q158" s="39" t="s">
        <v>5060</v>
      </c>
      <c r="R158" s="39">
        <v>-2.44</v>
      </c>
      <c r="S158" s="39">
        <v>-0.96</v>
      </c>
      <c r="T158" s="39">
        <v>-7.87</v>
      </c>
      <c r="U158" s="39">
        <v>0.25</v>
      </c>
      <c r="V158" s="39">
        <v>18.04</v>
      </c>
      <c r="W158" s="39">
        <v>9.5500000000000007</v>
      </c>
      <c r="X158" s="39">
        <v>5.75</v>
      </c>
      <c r="Y158" s="39">
        <v>-0.81</v>
      </c>
      <c r="Z158" s="39">
        <v>22.85</v>
      </c>
      <c r="AA158" s="39">
        <v>-1</v>
      </c>
      <c r="AB158" s="39">
        <v>1.74</v>
      </c>
      <c r="AC158" s="39">
        <v>591.59</v>
      </c>
      <c r="AD158" s="39" t="s">
        <v>4606</v>
      </c>
      <c r="AE158" s="39" t="s">
        <v>134</v>
      </c>
      <c r="AF158" s="39">
        <v>40</v>
      </c>
      <c r="AG158" s="42">
        <v>0.1346</v>
      </c>
      <c r="AH158" s="42">
        <v>473</v>
      </c>
      <c r="AI158" s="42">
        <v>0.1399</v>
      </c>
      <c r="AJ158" s="42" t="s">
        <v>7125</v>
      </c>
      <c r="AK158" s="42">
        <v>0.54900000000000004</v>
      </c>
      <c r="AL158" s="39" t="s">
        <v>136</v>
      </c>
      <c r="AM158" s="42">
        <v>5.1299999999999998E-2</v>
      </c>
      <c r="AN158" s="42">
        <v>7.1199999999999999E-2</v>
      </c>
      <c r="AO158" s="41">
        <v>55</v>
      </c>
      <c r="AP158" s="39">
        <v>74</v>
      </c>
      <c r="AQ158" s="39">
        <v>50</v>
      </c>
      <c r="AR158" s="39">
        <v>297</v>
      </c>
      <c r="AS158" s="39">
        <v>14</v>
      </c>
      <c r="AT158" s="39" t="s">
        <v>4562</v>
      </c>
      <c r="AU158" s="39">
        <v>31</v>
      </c>
      <c r="AV158" s="39" t="s">
        <v>6378</v>
      </c>
      <c r="AW158" s="39">
        <v>266.10000000000002</v>
      </c>
      <c r="AX158" s="39">
        <v>270.7</v>
      </c>
      <c r="AY158" s="39">
        <v>273.45</v>
      </c>
      <c r="AZ158" s="39">
        <v>258.75</v>
      </c>
      <c r="BA158" s="39">
        <v>256</v>
      </c>
      <c r="BB158" s="39">
        <v>251.4</v>
      </c>
      <c r="BC158" s="39">
        <v>5</v>
      </c>
      <c r="BD158" s="39">
        <v>6</v>
      </c>
      <c r="BE158" s="39">
        <v>5</v>
      </c>
      <c r="BF158" s="39" t="s">
        <v>130</v>
      </c>
      <c r="BG158" s="39">
        <v>548.5</v>
      </c>
      <c r="BH158" s="39">
        <v>2.1</v>
      </c>
      <c r="BI158" s="39" t="s">
        <v>4563</v>
      </c>
      <c r="BJ158" s="39" t="s">
        <v>4639</v>
      </c>
    </row>
    <row r="159" spans="1:62" x14ac:dyDescent="0.35">
      <c r="A159" s="39" t="s">
        <v>191</v>
      </c>
      <c r="B159" s="39" t="str">
        <f>IFERROR(INDEX(added_new_stocks!$F$6:$H$2155,MATCH($A159,added_new_stocks!$F$6:$F$2600,0),3),"")</f>
        <v>Large</v>
      </c>
      <c r="C159" s="48">
        <v>2532.0500000000002</v>
      </c>
      <c r="D159" s="39">
        <v>65</v>
      </c>
      <c r="G159" s="39" t="s">
        <v>4562</v>
      </c>
      <c r="H159" s="39" t="s">
        <v>7126</v>
      </c>
      <c r="I159" s="39" t="s">
        <v>4989</v>
      </c>
      <c r="J159" s="39" t="s">
        <v>7127</v>
      </c>
      <c r="K159" s="39" t="s">
        <v>4957</v>
      </c>
      <c r="L159" s="39" t="s">
        <v>5285</v>
      </c>
      <c r="M159" s="39" t="s">
        <v>4959</v>
      </c>
      <c r="N159" s="39">
        <v>6</v>
      </c>
      <c r="O159" s="39">
        <v>-2</v>
      </c>
      <c r="P159" s="39">
        <v>4</v>
      </c>
      <c r="Q159" s="39" t="s">
        <v>4611</v>
      </c>
      <c r="R159" s="39">
        <v>0.23</v>
      </c>
      <c r="S159" s="39">
        <v>-1.61</v>
      </c>
      <c r="T159" s="39">
        <v>-2.0499999999999998</v>
      </c>
      <c r="U159" s="39">
        <v>-4.68</v>
      </c>
      <c r="V159" s="39">
        <v>3.17</v>
      </c>
      <c r="W159" s="39">
        <v>-1.08</v>
      </c>
      <c r="X159" s="39">
        <v>-4.7699999999999996</v>
      </c>
      <c r="Y159" s="39">
        <v>-5.78</v>
      </c>
      <c r="Z159" s="39">
        <v>17.649999999999999</v>
      </c>
      <c r="AA159" s="39">
        <v>34.68</v>
      </c>
      <c r="AB159" s="39">
        <v>42.94</v>
      </c>
      <c r="AC159" s="39">
        <v>302.83999999999997</v>
      </c>
      <c r="AD159" s="39" t="s">
        <v>4606</v>
      </c>
      <c r="AE159" s="39" t="s">
        <v>134</v>
      </c>
      <c r="AF159" s="39">
        <v>382</v>
      </c>
      <c r="AG159" s="42">
        <v>4.5499999999999999E-2</v>
      </c>
      <c r="AH159" s="42">
        <v>1412</v>
      </c>
      <c r="AI159" s="42">
        <v>0.14480000000000001</v>
      </c>
      <c r="AJ159" s="42" t="s">
        <v>5286</v>
      </c>
      <c r="AK159" s="42">
        <v>0.4743</v>
      </c>
      <c r="AL159" s="42" t="s">
        <v>5287</v>
      </c>
      <c r="AM159" s="42">
        <v>3.6900000000000002E-2</v>
      </c>
      <c r="AN159" s="42">
        <v>0.10680000000000001</v>
      </c>
      <c r="AO159" s="41">
        <v>75</v>
      </c>
      <c r="AP159" s="39">
        <v>13</v>
      </c>
      <c r="AQ159" s="39">
        <v>48</v>
      </c>
      <c r="AR159" s="45">
        <v>2885</v>
      </c>
      <c r="AS159" s="39">
        <v>13</v>
      </c>
      <c r="AT159" s="39" t="s">
        <v>129</v>
      </c>
      <c r="AU159" s="39">
        <v>40</v>
      </c>
      <c r="AV159" s="39" t="s">
        <v>6379</v>
      </c>
      <c r="AW159" s="39">
        <v>2579</v>
      </c>
      <c r="AX159" s="39">
        <v>2594.4499999999998</v>
      </c>
      <c r="AY159" s="39">
        <v>2608.1999999999998</v>
      </c>
      <c r="AZ159" s="39">
        <v>2549.8000000000002</v>
      </c>
      <c r="BA159" s="39">
        <v>2536.0500000000002</v>
      </c>
      <c r="BB159" s="39">
        <v>2520.6</v>
      </c>
      <c r="BC159" s="39">
        <v>10</v>
      </c>
      <c r="BD159" s="39">
        <v>2</v>
      </c>
      <c r="BE159" s="39">
        <v>3</v>
      </c>
      <c r="BF159" s="39">
        <v>2</v>
      </c>
      <c r="BG159" s="39">
        <v>460.3</v>
      </c>
      <c r="BH159" s="39">
        <v>0.2</v>
      </c>
      <c r="BI159" s="39" t="s">
        <v>131</v>
      </c>
      <c r="BJ159" s="39" t="s">
        <v>4563</v>
      </c>
    </row>
    <row r="160" spans="1:62" x14ac:dyDescent="0.35">
      <c r="A160" s="39" t="s">
        <v>1983</v>
      </c>
      <c r="B160" s="39" t="str">
        <f>IFERROR(INDEX(added_new_stocks!$F$6:$H$2155,MATCH($A160,added_new_stocks!$F$6:$F$2600,0),3),"")</f>
        <v>Small</v>
      </c>
      <c r="C160" s="48">
        <v>1164.6500000000001</v>
      </c>
      <c r="D160" s="48">
        <v>58</v>
      </c>
      <c r="G160" s="39" t="s">
        <v>4562</v>
      </c>
      <c r="H160" s="39" t="s">
        <v>7056</v>
      </c>
      <c r="I160" s="39" t="s">
        <v>4624</v>
      </c>
      <c r="J160" s="39" t="s">
        <v>7057</v>
      </c>
      <c r="K160" s="39" t="s">
        <v>4615</v>
      </c>
      <c r="L160" s="39" t="s">
        <v>7058</v>
      </c>
      <c r="M160" s="39" t="s">
        <v>4959</v>
      </c>
      <c r="N160" s="39">
        <v>3</v>
      </c>
      <c r="O160" s="39">
        <v>-2</v>
      </c>
      <c r="P160" s="39">
        <v>1</v>
      </c>
      <c r="Q160" s="39" t="s">
        <v>4611</v>
      </c>
      <c r="R160" s="39">
        <v>2.27</v>
      </c>
      <c r="S160" s="39">
        <v>5.27</v>
      </c>
      <c r="T160" s="39">
        <v>19.28</v>
      </c>
      <c r="U160" s="39">
        <v>74.83</v>
      </c>
      <c r="V160" s="39">
        <v>92.04</v>
      </c>
      <c r="W160" s="39">
        <v>77.34</v>
      </c>
      <c r="X160" s="39">
        <v>40.4</v>
      </c>
      <c r="Y160" s="39">
        <v>16.04</v>
      </c>
      <c r="Z160" s="39">
        <v>346.14</v>
      </c>
      <c r="AA160" s="39">
        <v>400.82</v>
      </c>
      <c r="AB160" s="39">
        <v>461.28</v>
      </c>
      <c r="AC160" s="39">
        <v>1675.38</v>
      </c>
      <c r="AD160" s="39" t="s">
        <v>4606</v>
      </c>
      <c r="AE160" s="39" t="s">
        <v>134</v>
      </c>
      <c r="AF160" s="39">
        <v>8</v>
      </c>
      <c r="AG160" s="42">
        <v>2.1999999999999999E-2</v>
      </c>
      <c r="AH160" s="42">
        <v>8</v>
      </c>
      <c r="AI160" s="42">
        <v>1.1000000000000001E-3</v>
      </c>
      <c r="AJ160" s="42" t="s">
        <v>7059</v>
      </c>
      <c r="AK160" s="42">
        <v>0.38169999999999998</v>
      </c>
      <c r="AL160" s="42" t="s">
        <v>7060</v>
      </c>
      <c r="AM160" s="42">
        <v>4.1700000000000001E-2</v>
      </c>
      <c r="AN160" s="42">
        <v>0.29949999999999999</v>
      </c>
      <c r="AO160" s="41">
        <v>85</v>
      </c>
      <c r="AP160" s="39">
        <v>63</v>
      </c>
      <c r="AQ160" s="39">
        <v>63</v>
      </c>
      <c r="AS160" s="39" t="s">
        <v>4564</v>
      </c>
      <c r="AW160" s="39">
        <v>393.13</v>
      </c>
      <c r="AX160" s="39">
        <v>399.77</v>
      </c>
      <c r="AY160" s="39">
        <v>403.88</v>
      </c>
      <c r="AZ160" s="39">
        <v>382.38</v>
      </c>
      <c r="BA160" s="39">
        <v>378.27</v>
      </c>
      <c r="BB160" s="39">
        <v>371.63</v>
      </c>
      <c r="BC160" s="39">
        <v>1</v>
      </c>
      <c r="BD160" s="39">
        <v>3</v>
      </c>
      <c r="BE160" s="39" t="s">
        <v>130</v>
      </c>
      <c r="BF160" s="39">
        <v>1.62</v>
      </c>
      <c r="BG160" s="39">
        <v>6</v>
      </c>
      <c r="BH160" s="39">
        <v>269.3</v>
      </c>
      <c r="BI160" s="39" t="s">
        <v>4563</v>
      </c>
      <c r="BJ160" s="39" t="s">
        <v>4563</v>
      </c>
    </row>
    <row r="161" spans="1:62" x14ac:dyDescent="0.35">
      <c r="A161" s="39" t="s">
        <v>458</v>
      </c>
      <c r="B161" s="39" t="str">
        <f>IFERROR(INDEX(added_new_stocks!$F$6:$H$2155,MATCH($A161,added_new_stocks!$F$6:$F$2600,0),3),"")</f>
        <v>Large</v>
      </c>
      <c r="C161" s="48">
        <v>40104.1</v>
      </c>
      <c r="D161" s="48">
        <v>64</v>
      </c>
      <c r="G161" s="39" t="s">
        <v>4562</v>
      </c>
      <c r="H161" s="39" t="s">
        <v>7128</v>
      </c>
      <c r="I161" s="39" t="s">
        <v>4989</v>
      </c>
      <c r="J161" s="39" t="s">
        <v>7129</v>
      </c>
      <c r="K161" s="39" t="s">
        <v>133</v>
      </c>
      <c r="L161" s="39" t="s">
        <v>7130</v>
      </c>
      <c r="M161" s="39" t="s">
        <v>4959</v>
      </c>
      <c r="N161" s="39">
        <v>12</v>
      </c>
      <c r="O161" s="39">
        <v>-2</v>
      </c>
      <c r="P161" s="39">
        <v>10</v>
      </c>
      <c r="Q161" s="39" t="s">
        <v>14</v>
      </c>
      <c r="R161" s="39">
        <v>-0.86</v>
      </c>
      <c r="S161" s="39">
        <v>-0.25</v>
      </c>
      <c r="T161" s="39">
        <v>-4.49</v>
      </c>
      <c r="U161" s="39">
        <v>-0.34</v>
      </c>
      <c r="V161" s="39">
        <v>13.61</v>
      </c>
      <c r="W161" s="39">
        <v>-3.77</v>
      </c>
      <c r="X161" s="39">
        <v>-6.59</v>
      </c>
      <c r="Y161" s="39">
        <v>1.1200000000000001</v>
      </c>
      <c r="Z161" s="39">
        <v>18.43</v>
      </c>
      <c r="AA161" s="39">
        <v>61.32</v>
      </c>
      <c r="AB161" s="39">
        <v>83.11</v>
      </c>
      <c r="AC161" s="39">
        <v>1584.94</v>
      </c>
      <c r="AD161" s="39" t="s">
        <v>4606</v>
      </c>
      <c r="AE161" s="39" t="s">
        <v>134</v>
      </c>
      <c r="AF161" s="39">
        <v>26</v>
      </c>
      <c r="AG161" s="42">
        <v>9.2799999999999994E-2</v>
      </c>
      <c r="AH161" s="42">
        <v>116</v>
      </c>
      <c r="AI161" s="42">
        <v>2.9399999999999999E-2</v>
      </c>
      <c r="AJ161" s="42" t="s">
        <v>7131</v>
      </c>
      <c r="AK161" s="43">
        <v>0.75</v>
      </c>
      <c r="AL161" s="42" t="s">
        <v>5072</v>
      </c>
      <c r="AM161" s="42">
        <v>3.49E-2</v>
      </c>
      <c r="AN161" s="42">
        <v>8.0500000000000002E-2</v>
      </c>
      <c r="AO161" s="41">
        <v>85</v>
      </c>
      <c r="AP161" s="39">
        <v>11</v>
      </c>
      <c r="AQ161" s="39">
        <v>47</v>
      </c>
      <c r="AR161" s="45">
        <v>39642</v>
      </c>
      <c r="AS161" s="39">
        <v>-1</v>
      </c>
      <c r="AT161" s="39" t="s">
        <v>4562</v>
      </c>
      <c r="AU161" s="39">
        <v>7</v>
      </c>
      <c r="AV161" s="39" t="s">
        <v>6380</v>
      </c>
      <c r="AW161" s="39">
        <v>40597.050000000003</v>
      </c>
      <c r="AX161" s="39">
        <v>40986.85</v>
      </c>
      <c r="AY161" s="39">
        <v>41235.35</v>
      </c>
      <c r="AZ161" s="39">
        <v>39958.75</v>
      </c>
      <c r="BA161" s="39">
        <v>39710.25</v>
      </c>
      <c r="BB161" s="39">
        <v>39320.449999999997</v>
      </c>
      <c r="BC161" s="39">
        <v>5</v>
      </c>
      <c r="BD161" s="39">
        <v>2</v>
      </c>
      <c r="BE161" s="39">
        <v>1</v>
      </c>
      <c r="BF161" s="39" t="s">
        <v>130</v>
      </c>
      <c r="BG161" s="48">
        <v>6351.9</v>
      </c>
      <c r="BH161" s="39">
        <v>0.2</v>
      </c>
      <c r="BI161" s="39" t="s">
        <v>4651</v>
      </c>
      <c r="BJ161" s="39" t="s">
        <v>132</v>
      </c>
    </row>
    <row r="162" spans="1:62" x14ac:dyDescent="0.35">
      <c r="A162" s="39" t="s">
        <v>1519</v>
      </c>
      <c r="B162" s="39" t="str">
        <f>IFERROR(INDEX(added_new_stocks!$F$6:$H$2155,MATCH($A162,added_new_stocks!$F$6:$F$2600,0),3),"")</f>
        <v>Small</v>
      </c>
      <c r="C162" s="48">
        <v>2642.9</v>
      </c>
      <c r="D162" s="48">
        <v>78</v>
      </c>
      <c r="G162" s="39" t="s">
        <v>129</v>
      </c>
      <c r="H162" s="39" t="s">
        <v>7132</v>
      </c>
      <c r="I162" s="39" t="s">
        <v>4624</v>
      </c>
      <c r="J162" s="39" t="s">
        <v>7133</v>
      </c>
      <c r="K162" s="39" t="s">
        <v>133</v>
      </c>
      <c r="L162" s="39" t="s">
        <v>7134</v>
      </c>
      <c r="M162" s="39" t="s">
        <v>5047</v>
      </c>
      <c r="N162" s="39">
        <v>11</v>
      </c>
      <c r="O162" s="39">
        <v>-1</v>
      </c>
      <c r="P162" s="39">
        <v>10</v>
      </c>
      <c r="Q162" s="39" t="s">
        <v>14</v>
      </c>
      <c r="R162" s="39">
        <v>2.06</v>
      </c>
      <c r="S162" s="39">
        <v>5.42</v>
      </c>
      <c r="T162" s="39">
        <v>21.86</v>
      </c>
      <c r="U162" s="39">
        <v>18.55</v>
      </c>
      <c r="V162" s="39">
        <v>40.65</v>
      </c>
      <c r="W162" s="39">
        <v>18.72</v>
      </c>
      <c r="X162" s="39">
        <v>80.290000000000006</v>
      </c>
      <c r="Y162" s="39">
        <v>114.65</v>
      </c>
      <c r="Z162" s="39">
        <v>150.11000000000001</v>
      </c>
      <c r="AA162" s="39">
        <v>184.69</v>
      </c>
      <c r="AB162" s="39">
        <v>94.45</v>
      </c>
      <c r="AC162" s="39">
        <v>780.82</v>
      </c>
      <c r="AD162" s="39" t="s">
        <v>4606</v>
      </c>
      <c r="AE162" s="39" t="s">
        <v>134</v>
      </c>
      <c r="AF162" s="39">
        <v>3</v>
      </c>
      <c r="AG162" s="42">
        <v>0.1439</v>
      </c>
      <c r="AH162" s="42">
        <v>54</v>
      </c>
      <c r="AI162" s="42">
        <v>1.7299999999999999E-2</v>
      </c>
      <c r="AJ162" s="42" t="s">
        <v>7135</v>
      </c>
      <c r="AK162" s="42">
        <v>0.66669999999999996</v>
      </c>
      <c r="AL162" s="43" t="s">
        <v>5573</v>
      </c>
      <c r="AM162" s="42">
        <v>8.3299999999999999E-2</v>
      </c>
      <c r="AN162" s="42">
        <v>0.1472</v>
      </c>
      <c r="AO162" s="41">
        <v>80</v>
      </c>
      <c r="AP162" s="39">
        <v>42</v>
      </c>
      <c r="AQ162" s="39">
        <v>64</v>
      </c>
      <c r="AS162" s="39" t="s">
        <v>4564</v>
      </c>
      <c r="AW162" s="39">
        <v>2666.78</v>
      </c>
      <c r="AX162" s="39">
        <v>2718.27</v>
      </c>
      <c r="AY162" s="39">
        <v>2786.53</v>
      </c>
      <c r="AZ162" s="39">
        <v>2547.0300000000002</v>
      </c>
      <c r="BA162" s="39">
        <v>2478.77</v>
      </c>
      <c r="BB162" s="39">
        <v>2427.2800000000002</v>
      </c>
      <c r="BC162" s="39">
        <v>2</v>
      </c>
      <c r="BD162" s="39">
        <v>4</v>
      </c>
      <c r="BE162" s="39" t="s">
        <v>130</v>
      </c>
      <c r="BF162" s="39">
        <v>-0.53</v>
      </c>
      <c r="BG162" s="39">
        <v>17</v>
      </c>
      <c r="BH162" s="48">
        <v>1251.0999999999999</v>
      </c>
      <c r="BI162" s="39" t="s">
        <v>4639</v>
      </c>
      <c r="BJ162" s="39" t="s">
        <v>131</v>
      </c>
    </row>
    <row r="163" spans="1:62" x14ac:dyDescent="0.35">
      <c r="A163" s="39" t="s">
        <v>1210</v>
      </c>
      <c r="B163" s="39" t="str">
        <f>IFERROR(INDEX(added_new_stocks!$F$6:$H$2155,MATCH($A163,added_new_stocks!$F$6:$F$2600,0),3),"")</f>
        <v>Small</v>
      </c>
      <c r="C163" s="39">
        <v>224.3</v>
      </c>
      <c r="D163" s="48">
        <v>70</v>
      </c>
      <c r="G163" s="39" t="s">
        <v>129</v>
      </c>
      <c r="H163" s="39" t="s">
        <v>7136</v>
      </c>
      <c r="I163" s="39" t="s">
        <v>4624</v>
      </c>
      <c r="J163" s="39" t="s">
        <v>7137</v>
      </c>
      <c r="K163" s="39" t="s">
        <v>4615</v>
      </c>
      <c r="L163" s="39" t="s">
        <v>7138</v>
      </c>
      <c r="M163" s="39" t="s">
        <v>4959</v>
      </c>
      <c r="N163" s="39">
        <v>31</v>
      </c>
      <c r="O163" s="39">
        <v>-2</v>
      </c>
      <c r="P163" s="39">
        <v>29</v>
      </c>
      <c r="Q163" s="39" t="s">
        <v>5060</v>
      </c>
      <c r="R163" s="39">
        <v>-0.64</v>
      </c>
      <c r="S163" s="39">
        <v>19.440000000000001</v>
      </c>
      <c r="T163" s="39">
        <v>64.56</v>
      </c>
      <c r="U163" s="39">
        <v>78.3</v>
      </c>
      <c r="V163" s="39">
        <v>158.35</v>
      </c>
      <c r="W163" s="39">
        <v>122.74</v>
      </c>
      <c r="X163" s="39">
        <v>126.79</v>
      </c>
      <c r="Y163" s="39">
        <v>374.71</v>
      </c>
      <c r="Z163" s="39">
        <v>302.33</v>
      </c>
      <c r="AA163" s="39">
        <v>188.67</v>
      </c>
      <c r="AB163" s="39">
        <v>76.540000000000006</v>
      </c>
      <c r="AC163" s="39">
        <v>1632.05</v>
      </c>
      <c r="AD163" s="39" t="s">
        <v>5015</v>
      </c>
      <c r="AE163" s="39" t="s">
        <v>134</v>
      </c>
      <c r="AF163" s="39">
        <v>1</v>
      </c>
      <c r="AG163" s="42">
        <v>4.7000000000000002E-3</v>
      </c>
      <c r="AH163" s="42">
        <v>71</v>
      </c>
      <c r="AI163" s="42">
        <v>2.9600000000000001E-2</v>
      </c>
      <c r="AJ163" s="42" t="s">
        <v>7139</v>
      </c>
      <c r="AK163" s="42">
        <v>0.41589999999999999</v>
      </c>
      <c r="AL163" s="42" t="s">
        <v>7140</v>
      </c>
      <c r="AM163" s="42">
        <v>3.5999999999999997E-2</v>
      </c>
      <c r="AN163" s="42">
        <v>0.30030000000000001</v>
      </c>
      <c r="AO163" s="41">
        <v>75</v>
      </c>
      <c r="AP163" s="39">
        <v>37</v>
      </c>
      <c r="AQ163" s="39">
        <v>75</v>
      </c>
      <c r="AS163" s="39" t="s">
        <v>4564</v>
      </c>
      <c r="AW163" s="39">
        <v>193.53</v>
      </c>
      <c r="AX163" s="39">
        <v>196.17</v>
      </c>
      <c r="AY163" s="39">
        <v>200.78</v>
      </c>
      <c r="AZ163" s="39">
        <v>186.28</v>
      </c>
      <c r="BA163" s="39">
        <v>181.67</v>
      </c>
      <c r="BB163" s="39">
        <v>179.03</v>
      </c>
      <c r="BC163" s="39">
        <v>3</v>
      </c>
      <c r="BD163" s="39">
        <v>5</v>
      </c>
      <c r="BE163" s="39" t="s">
        <v>130</v>
      </c>
      <c r="BF163" s="39">
        <v>2.0499999999999998</v>
      </c>
      <c r="BG163" s="39">
        <v>17</v>
      </c>
      <c r="BH163" s="39">
        <v>83.7</v>
      </c>
      <c r="BI163" s="39" t="s">
        <v>4651</v>
      </c>
      <c r="BJ163" s="39" t="s">
        <v>4563</v>
      </c>
    </row>
    <row r="164" spans="1:62" x14ac:dyDescent="0.35">
      <c r="A164" s="39" t="s">
        <v>189</v>
      </c>
      <c r="B164" s="39" t="str">
        <f>IFERROR(INDEX(added_new_stocks!$F$6:$H$2155,MATCH($A164,added_new_stocks!$F$6:$F$2600,0),3),"")</f>
        <v>Large</v>
      </c>
      <c r="C164" s="39">
        <v>958.4</v>
      </c>
      <c r="D164" s="39">
        <v>81</v>
      </c>
      <c r="G164" s="39" t="s">
        <v>4633</v>
      </c>
      <c r="H164" s="39" t="s">
        <v>7141</v>
      </c>
      <c r="I164" s="39" t="s">
        <v>4989</v>
      </c>
      <c r="J164" s="39" t="s">
        <v>7142</v>
      </c>
      <c r="K164" s="39" t="s">
        <v>4957</v>
      </c>
      <c r="L164" s="39" t="s">
        <v>7143</v>
      </c>
      <c r="M164" s="39" t="s">
        <v>135</v>
      </c>
      <c r="N164" s="39">
        <v>25</v>
      </c>
      <c r="O164" s="39">
        <v>-2</v>
      </c>
      <c r="P164" s="39">
        <v>23</v>
      </c>
      <c r="Q164" s="39" t="s">
        <v>5060</v>
      </c>
      <c r="R164" s="39">
        <v>-0.97</v>
      </c>
      <c r="S164" s="39">
        <v>-0.81</v>
      </c>
      <c r="T164" s="39">
        <v>-3.71</v>
      </c>
      <c r="U164" s="39">
        <v>0.86</v>
      </c>
      <c r="V164" s="39">
        <v>12.23</v>
      </c>
      <c r="W164" s="39">
        <v>7.57</v>
      </c>
      <c r="X164" s="39">
        <v>7.98</v>
      </c>
      <c r="Y164" s="39">
        <v>34.31</v>
      </c>
      <c r="Z164" s="39">
        <v>133.9</v>
      </c>
      <c r="AA164" s="39">
        <v>133.53</v>
      </c>
      <c r="AB164" s="39">
        <v>178.28</v>
      </c>
      <c r="AC164" s="39">
        <v>555.38</v>
      </c>
      <c r="AD164" s="39" t="s">
        <v>4974</v>
      </c>
      <c r="AE164" s="39" t="s">
        <v>134</v>
      </c>
      <c r="AF164" s="39">
        <v>83</v>
      </c>
      <c r="AG164" s="42">
        <v>0.29220000000000002</v>
      </c>
      <c r="AH164" s="42">
        <v>1651</v>
      </c>
      <c r="AI164" s="42">
        <v>0.44529999999999997</v>
      </c>
      <c r="AJ164" s="42"/>
      <c r="AL164" s="42" t="s">
        <v>136</v>
      </c>
      <c r="AM164" s="42">
        <v>7.7200000000000005E-2</v>
      </c>
      <c r="AN164" s="42">
        <v>7.7299999999999994E-2</v>
      </c>
      <c r="AO164" s="41">
        <v>45</v>
      </c>
      <c r="AP164" s="39">
        <v>34</v>
      </c>
      <c r="AQ164" s="39">
        <v>50</v>
      </c>
      <c r="AR164" s="45">
        <v>1173</v>
      </c>
      <c r="AS164" s="39">
        <v>21</v>
      </c>
      <c r="AT164" s="39" t="s">
        <v>129</v>
      </c>
      <c r="AU164" s="39">
        <v>36</v>
      </c>
      <c r="AV164" s="39" t="s">
        <v>6381</v>
      </c>
      <c r="AW164" s="39">
        <v>975.27</v>
      </c>
      <c r="AX164" s="39">
        <v>980.13</v>
      </c>
      <c r="AY164" s="39">
        <v>987.67</v>
      </c>
      <c r="AZ164" s="39">
        <v>962.87</v>
      </c>
      <c r="BA164" s="39">
        <v>955.33</v>
      </c>
      <c r="BB164" s="39">
        <v>950.47</v>
      </c>
      <c r="BC164" s="39">
        <v>16</v>
      </c>
      <c r="BD164" s="39">
        <v>3</v>
      </c>
      <c r="BE164" s="39">
        <v>5</v>
      </c>
      <c r="BF164" s="39" t="s">
        <v>130</v>
      </c>
      <c r="BG164" s="39">
        <v>601.70000000000005</v>
      </c>
      <c r="BH164" s="39">
        <v>0.6</v>
      </c>
      <c r="BI164" s="39" t="s">
        <v>4563</v>
      </c>
      <c r="BJ164" s="39" t="s">
        <v>132</v>
      </c>
    </row>
    <row r="165" spans="1:62" x14ac:dyDescent="0.35">
      <c r="A165" s="39" t="s">
        <v>336</v>
      </c>
      <c r="B165" s="39" t="str">
        <f>IFERROR(INDEX(added_new_stocks!$F$6:$H$2155,MATCH($A165,added_new_stocks!$F$6:$F$2600,0),3),"")</f>
        <v>Large</v>
      </c>
      <c r="C165" s="48">
        <v>1319.85</v>
      </c>
      <c r="G165" s="39" t="s">
        <v>5349</v>
      </c>
      <c r="I165" s="39" t="s">
        <v>4989</v>
      </c>
      <c r="J165" s="39" t="s">
        <v>7144</v>
      </c>
      <c r="K165" s="39"/>
      <c r="N165" s="39">
        <v>7</v>
      </c>
      <c r="O165" s="39">
        <v>-1</v>
      </c>
      <c r="P165" s="39">
        <v>6</v>
      </c>
      <c r="Q165" s="39" t="s">
        <v>7145</v>
      </c>
      <c r="R165" s="39">
        <v>-0.12</v>
      </c>
      <c r="S165" s="39">
        <v>0.1</v>
      </c>
      <c r="T165" s="39">
        <v>-3.86</v>
      </c>
      <c r="U165" s="39">
        <v>11.38</v>
      </c>
      <c r="V165" s="39">
        <v>21.36</v>
      </c>
      <c r="W165" s="39">
        <v>6.85</v>
      </c>
      <c r="X165" s="39">
        <v>2.48</v>
      </c>
      <c r="Y165" s="39">
        <v>-16.75</v>
      </c>
      <c r="Z165" s="39">
        <v>2.77</v>
      </c>
      <c r="AA165" s="39">
        <v>4.87</v>
      </c>
      <c r="AB165" s="39">
        <v>66.17</v>
      </c>
      <c r="AC165" s="39" t="s">
        <v>4538</v>
      </c>
      <c r="AD165" s="39" t="s">
        <v>4606</v>
      </c>
      <c r="AE165" s="39" t="s">
        <v>134</v>
      </c>
      <c r="AF165" s="39">
        <v>29</v>
      </c>
      <c r="AG165" s="42">
        <v>0.15210000000000001</v>
      </c>
      <c r="AH165" s="42">
        <v>537</v>
      </c>
      <c r="AI165" s="43">
        <v>0.22</v>
      </c>
      <c r="AJ165" s="42" t="s">
        <v>7146</v>
      </c>
      <c r="AK165" s="42">
        <v>0.48020000000000002</v>
      </c>
      <c r="AL165" s="39" t="s">
        <v>7147</v>
      </c>
      <c r="AM165" s="42">
        <v>4.6899999999999997E-2</v>
      </c>
      <c r="AN165" s="42">
        <v>6.3200000000000006E-2</v>
      </c>
      <c r="AO165" s="41">
        <v>55</v>
      </c>
      <c r="AP165" s="39">
        <v>27</v>
      </c>
      <c r="AQ165" s="39">
        <v>50</v>
      </c>
      <c r="AR165" s="45">
        <v>1428</v>
      </c>
      <c r="AS165" s="39">
        <v>8</v>
      </c>
      <c r="AT165" s="39" t="s">
        <v>129</v>
      </c>
      <c r="AU165" s="39">
        <v>24</v>
      </c>
      <c r="AV165" s="39" t="s">
        <v>6382</v>
      </c>
      <c r="AW165" s="39">
        <v>1342.03</v>
      </c>
      <c r="AX165" s="39">
        <v>1358.27</v>
      </c>
      <c r="AY165" s="39">
        <v>1368.73</v>
      </c>
      <c r="AZ165" s="39">
        <v>1315.33</v>
      </c>
      <c r="BA165" s="39">
        <v>1304.8699999999999</v>
      </c>
      <c r="BB165" s="39">
        <v>1288.6300000000001</v>
      </c>
      <c r="BC165" s="39">
        <v>4</v>
      </c>
      <c r="BD165" s="39">
        <v>2</v>
      </c>
      <c r="BE165" s="39">
        <v>4</v>
      </c>
      <c r="BF165" s="39" t="s">
        <v>130</v>
      </c>
      <c r="BG165" s="39">
        <v>415.2</v>
      </c>
      <c r="BH165" s="39">
        <v>0.3</v>
      </c>
      <c r="BI165" s="39" t="s">
        <v>4639</v>
      </c>
      <c r="BJ165" s="39" t="s">
        <v>4563</v>
      </c>
    </row>
    <row r="166" spans="1:62" x14ac:dyDescent="0.35">
      <c r="A166" s="39" t="s">
        <v>316</v>
      </c>
      <c r="B166" s="39" t="str">
        <f>IFERROR(INDEX(added_new_stocks!$F$6:$H$2155,MATCH($A166,added_new_stocks!$F$6:$F$2600,0),3),"")</f>
        <v>Large</v>
      </c>
      <c r="C166" s="39">
        <v>559.95000000000005</v>
      </c>
      <c r="D166" s="48">
        <v>58</v>
      </c>
      <c r="G166" s="39" t="s">
        <v>4562</v>
      </c>
      <c r="H166" s="39" t="s">
        <v>7148</v>
      </c>
      <c r="I166" s="39" t="s">
        <v>4989</v>
      </c>
      <c r="J166" s="39" t="s">
        <v>7149</v>
      </c>
      <c r="K166" s="39" t="s">
        <v>4615</v>
      </c>
      <c r="L166" s="39" t="s">
        <v>7150</v>
      </c>
      <c r="N166" s="39">
        <v>13</v>
      </c>
      <c r="O166" s="39">
        <v>-8</v>
      </c>
      <c r="P166" s="39">
        <v>5</v>
      </c>
      <c r="Q166" s="39" t="s">
        <v>4611</v>
      </c>
      <c r="R166" s="39">
        <v>0.45</v>
      </c>
      <c r="S166" s="39">
        <v>1.96</v>
      </c>
      <c r="T166" s="39">
        <v>-3.47</v>
      </c>
      <c r="U166" s="39">
        <v>19.8</v>
      </c>
      <c r="V166" s="39">
        <v>40.6</v>
      </c>
      <c r="W166" s="39">
        <v>24.13</v>
      </c>
      <c r="X166" s="39">
        <v>-5.69</v>
      </c>
      <c r="Y166" s="39">
        <v>-15.04</v>
      </c>
      <c r="Z166" s="39">
        <v>24.09</v>
      </c>
      <c r="AA166" s="39">
        <v>31.91</v>
      </c>
      <c r="AB166" s="39">
        <v>48.04</v>
      </c>
      <c r="AC166" s="39" t="s">
        <v>4538</v>
      </c>
      <c r="AD166" s="39" t="s">
        <v>4606</v>
      </c>
      <c r="AE166" s="39" t="s">
        <v>134</v>
      </c>
      <c r="AF166" s="39">
        <v>28</v>
      </c>
      <c r="AG166" s="42">
        <v>4.3900000000000002E-2</v>
      </c>
      <c r="AH166" s="42">
        <v>561</v>
      </c>
      <c r="AI166" s="42">
        <v>0.1542</v>
      </c>
      <c r="AJ166" s="43" t="s">
        <v>7146</v>
      </c>
      <c r="AK166" s="42">
        <v>0.51270000000000004</v>
      </c>
      <c r="AL166" s="42" t="s">
        <v>7151</v>
      </c>
      <c r="AM166" s="43">
        <v>0.02</v>
      </c>
      <c r="AN166" s="42">
        <v>2.41E-2</v>
      </c>
      <c r="AO166" s="41">
        <v>40</v>
      </c>
      <c r="AP166" s="39">
        <v>17</v>
      </c>
      <c r="AQ166" s="39">
        <v>51</v>
      </c>
      <c r="AR166" s="39">
        <v>635</v>
      </c>
      <c r="AS166" s="39">
        <v>16</v>
      </c>
      <c r="AT166" s="39" t="s">
        <v>129</v>
      </c>
      <c r="AU166" s="39">
        <v>29</v>
      </c>
      <c r="AV166" s="39" t="s">
        <v>6383</v>
      </c>
      <c r="AW166" s="39">
        <v>552.33000000000004</v>
      </c>
      <c r="AX166" s="39">
        <v>556.62</v>
      </c>
      <c r="AY166" s="39">
        <v>562.78</v>
      </c>
      <c r="AZ166" s="39">
        <v>541.88</v>
      </c>
      <c r="BA166" s="39">
        <v>535.72</v>
      </c>
      <c r="BB166" s="39">
        <v>531.42999999999995</v>
      </c>
      <c r="BC166" s="39">
        <v>5</v>
      </c>
      <c r="BD166" s="39">
        <v>5</v>
      </c>
      <c r="BE166" s="39">
        <v>4</v>
      </c>
      <c r="BF166" s="39" t="s">
        <v>130</v>
      </c>
      <c r="BG166" s="39">
        <v>97.1</v>
      </c>
      <c r="BH166" s="39">
        <v>0.2</v>
      </c>
      <c r="BI166" s="39" t="s">
        <v>132</v>
      </c>
      <c r="BJ166" s="39" t="s">
        <v>132</v>
      </c>
    </row>
    <row r="167" spans="1:62" x14ac:dyDescent="0.35">
      <c r="A167" s="39" t="s">
        <v>477</v>
      </c>
      <c r="B167" s="39" t="str">
        <f>IFERROR(INDEX(added_new_stocks!$F$6:$H$2155,MATCH($A167,added_new_stocks!$F$6:$F$2600,0),3),"")</f>
        <v>Large</v>
      </c>
      <c r="C167" s="39">
        <v>463.15</v>
      </c>
      <c r="D167" s="39">
        <v>68</v>
      </c>
      <c r="G167" s="39" t="s">
        <v>4562</v>
      </c>
      <c r="H167" s="39" t="s">
        <v>7152</v>
      </c>
      <c r="I167" s="39" t="s">
        <v>4989</v>
      </c>
      <c r="J167" s="39" t="s">
        <v>7153</v>
      </c>
      <c r="K167" s="39" t="s">
        <v>133</v>
      </c>
      <c r="L167" s="39" t="s">
        <v>7154</v>
      </c>
      <c r="M167" s="39" t="s">
        <v>135</v>
      </c>
      <c r="N167" s="39">
        <v>15</v>
      </c>
      <c r="O167" s="39">
        <v>0</v>
      </c>
      <c r="P167" s="39">
        <v>15</v>
      </c>
      <c r="Q167" s="39" t="s">
        <v>14</v>
      </c>
      <c r="R167" s="39">
        <v>0.14000000000000001</v>
      </c>
      <c r="S167" s="39">
        <v>4.03</v>
      </c>
      <c r="T167" s="39">
        <v>0.34</v>
      </c>
      <c r="U167" s="39">
        <v>-3.3</v>
      </c>
      <c r="V167" s="39">
        <v>7.4</v>
      </c>
      <c r="W167" s="39">
        <v>11.99</v>
      </c>
      <c r="X167" s="39">
        <v>10.47</v>
      </c>
      <c r="Y167" s="39">
        <v>-12.92</v>
      </c>
      <c r="Z167" s="39">
        <v>12.7</v>
      </c>
      <c r="AA167" s="39">
        <v>37.799999999999997</v>
      </c>
      <c r="AB167" s="39">
        <v>59.19</v>
      </c>
      <c r="AC167" s="39">
        <v>800.72</v>
      </c>
      <c r="AD167" s="39" t="s">
        <v>4606</v>
      </c>
      <c r="AE167" s="39" t="s">
        <v>134</v>
      </c>
      <c r="AF167" s="39">
        <v>23</v>
      </c>
      <c r="AG167" s="42">
        <v>8.4599999999999995E-2</v>
      </c>
      <c r="AH167" s="42">
        <v>577</v>
      </c>
      <c r="AI167" s="42">
        <v>0.21940000000000001</v>
      </c>
      <c r="AJ167" s="42" t="s">
        <v>7155</v>
      </c>
      <c r="AK167" s="42">
        <v>0.22500000000000001</v>
      </c>
      <c r="AL167" s="42" t="s">
        <v>136</v>
      </c>
      <c r="AM167" s="42">
        <v>7.6600000000000001E-2</v>
      </c>
      <c r="AN167" s="43">
        <v>6.5000000000000002E-2</v>
      </c>
      <c r="AO167" s="41">
        <v>60</v>
      </c>
      <c r="AP167" s="39">
        <v>40</v>
      </c>
      <c r="AQ167" s="39">
        <v>51</v>
      </c>
      <c r="AR167" s="39">
        <v>530</v>
      </c>
      <c r="AS167" s="39">
        <v>20</v>
      </c>
      <c r="AT167" s="39" t="s">
        <v>129</v>
      </c>
      <c r="AU167" s="39">
        <v>31</v>
      </c>
      <c r="AV167" s="39" t="s">
        <v>6384</v>
      </c>
      <c r="AW167" s="39">
        <v>444.67</v>
      </c>
      <c r="AX167" s="39">
        <v>448.53</v>
      </c>
      <c r="AY167" s="39">
        <v>451.37</v>
      </c>
      <c r="AZ167" s="39">
        <v>437.97</v>
      </c>
      <c r="BA167" s="39">
        <v>435.13</v>
      </c>
      <c r="BB167" s="39">
        <v>431.27</v>
      </c>
      <c r="BC167" s="39">
        <v>9</v>
      </c>
      <c r="BD167" s="39">
        <v>1</v>
      </c>
      <c r="BE167" s="39">
        <v>4</v>
      </c>
      <c r="BF167" s="39" t="s">
        <v>130</v>
      </c>
      <c r="BG167" s="39">
        <v>247.4</v>
      </c>
      <c r="BH167" s="39">
        <v>0.6</v>
      </c>
      <c r="BI167" s="39" t="s">
        <v>4563</v>
      </c>
      <c r="BJ167" s="39" t="s">
        <v>4563</v>
      </c>
    </row>
    <row r="168" spans="1:62" x14ac:dyDescent="0.35">
      <c r="A168" s="39" t="s">
        <v>358</v>
      </c>
      <c r="B168" s="39" t="str">
        <f>IFERROR(INDEX(added_new_stocks!$F$6:$H$2155,MATCH($A168,added_new_stocks!$F$6:$F$2600,0),3),"")</f>
        <v>Large</v>
      </c>
      <c r="C168" s="39">
        <v>416.6</v>
      </c>
      <c r="D168" s="39">
        <v>62</v>
      </c>
      <c r="G168" s="39" t="s">
        <v>4562</v>
      </c>
      <c r="H168" s="39" t="s">
        <v>7156</v>
      </c>
      <c r="I168" s="39" t="s">
        <v>4989</v>
      </c>
      <c r="J168" s="39" t="s">
        <v>7157</v>
      </c>
      <c r="K168" s="39" t="s">
        <v>4615</v>
      </c>
      <c r="L168" s="39" t="s">
        <v>7158</v>
      </c>
      <c r="M168" s="39" t="s">
        <v>4959</v>
      </c>
      <c r="N168" s="39">
        <v>25</v>
      </c>
      <c r="O168" s="39">
        <v>-5</v>
      </c>
      <c r="P168" s="39">
        <v>20</v>
      </c>
      <c r="Q168" s="39" t="s">
        <v>5060</v>
      </c>
      <c r="R168" s="39">
        <v>6.01</v>
      </c>
      <c r="S168" s="39">
        <v>3.86</v>
      </c>
      <c r="T168" s="39">
        <v>6.38</v>
      </c>
      <c r="U168" s="39">
        <v>8.2100000000000009</v>
      </c>
      <c r="V168" s="39">
        <v>32.270000000000003</v>
      </c>
      <c r="W168" s="39">
        <v>30.78</v>
      </c>
      <c r="X168" s="39">
        <v>45.97</v>
      </c>
      <c r="Y168" s="39">
        <v>195.88</v>
      </c>
      <c r="Z168" s="39">
        <v>282.89999999999998</v>
      </c>
      <c r="AA168" s="39">
        <v>200.14</v>
      </c>
      <c r="AB168" s="39">
        <v>209.62</v>
      </c>
      <c r="AC168" s="39">
        <v>890.27</v>
      </c>
      <c r="AD168" s="39" t="s">
        <v>4606</v>
      </c>
      <c r="AE168" s="39" t="s">
        <v>134</v>
      </c>
      <c r="AF168" s="39">
        <v>32</v>
      </c>
      <c r="AG168" s="42">
        <v>0.19270000000000001</v>
      </c>
      <c r="AH168" s="42">
        <v>696</v>
      </c>
      <c r="AI168" s="42">
        <v>0.21640000000000001</v>
      </c>
      <c r="AJ168" s="42" t="s">
        <v>5724</v>
      </c>
      <c r="AK168" s="42">
        <v>0.3574</v>
      </c>
      <c r="AL168" s="42" t="s">
        <v>6696</v>
      </c>
      <c r="AM168" s="42">
        <v>4.5999999999999999E-2</v>
      </c>
      <c r="AN168" s="42">
        <v>0.13789999999999999</v>
      </c>
      <c r="AO168" s="41">
        <v>85</v>
      </c>
      <c r="AP168" s="39">
        <v>27</v>
      </c>
      <c r="AQ168" s="39">
        <v>69</v>
      </c>
      <c r="AR168" s="39">
        <v>421</v>
      </c>
      <c r="AS168" s="39">
        <v>8</v>
      </c>
      <c r="AT168" s="39" t="s">
        <v>129</v>
      </c>
      <c r="AU168" s="39">
        <v>20</v>
      </c>
      <c r="AV168" s="39" t="s">
        <v>6385</v>
      </c>
      <c r="AW168" s="39">
        <v>398.47</v>
      </c>
      <c r="AX168" s="39">
        <v>404.93</v>
      </c>
      <c r="AY168" s="39">
        <v>408.82</v>
      </c>
      <c r="AZ168" s="39">
        <v>388.12</v>
      </c>
      <c r="BA168" s="39">
        <v>384.23</v>
      </c>
      <c r="BB168" s="39">
        <v>377.77</v>
      </c>
      <c r="BC168" s="39">
        <v>16</v>
      </c>
      <c r="BD168" s="39">
        <v>5</v>
      </c>
      <c r="BE168" s="39">
        <v>4</v>
      </c>
      <c r="BF168" s="39" t="s">
        <v>130</v>
      </c>
      <c r="BG168" s="39">
        <v>100.8</v>
      </c>
      <c r="BH168" s="39">
        <v>0.3</v>
      </c>
      <c r="BI168" s="39" t="s">
        <v>4563</v>
      </c>
      <c r="BJ168" s="39" t="s">
        <v>132</v>
      </c>
    </row>
    <row r="169" spans="1:62" x14ac:dyDescent="0.35">
      <c r="A169" s="39" t="s">
        <v>994</v>
      </c>
      <c r="B169" s="39" t="str">
        <f>IFERROR(INDEX(added_new_stocks!$F$6:$H$2155,MATCH($A169,added_new_stocks!$F$6:$F$2600,0),3),"")</f>
        <v>Mid</v>
      </c>
      <c r="C169" s="39">
        <v>238.3</v>
      </c>
      <c r="D169" s="39">
        <v>40</v>
      </c>
      <c r="G169" s="39" t="s">
        <v>4625</v>
      </c>
      <c r="H169" s="39" t="s">
        <v>7159</v>
      </c>
      <c r="I169" s="39" t="s">
        <v>4624</v>
      </c>
      <c r="J169" s="39" t="s">
        <v>7160</v>
      </c>
      <c r="K169" s="39" t="s">
        <v>4603</v>
      </c>
      <c r="L169" s="39" t="s">
        <v>7161</v>
      </c>
      <c r="N169" s="39">
        <v>1</v>
      </c>
      <c r="O169" s="39">
        <v>-6</v>
      </c>
      <c r="P169" s="39">
        <v>-5</v>
      </c>
      <c r="Q169" s="39" t="s">
        <v>4611</v>
      </c>
      <c r="R169" s="39">
        <v>-2.08</v>
      </c>
      <c r="S169" s="39">
        <v>-0.23</v>
      </c>
      <c r="T169" s="39">
        <v>10.99</v>
      </c>
      <c r="U169" s="39">
        <v>19.3</v>
      </c>
      <c r="V169" s="39">
        <v>21.3</v>
      </c>
      <c r="W169" s="39">
        <v>9.09</v>
      </c>
      <c r="X169" s="39">
        <v>4.3099999999999996</v>
      </c>
      <c r="Y169" s="39">
        <v>46.56</v>
      </c>
      <c r="Z169" s="39">
        <v>96.05</v>
      </c>
      <c r="AA169" s="39">
        <v>222.24</v>
      </c>
      <c r="AB169" s="39">
        <v>89.43</v>
      </c>
      <c r="AC169" s="39">
        <v>417.48</v>
      </c>
      <c r="AD169" s="39" t="s">
        <v>5015</v>
      </c>
      <c r="AE169" s="39">
        <v>25.57</v>
      </c>
      <c r="AF169" s="39">
        <v>42</v>
      </c>
      <c r="AG169" s="42">
        <v>5.1499999999999997E-2</v>
      </c>
      <c r="AH169" s="42">
        <v>91</v>
      </c>
      <c r="AI169" s="42">
        <v>0.13639999999999999</v>
      </c>
      <c r="AJ169" s="42" t="s">
        <v>7162</v>
      </c>
      <c r="AK169" s="42">
        <v>0.21560000000000001</v>
      </c>
      <c r="AL169" s="42" t="s">
        <v>7163</v>
      </c>
      <c r="AM169" s="42">
        <v>0.1134</v>
      </c>
      <c r="AN169" s="42">
        <v>0.37409999999999999</v>
      </c>
      <c r="AO169" s="41">
        <v>40</v>
      </c>
      <c r="AP169" s="39">
        <v>30</v>
      </c>
      <c r="AQ169" s="39">
        <v>58</v>
      </c>
      <c r="AR169" s="39">
        <v>160</v>
      </c>
      <c r="AS169" s="39">
        <v>-31</v>
      </c>
      <c r="AT169" s="39" t="s">
        <v>4963</v>
      </c>
      <c r="AU169" s="39">
        <v>7</v>
      </c>
      <c r="AV169" s="39" t="s">
        <v>6386</v>
      </c>
      <c r="AW169" s="39">
        <v>234.3</v>
      </c>
      <c r="AX169" s="39">
        <v>238.05</v>
      </c>
      <c r="AY169" s="39">
        <v>241.1</v>
      </c>
      <c r="AZ169" s="39">
        <v>227.5</v>
      </c>
      <c r="BA169" s="39">
        <v>224.45</v>
      </c>
      <c r="BB169" s="39">
        <v>220.7</v>
      </c>
      <c r="BC169" s="39">
        <v>3</v>
      </c>
      <c r="BD169" s="39" t="s">
        <v>130</v>
      </c>
      <c r="BE169" s="39">
        <v>0.8</v>
      </c>
      <c r="BF169" s="39">
        <v>1.1200000000000001</v>
      </c>
      <c r="BG169" s="39">
        <v>11</v>
      </c>
      <c r="BH169" s="39">
        <v>3</v>
      </c>
      <c r="BI169" s="39" t="s">
        <v>131</v>
      </c>
      <c r="BJ169" s="39" t="s">
        <v>4563</v>
      </c>
    </row>
    <row r="170" spans="1:62" x14ac:dyDescent="0.35">
      <c r="A170" s="39" t="s">
        <v>296</v>
      </c>
      <c r="B170" s="39" t="str">
        <f>IFERROR(INDEX(added_new_stocks!$F$6:$H$2155,MATCH($A170,added_new_stocks!$F$6:$F$2600,0),3),"")</f>
        <v>Large</v>
      </c>
      <c r="C170" s="48">
        <v>2451.15</v>
      </c>
      <c r="D170" s="39">
        <v>50</v>
      </c>
      <c r="G170" s="39" t="s">
        <v>4562</v>
      </c>
      <c r="H170" s="39" t="s">
        <v>5855</v>
      </c>
      <c r="I170" s="39" t="s">
        <v>4989</v>
      </c>
      <c r="J170" s="39" t="s">
        <v>5856</v>
      </c>
      <c r="K170" s="39"/>
      <c r="N170" s="39">
        <v>43</v>
      </c>
      <c r="O170" s="39">
        <v>-4</v>
      </c>
      <c r="P170" s="39">
        <v>39</v>
      </c>
      <c r="Q170" s="39" t="s">
        <v>5857</v>
      </c>
      <c r="R170" s="39">
        <v>-1.43</v>
      </c>
      <c r="S170" s="39">
        <v>-1.87</v>
      </c>
      <c r="T170" s="39">
        <v>-6.27</v>
      </c>
      <c r="U170" s="39">
        <v>3.39</v>
      </c>
      <c r="V170" s="39">
        <v>32.22</v>
      </c>
      <c r="W170" s="39">
        <v>22.13</v>
      </c>
      <c r="X170" s="39">
        <v>21.52</v>
      </c>
      <c r="Y170" s="39">
        <v>34.770000000000003</v>
      </c>
      <c r="Z170" s="39">
        <v>107.06</v>
      </c>
      <c r="AA170" s="39">
        <v>45.04</v>
      </c>
      <c r="AB170" s="39">
        <v>160.44</v>
      </c>
      <c r="AC170" s="39" t="s">
        <v>4538</v>
      </c>
      <c r="AD170" s="39" t="s">
        <v>4606</v>
      </c>
      <c r="AE170" s="39" t="s">
        <v>134</v>
      </c>
      <c r="AF170" s="39">
        <v>25</v>
      </c>
      <c r="AG170" s="42">
        <v>8.7599999999999997E-2</v>
      </c>
      <c r="AH170" s="42">
        <v>581</v>
      </c>
      <c r="AI170" s="42">
        <v>0.1976</v>
      </c>
      <c r="AJ170" s="42" t="s">
        <v>5858</v>
      </c>
      <c r="AK170" s="42">
        <v>0.37790000000000001</v>
      </c>
      <c r="AL170" s="42" t="s">
        <v>5859</v>
      </c>
      <c r="AM170" s="42">
        <v>3.3700000000000001E-2</v>
      </c>
      <c r="AN170" s="42">
        <v>1.2200000000000001E-2</v>
      </c>
      <c r="AO170" s="41">
        <v>60</v>
      </c>
      <c r="AP170" s="39">
        <v>40</v>
      </c>
      <c r="AQ170" s="39">
        <v>52</v>
      </c>
      <c r="AR170" s="45">
        <v>3003</v>
      </c>
      <c r="AS170" s="39">
        <v>22</v>
      </c>
      <c r="AT170" s="39" t="s">
        <v>129</v>
      </c>
      <c r="AU170" s="39">
        <v>22</v>
      </c>
      <c r="AV170" s="39" t="s">
        <v>6387</v>
      </c>
      <c r="AW170" s="39">
        <v>2483.38</v>
      </c>
      <c r="AX170" s="39">
        <v>2508.62</v>
      </c>
      <c r="AY170" s="39">
        <v>2524.83</v>
      </c>
      <c r="AZ170" s="39">
        <v>2441.9299999999998</v>
      </c>
      <c r="BA170" s="39">
        <v>2425.7199999999998</v>
      </c>
      <c r="BB170" s="39">
        <v>2400.48</v>
      </c>
      <c r="BC170" s="39">
        <v>5</v>
      </c>
      <c r="BD170" s="39">
        <v>2</v>
      </c>
      <c r="BE170" s="39">
        <v>0.5</v>
      </c>
      <c r="BF170" s="39">
        <v>1.1000000000000001</v>
      </c>
      <c r="BG170" s="39">
        <v>2</v>
      </c>
      <c r="BH170" s="39">
        <v>9</v>
      </c>
      <c r="BJ170" s="39" t="s">
        <v>4651</v>
      </c>
    </row>
    <row r="171" spans="1:62" x14ac:dyDescent="0.35">
      <c r="A171" s="39" t="s">
        <v>1097</v>
      </c>
      <c r="B171" s="39" t="str">
        <f>IFERROR(INDEX(added_new_stocks!$F$6:$H$2155,MATCH($A171,added_new_stocks!$F$6:$F$2600,0),3),"")</f>
        <v>Small</v>
      </c>
      <c r="C171" s="48">
        <v>1575.05</v>
      </c>
      <c r="D171" s="48">
        <v>52</v>
      </c>
      <c r="G171" s="39" t="s">
        <v>4562</v>
      </c>
      <c r="H171" s="39" t="s">
        <v>7164</v>
      </c>
      <c r="I171" s="39" t="s">
        <v>4989</v>
      </c>
      <c r="J171" s="39" t="s">
        <v>7165</v>
      </c>
      <c r="K171" s="39" t="s">
        <v>4615</v>
      </c>
      <c r="L171" s="39" t="s">
        <v>5008</v>
      </c>
      <c r="M171" s="39" t="s">
        <v>4620</v>
      </c>
      <c r="N171" s="39">
        <v>5</v>
      </c>
      <c r="O171" s="39">
        <v>-1</v>
      </c>
      <c r="P171" s="39">
        <v>4</v>
      </c>
      <c r="Q171" s="39" t="s">
        <v>4611</v>
      </c>
      <c r="R171" s="39">
        <v>1.44</v>
      </c>
      <c r="S171" s="39">
        <v>2.95</v>
      </c>
      <c r="T171" s="39">
        <v>0.18</v>
      </c>
      <c r="U171" s="39">
        <v>7.46</v>
      </c>
      <c r="V171" s="39">
        <v>58.23</v>
      </c>
      <c r="W171" s="39">
        <v>20.81</v>
      </c>
      <c r="X171" s="39">
        <v>-6.17</v>
      </c>
      <c r="Y171" s="39">
        <v>-38.520000000000003</v>
      </c>
      <c r="Z171" s="39" t="s">
        <v>4538</v>
      </c>
      <c r="AA171" s="39" t="s">
        <v>4538</v>
      </c>
      <c r="AB171" s="39" t="s">
        <v>4538</v>
      </c>
      <c r="AC171" s="39" t="s">
        <v>4538</v>
      </c>
      <c r="AD171" s="39" t="s">
        <v>4606</v>
      </c>
      <c r="AE171" s="39" t="s">
        <v>134</v>
      </c>
      <c r="AF171" s="39">
        <v>7</v>
      </c>
      <c r="AG171" s="42">
        <v>5.4000000000000003E-3</v>
      </c>
      <c r="AH171" s="42">
        <v>39</v>
      </c>
      <c r="AI171" s="42">
        <v>8.8999999999999996E-2</v>
      </c>
      <c r="AJ171" s="42" t="s">
        <v>7166</v>
      </c>
      <c r="AK171" s="43">
        <v>0.18</v>
      </c>
      <c r="AL171" s="42" t="s">
        <v>7167</v>
      </c>
      <c r="AM171" s="42">
        <v>0.13100000000000001</v>
      </c>
      <c r="AN171" s="42">
        <v>7.8299999999999995E-2</v>
      </c>
      <c r="AO171" s="41">
        <v>75</v>
      </c>
      <c r="AP171" s="39">
        <v>19</v>
      </c>
      <c r="AQ171" s="39">
        <v>60</v>
      </c>
      <c r="AR171" s="45">
        <v>1636</v>
      </c>
      <c r="AS171" s="39">
        <v>8</v>
      </c>
      <c r="AT171" s="39" t="s">
        <v>4562</v>
      </c>
      <c r="AU171" s="39">
        <v>8</v>
      </c>
      <c r="AV171" s="39" t="s">
        <v>6388</v>
      </c>
      <c r="AW171" s="39">
        <v>1541.5</v>
      </c>
      <c r="AX171" s="39">
        <v>1567.45</v>
      </c>
      <c r="AY171" s="39">
        <v>1589.9</v>
      </c>
      <c r="AZ171" s="39">
        <v>1493.1</v>
      </c>
      <c r="BA171" s="39">
        <v>1470.65</v>
      </c>
      <c r="BB171" s="39">
        <v>1444.7</v>
      </c>
      <c r="BC171" s="39">
        <v>11</v>
      </c>
      <c r="BD171" s="39">
        <v>1</v>
      </c>
      <c r="BE171" s="39">
        <v>3</v>
      </c>
      <c r="BF171" s="39" t="s">
        <v>130</v>
      </c>
      <c r="BG171" s="39">
        <v>332.4</v>
      </c>
      <c r="BH171" s="39">
        <v>0.2</v>
      </c>
      <c r="BI171" s="39" t="s">
        <v>4565</v>
      </c>
      <c r="BJ171" s="39" t="s">
        <v>132</v>
      </c>
    </row>
    <row r="172" spans="1:62" x14ac:dyDescent="0.35">
      <c r="A172" s="39" t="s">
        <v>1327</v>
      </c>
      <c r="B172" s="39" t="str">
        <f>IFERROR(INDEX(added_new_stocks!$F$6:$H$2155,MATCH($A172,added_new_stocks!$F$6:$F$2600,0),3),"")</f>
        <v>Small</v>
      </c>
      <c r="C172" s="39">
        <v>247</v>
      </c>
      <c r="D172" s="48">
        <v>62</v>
      </c>
      <c r="G172" s="39" t="s">
        <v>4562</v>
      </c>
      <c r="H172" s="39" t="s">
        <v>7168</v>
      </c>
      <c r="I172" s="39" t="s">
        <v>4624</v>
      </c>
      <c r="J172" s="39" t="s">
        <v>7169</v>
      </c>
      <c r="K172" s="39" t="s">
        <v>4615</v>
      </c>
      <c r="L172" s="39" t="s">
        <v>7170</v>
      </c>
      <c r="M172" s="39" t="s">
        <v>135</v>
      </c>
      <c r="N172" s="39">
        <v>3</v>
      </c>
      <c r="O172" s="39">
        <v>-8</v>
      </c>
      <c r="P172" s="39">
        <v>-5</v>
      </c>
      <c r="Q172" s="39" t="s">
        <v>4611</v>
      </c>
      <c r="R172" s="39">
        <v>0.26</v>
      </c>
      <c r="S172" s="39">
        <v>0.41</v>
      </c>
      <c r="T172" s="39">
        <v>18.47</v>
      </c>
      <c r="U172" s="39">
        <v>56.48</v>
      </c>
      <c r="V172" s="39">
        <v>84.26</v>
      </c>
      <c r="W172" s="39">
        <v>83.85</v>
      </c>
      <c r="X172" s="39">
        <v>50.02</v>
      </c>
      <c r="Y172" s="39">
        <v>2.5499999999999998</v>
      </c>
      <c r="Z172" s="39">
        <v>237.43</v>
      </c>
      <c r="AA172" s="39">
        <v>502.44</v>
      </c>
      <c r="AB172" s="39">
        <v>229.33</v>
      </c>
      <c r="AC172" s="39">
        <v>4551.6000000000004</v>
      </c>
      <c r="AD172" s="39" t="s">
        <v>4606</v>
      </c>
      <c r="AE172" s="39" t="s">
        <v>134</v>
      </c>
      <c r="AF172" s="39">
        <v>3</v>
      </c>
      <c r="AG172" s="42">
        <v>1E-4</v>
      </c>
      <c r="AH172" s="42">
        <v>67</v>
      </c>
      <c r="AI172" s="42">
        <v>9.1399999999999995E-2</v>
      </c>
      <c r="AJ172" s="42" t="s">
        <v>7171</v>
      </c>
      <c r="AK172" s="42">
        <v>0.31309999999999999</v>
      </c>
      <c r="AL172" s="43" t="s">
        <v>7172</v>
      </c>
      <c r="AM172" s="42">
        <v>5.1999999999999998E-2</v>
      </c>
      <c r="AN172" s="42">
        <v>0.19439999999999999</v>
      </c>
      <c r="AO172" s="41">
        <v>40</v>
      </c>
      <c r="AP172" s="39">
        <v>46</v>
      </c>
      <c r="AQ172" s="39">
        <v>60</v>
      </c>
      <c r="AR172" s="45">
        <v>1611</v>
      </c>
      <c r="AS172" s="39">
        <v>15</v>
      </c>
      <c r="AT172" s="39" t="s">
        <v>129</v>
      </c>
      <c r="AU172" s="39">
        <v>38</v>
      </c>
      <c r="AV172" s="39" t="s">
        <v>5898</v>
      </c>
      <c r="AW172" s="39">
        <v>1418.72</v>
      </c>
      <c r="AX172" s="39">
        <v>1436.28</v>
      </c>
      <c r="AY172" s="39">
        <v>1451.12</v>
      </c>
      <c r="AZ172" s="39">
        <v>1386.32</v>
      </c>
      <c r="BA172" s="39">
        <v>1371.48</v>
      </c>
      <c r="BB172" s="39">
        <v>1353.92</v>
      </c>
      <c r="BC172" s="39">
        <v>12</v>
      </c>
      <c r="BD172" s="39">
        <v>6</v>
      </c>
      <c r="BE172" s="39">
        <v>8</v>
      </c>
      <c r="BF172" s="39" t="s">
        <v>130</v>
      </c>
      <c r="BG172" s="48">
        <v>1273.4000000000001</v>
      </c>
      <c r="BH172" s="39">
        <v>0.9</v>
      </c>
      <c r="BI172" s="39" t="s">
        <v>4651</v>
      </c>
      <c r="BJ172" s="39" t="s">
        <v>4563</v>
      </c>
    </row>
    <row r="173" spans="1:62" x14ac:dyDescent="0.35">
      <c r="A173" s="39" t="s">
        <v>283</v>
      </c>
      <c r="B173" s="39" t="str">
        <f>IFERROR(INDEX(added_new_stocks!$F$6:$H$2155,MATCH($A173,added_new_stocks!$F$6:$F$2600,0),3),"")</f>
        <v>Large</v>
      </c>
      <c r="C173" s="48">
        <v>1393.45</v>
      </c>
      <c r="D173" s="39">
        <v>84</v>
      </c>
      <c r="G173" s="39" t="s">
        <v>4633</v>
      </c>
      <c r="H173" s="39" t="s">
        <v>5867</v>
      </c>
      <c r="I173" s="39" t="s">
        <v>4989</v>
      </c>
      <c r="J173" s="39" t="s">
        <v>7173</v>
      </c>
      <c r="K173" s="39" t="s">
        <v>4957</v>
      </c>
      <c r="L173" s="39" t="s">
        <v>5869</v>
      </c>
      <c r="N173" s="39">
        <v>31</v>
      </c>
      <c r="O173" s="39">
        <v>-2</v>
      </c>
      <c r="P173" s="39">
        <v>29</v>
      </c>
      <c r="Q173" s="39" t="s">
        <v>5060</v>
      </c>
      <c r="R173" s="39">
        <v>-0.55000000000000004</v>
      </c>
      <c r="S173" s="39">
        <v>-0.51</v>
      </c>
      <c r="T173" s="39">
        <v>-0.59</v>
      </c>
      <c r="U173" s="39">
        <v>7.62</v>
      </c>
      <c r="V173" s="39">
        <v>26.41</v>
      </c>
      <c r="W173" s="39">
        <v>14.08</v>
      </c>
      <c r="X173" s="39">
        <v>25.88</v>
      </c>
      <c r="Y173" s="39">
        <v>38.65</v>
      </c>
      <c r="Z173" s="39">
        <v>112.22</v>
      </c>
      <c r="AA173" s="39">
        <v>-7.0000000000000007E-2</v>
      </c>
      <c r="AB173" s="39">
        <v>-25.73</v>
      </c>
      <c r="AC173" s="39">
        <v>290.32</v>
      </c>
      <c r="AD173" s="39" t="s">
        <v>4974</v>
      </c>
      <c r="AE173" s="39">
        <v>45.48</v>
      </c>
      <c r="AF173" s="39">
        <v>36</v>
      </c>
      <c r="AG173" s="42">
        <v>0.1522</v>
      </c>
      <c r="AH173" s="42">
        <v>381</v>
      </c>
      <c r="AI173" s="42">
        <v>0.42059999999999997</v>
      </c>
      <c r="AJ173" s="42" t="s">
        <v>5870</v>
      </c>
      <c r="AK173" s="42">
        <v>0.12570000000000001</v>
      </c>
      <c r="AL173" s="42" t="s">
        <v>5871</v>
      </c>
      <c r="AM173" s="42">
        <v>3.56E-2</v>
      </c>
      <c r="AN173" s="42">
        <v>7.9100000000000004E-2</v>
      </c>
      <c r="AO173" s="41">
        <v>40</v>
      </c>
      <c r="AP173" s="39">
        <v>46</v>
      </c>
      <c r="AQ173" s="39">
        <v>60</v>
      </c>
      <c r="AR173" s="45">
        <v>1611</v>
      </c>
      <c r="AS173" s="39">
        <v>15</v>
      </c>
      <c r="AT173" s="39" t="s">
        <v>129</v>
      </c>
      <c r="AU173" s="39">
        <v>38</v>
      </c>
      <c r="AV173" s="39" t="s">
        <v>5898</v>
      </c>
      <c r="AW173" s="39">
        <v>1418.72</v>
      </c>
      <c r="AX173" s="39">
        <v>1436.28</v>
      </c>
      <c r="AY173" s="39">
        <v>1451.12</v>
      </c>
      <c r="AZ173" s="39">
        <v>1386.32</v>
      </c>
      <c r="BA173" s="39">
        <v>1371.48</v>
      </c>
      <c r="BB173" s="39">
        <v>1353.92</v>
      </c>
      <c r="BC173" s="39">
        <v>12</v>
      </c>
      <c r="BD173" s="39">
        <v>6</v>
      </c>
      <c r="BE173" s="39">
        <v>8</v>
      </c>
      <c r="BF173" s="39" t="s">
        <v>130</v>
      </c>
      <c r="BG173" s="48">
        <v>1273.4000000000001</v>
      </c>
      <c r="BH173" s="39">
        <v>0.9</v>
      </c>
      <c r="BI173" s="39" t="s">
        <v>4651</v>
      </c>
      <c r="BJ173" s="39" t="s">
        <v>4563</v>
      </c>
    </row>
    <row r="174" spans="1:62" x14ac:dyDescent="0.35">
      <c r="A174" s="39" t="s">
        <v>193</v>
      </c>
      <c r="B174" s="39" t="str">
        <f>IFERROR(INDEX(added_new_stocks!$F$6:$H$2155,MATCH($A174,added_new_stocks!$F$6:$F$2600,0),3),"")</f>
        <v>Large</v>
      </c>
      <c r="C174" s="48">
        <v>1435.05</v>
      </c>
      <c r="D174" s="48">
        <v>54</v>
      </c>
      <c r="G174" s="39" t="s">
        <v>4562</v>
      </c>
      <c r="H174" s="39" t="s">
        <v>5353</v>
      </c>
      <c r="I174" s="39" t="s">
        <v>4976</v>
      </c>
      <c r="J174" s="39" t="s">
        <v>5354</v>
      </c>
      <c r="K174" s="39" t="s">
        <v>4957</v>
      </c>
      <c r="L174" s="39" t="s">
        <v>5355</v>
      </c>
      <c r="M174" s="39" t="s">
        <v>135</v>
      </c>
      <c r="N174" s="39">
        <v>3</v>
      </c>
      <c r="O174" s="39">
        <v>-2</v>
      </c>
      <c r="P174" s="39">
        <v>1</v>
      </c>
      <c r="Q174" s="39" t="s">
        <v>4611</v>
      </c>
      <c r="R174" s="39">
        <v>1.19</v>
      </c>
      <c r="S174" s="39">
        <v>1.94</v>
      </c>
      <c r="T174" s="39">
        <v>7.07</v>
      </c>
      <c r="U174" s="39">
        <v>8.48</v>
      </c>
      <c r="V174" s="39">
        <v>-2.52</v>
      </c>
      <c r="W174" s="39">
        <v>-4.88</v>
      </c>
      <c r="X174" s="39">
        <v>-3.89</v>
      </c>
      <c r="Y174" s="39">
        <v>-15.48</v>
      </c>
      <c r="Z174" s="39">
        <v>53.51</v>
      </c>
      <c r="AA174" s="39">
        <v>76.17</v>
      </c>
      <c r="AB174" s="39">
        <v>102.48</v>
      </c>
      <c r="AC174" s="39">
        <v>270.3</v>
      </c>
      <c r="AD174" s="39" t="s">
        <v>4974</v>
      </c>
      <c r="AE174" s="39" t="s">
        <v>134</v>
      </c>
      <c r="AF174" s="39">
        <v>37</v>
      </c>
      <c r="AG174" s="42">
        <v>0.18629999999999999</v>
      </c>
      <c r="AH174" s="42">
        <v>1375</v>
      </c>
      <c r="AI174" s="42">
        <v>0.33429999999999999</v>
      </c>
      <c r="AJ174" s="42" t="s">
        <v>5356</v>
      </c>
      <c r="AK174" s="42">
        <v>2.58E-2</v>
      </c>
      <c r="AL174" s="42" t="s">
        <v>136</v>
      </c>
      <c r="AM174" s="42">
        <v>8.8300000000000003E-2</v>
      </c>
      <c r="AN174" s="42">
        <v>0.1391</v>
      </c>
      <c r="AO174" s="41">
        <v>50</v>
      </c>
      <c r="AP174" s="39">
        <v>29</v>
      </c>
      <c r="AQ174" s="39">
        <v>54</v>
      </c>
      <c r="AR174" s="45">
        <v>1443</v>
      </c>
      <c r="AS174" s="39">
        <v>2</v>
      </c>
      <c r="AT174" s="39" t="s">
        <v>4562</v>
      </c>
      <c r="AU174" s="39">
        <v>40</v>
      </c>
      <c r="AV174" s="39" t="s">
        <v>6389</v>
      </c>
      <c r="AW174" s="39">
        <v>1424.6</v>
      </c>
      <c r="AX174" s="39">
        <v>1429.1</v>
      </c>
      <c r="AY174" s="39">
        <v>1435.7</v>
      </c>
      <c r="AZ174" s="39">
        <v>1413.5</v>
      </c>
      <c r="BA174" s="39">
        <v>1406.9</v>
      </c>
      <c r="BB174" s="39">
        <v>1402.4</v>
      </c>
      <c r="BC174" s="39">
        <v>7</v>
      </c>
      <c r="BD174" s="39">
        <v>2</v>
      </c>
      <c r="BE174" s="39">
        <v>4</v>
      </c>
      <c r="BF174" s="39" t="s">
        <v>130</v>
      </c>
      <c r="BG174" s="39">
        <v>494.8</v>
      </c>
      <c r="BH174" s="39">
        <v>0.3</v>
      </c>
      <c r="BI174" s="39" t="s">
        <v>4563</v>
      </c>
      <c r="BJ174" s="39" t="s">
        <v>4563</v>
      </c>
    </row>
    <row r="175" spans="1:62" x14ac:dyDescent="0.35">
      <c r="A175" s="39" t="s">
        <v>254</v>
      </c>
      <c r="B175" s="39" t="str">
        <f>IFERROR(INDEX(added_new_stocks!$F$6:$H$2155,MATCH($A175,added_new_stocks!$F$6:$F$2600,0),3),"")</f>
        <v>Large</v>
      </c>
      <c r="C175" s="39">
        <v>90.76</v>
      </c>
      <c r="D175" s="48">
        <v>70</v>
      </c>
      <c r="G175" s="39" t="s">
        <v>129</v>
      </c>
      <c r="H175" s="39" t="s">
        <v>7174</v>
      </c>
      <c r="I175" s="39" t="s">
        <v>4989</v>
      </c>
      <c r="J175" s="39" t="s">
        <v>7175</v>
      </c>
      <c r="K175" s="39" t="s">
        <v>4615</v>
      </c>
      <c r="L175" s="39" t="s">
        <v>7176</v>
      </c>
      <c r="M175" s="39" t="s">
        <v>5047</v>
      </c>
      <c r="N175" s="39">
        <v>25</v>
      </c>
      <c r="O175" s="39">
        <v>-5</v>
      </c>
      <c r="P175" s="39">
        <v>20</v>
      </c>
      <c r="Q175" s="39" t="s">
        <v>5060</v>
      </c>
      <c r="R175" s="39">
        <v>-1.18</v>
      </c>
      <c r="S175" s="39">
        <v>-0.55000000000000004</v>
      </c>
      <c r="T175" s="39">
        <v>-4.74</v>
      </c>
      <c r="U175" s="39">
        <v>0.5</v>
      </c>
      <c r="V175" s="39">
        <v>16.489999999999998</v>
      </c>
      <c r="W175" s="39">
        <v>18.64</v>
      </c>
      <c r="X175" s="39">
        <v>26.85</v>
      </c>
      <c r="Y175" s="39">
        <v>28.1</v>
      </c>
      <c r="Z175" s="39">
        <v>56.62</v>
      </c>
      <c r="AA175" s="39">
        <v>12.3</v>
      </c>
      <c r="AB175" s="39">
        <v>-11.05</v>
      </c>
      <c r="AC175" s="39">
        <v>162.75</v>
      </c>
      <c r="AD175" s="39" t="s">
        <v>4606</v>
      </c>
      <c r="AE175" s="39" t="s">
        <v>134</v>
      </c>
      <c r="AF175" s="39">
        <v>28</v>
      </c>
      <c r="AG175" s="42">
        <v>2.1999999999999999E-2</v>
      </c>
      <c r="AH175" s="42">
        <v>619</v>
      </c>
      <c r="AI175" s="42">
        <v>7.5600000000000001E-2</v>
      </c>
      <c r="AJ175" s="42" t="s">
        <v>5061</v>
      </c>
      <c r="AK175" s="42">
        <v>0.51500000000000001</v>
      </c>
      <c r="AL175" s="42" t="s">
        <v>7177</v>
      </c>
      <c r="AM175" s="42">
        <v>0.14199999999999999</v>
      </c>
      <c r="AN175" s="42">
        <v>6.4899999999999999E-2</v>
      </c>
      <c r="AO175" s="41">
        <v>50</v>
      </c>
      <c r="AP175" s="39">
        <v>35</v>
      </c>
      <c r="AQ175" s="39">
        <v>55</v>
      </c>
      <c r="AR175" s="39">
        <v>290</v>
      </c>
      <c r="AS175" s="39">
        <v>14</v>
      </c>
      <c r="AT175" s="39" t="s">
        <v>4562</v>
      </c>
      <c r="AU175" s="39">
        <v>20</v>
      </c>
      <c r="AV175" s="39" t="s">
        <v>6390</v>
      </c>
      <c r="AW175" s="39">
        <v>259.23</v>
      </c>
      <c r="AX175" s="39">
        <v>263.07</v>
      </c>
      <c r="AY175" s="39">
        <v>265.63</v>
      </c>
      <c r="AZ175" s="39">
        <v>252.83</v>
      </c>
      <c r="BA175" s="39">
        <v>250.27</v>
      </c>
      <c r="BB175" s="39">
        <v>246.43</v>
      </c>
      <c r="BC175" s="39">
        <v>4</v>
      </c>
      <c r="BD175" s="39">
        <v>7</v>
      </c>
      <c r="BE175" s="39">
        <v>3</v>
      </c>
      <c r="BF175" s="39" t="s">
        <v>130</v>
      </c>
      <c r="BG175" s="39">
        <v>121.4</v>
      </c>
      <c r="BH175" s="39">
        <v>0.5</v>
      </c>
      <c r="BI175" s="39" t="s">
        <v>4563</v>
      </c>
    </row>
    <row r="176" spans="1:62" x14ac:dyDescent="0.35">
      <c r="A176" s="39" t="s">
        <v>1067</v>
      </c>
      <c r="B176" s="39" t="str">
        <f>IFERROR(INDEX(added_new_stocks!$F$6:$H$2155,MATCH($A176,added_new_stocks!$F$6:$F$2600,0),3),"")</f>
        <v>Mid</v>
      </c>
      <c r="C176" s="39">
        <v>514.9</v>
      </c>
      <c r="D176" s="39">
        <v>67</v>
      </c>
      <c r="G176" s="39" t="s">
        <v>4562</v>
      </c>
      <c r="H176" s="39" t="s">
        <v>7178</v>
      </c>
      <c r="I176" s="39" t="s">
        <v>4624</v>
      </c>
      <c r="J176" s="39" t="s">
        <v>7179</v>
      </c>
      <c r="K176" s="39" t="s">
        <v>133</v>
      </c>
      <c r="L176" s="39" t="s">
        <v>4998</v>
      </c>
      <c r="M176" s="39" t="s">
        <v>4620</v>
      </c>
      <c r="N176" s="39">
        <v>9</v>
      </c>
      <c r="O176" s="39">
        <v>-4</v>
      </c>
      <c r="P176" s="39">
        <v>5</v>
      </c>
      <c r="Q176" s="39" t="s">
        <v>4611</v>
      </c>
      <c r="R176" s="39">
        <v>1.1299999999999999</v>
      </c>
      <c r="S176" s="39">
        <v>10.84</v>
      </c>
      <c r="T176" s="39">
        <v>-1.21</v>
      </c>
      <c r="U176" s="39">
        <v>34.53</v>
      </c>
      <c r="V176" s="39">
        <v>51.29</v>
      </c>
      <c r="W176" s="39">
        <v>87.95</v>
      </c>
      <c r="X176" s="39">
        <v>167.97</v>
      </c>
      <c r="Y176" s="39">
        <v>118.06</v>
      </c>
      <c r="Z176" s="39">
        <v>558.15</v>
      </c>
      <c r="AA176" s="39">
        <v>683.59</v>
      </c>
      <c r="AB176" s="39">
        <v>1125.22</v>
      </c>
      <c r="AC176" s="39">
        <v>6096.15</v>
      </c>
      <c r="AD176" s="39" t="s">
        <v>5015</v>
      </c>
      <c r="AE176" s="39" t="s">
        <v>134</v>
      </c>
      <c r="AF176" s="39">
        <v>6</v>
      </c>
      <c r="AG176" s="42">
        <v>8.3099999999999993E-2</v>
      </c>
      <c r="AH176" s="42">
        <v>55</v>
      </c>
      <c r="AI176" s="42">
        <v>2.4400000000000002E-2</v>
      </c>
      <c r="AJ176" s="42" t="s">
        <v>7180</v>
      </c>
      <c r="AK176" s="42">
        <v>5.62E-2</v>
      </c>
      <c r="AL176" s="42" t="s">
        <v>5573</v>
      </c>
      <c r="AM176" s="42">
        <v>4.8800000000000003E-2</v>
      </c>
      <c r="AN176" s="42">
        <v>0.32240000000000002</v>
      </c>
      <c r="AO176" s="41">
        <v>65</v>
      </c>
      <c r="AP176" s="39">
        <v>23</v>
      </c>
      <c r="AQ176" s="39">
        <v>52</v>
      </c>
      <c r="AS176" s="39" t="s">
        <v>4564</v>
      </c>
      <c r="AW176" s="39">
        <v>479.9</v>
      </c>
      <c r="AX176" s="39">
        <v>486.5</v>
      </c>
      <c r="AY176" s="39">
        <v>493.2</v>
      </c>
      <c r="AZ176" s="39">
        <v>466.6</v>
      </c>
      <c r="BA176" s="39">
        <v>459.9</v>
      </c>
      <c r="BB176" s="39">
        <v>453.3</v>
      </c>
      <c r="BC176" s="39">
        <v>5</v>
      </c>
      <c r="BD176" s="39">
        <v>4</v>
      </c>
      <c r="BE176" s="39" t="s">
        <v>130</v>
      </c>
      <c r="BF176" s="39">
        <v>-1.63</v>
      </c>
      <c r="BG176" s="39">
        <v>6</v>
      </c>
      <c r="BH176" s="39">
        <v>134.9</v>
      </c>
      <c r="BI176" s="39" t="s">
        <v>4563</v>
      </c>
      <c r="BJ176" s="39" t="s">
        <v>4563</v>
      </c>
    </row>
    <row r="177" spans="1:62" x14ac:dyDescent="0.35">
      <c r="A177" s="39" t="s">
        <v>571</v>
      </c>
      <c r="B177" s="39" t="str">
        <f>IFERROR(INDEX(added_new_stocks!$F$6:$H$2155,MATCH($A177,added_new_stocks!$F$6:$F$2600,0),3),"")</f>
        <v>Large</v>
      </c>
      <c r="C177" s="39">
        <v>891.4</v>
      </c>
      <c r="D177" s="39">
        <v>57</v>
      </c>
      <c r="G177" s="39" t="s">
        <v>4562</v>
      </c>
      <c r="H177" s="39" t="s">
        <v>7181</v>
      </c>
      <c r="I177" s="39" t="s">
        <v>4624</v>
      </c>
      <c r="J177" s="39" t="s">
        <v>7182</v>
      </c>
      <c r="K177" s="39" t="s">
        <v>133</v>
      </c>
      <c r="L177" s="39" t="s">
        <v>7183</v>
      </c>
      <c r="M177" s="39" t="s">
        <v>4959</v>
      </c>
      <c r="N177" s="39">
        <v>9</v>
      </c>
      <c r="O177" s="39">
        <v>-24</v>
      </c>
      <c r="P177" s="39">
        <v>-15</v>
      </c>
      <c r="Q177" s="39" t="s">
        <v>4605</v>
      </c>
      <c r="R177" s="39">
        <v>0.34</v>
      </c>
      <c r="S177" s="39">
        <v>1.68</v>
      </c>
      <c r="T177" s="39">
        <v>4.09</v>
      </c>
      <c r="U177" s="39">
        <v>29.71</v>
      </c>
      <c r="V177" s="39">
        <v>10.75</v>
      </c>
      <c r="W177" s="39">
        <v>5.73</v>
      </c>
      <c r="X177" s="39">
        <v>-1.54</v>
      </c>
      <c r="Y177" s="39">
        <v>-28.13</v>
      </c>
      <c r="Z177" s="39">
        <v>-10.68</v>
      </c>
      <c r="AA177" s="39">
        <v>85.21</v>
      </c>
      <c r="AB177" s="39">
        <v>133.9</v>
      </c>
      <c r="AC177" s="39">
        <v>187.62</v>
      </c>
      <c r="AD177" s="39" t="s">
        <v>4606</v>
      </c>
      <c r="AE177" s="39" t="s">
        <v>134</v>
      </c>
      <c r="AF177" s="39">
        <v>27</v>
      </c>
      <c r="AG177" s="42">
        <v>0.30270000000000002</v>
      </c>
      <c r="AH177" s="42">
        <v>178</v>
      </c>
      <c r="AI177" s="42">
        <v>0.10050000000000001</v>
      </c>
      <c r="AJ177" s="42" t="s">
        <v>5360</v>
      </c>
      <c r="AK177" s="42">
        <v>0.2147</v>
      </c>
      <c r="AL177" s="42" t="s">
        <v>4968</v>
      </c>
      <c r="AM177" s="42">
        <v>6.6500000000000004E-2</v>
      </c>
      <c r="AN177" s="42">
        <v>6.9800000000000001E-2</v>
      </c>
      <c r="AO177" s="41">
        <v>50</v>
      </c>
      <c r="AP177" s="39">
        <v>26</v>
      </c>
      <c r="AQ177" s="39">
        <v>57</v>
      </c>
      <c r="AR177" s="39">
        <v>859</v>
      </c>
      <c r="AS177" s="39">
        <v>-3</v>
      </c>
      <c r="AT177" s="39" t="s">
        <v>4625</v>
      </c>
      <c r="AU177" s="39">
        <v>20</v>
      </c>
      <c r="AV177" s="39" t="s">
        <v>6391</v>
      </c>
      <c r="AW177" s="39">
        <v>897.65</v>
      </c>
      <c r="AX177" s="39">
        <v>911.35</v>
      </c>
      <c r="AY177" s="39">
        <v>920.7</v>
      </c>
      <c r="AZ177" s="39">
        <v>874.6</v>
      </c>
      <c r="BA177" s="39">
        <v>865.25</v>
      </c>
      <c r="BB177" s="39">
        <v>851.55</v>
      </c>
      <c r="BC177" s="39">
        <v>4</v>
      </c>
      <c r="BD177" s="39">
        <v>5</v>
      </c>
      <c r="BE177" s="39">
        <v>6</v>
      </c>
      <c r="BF177" s="39" t="s">
        <v>130</v>
      </c>
      <c r="BG177" s="39">
        <v>318.7</v>
      </c>
      <c r="BH177" s="39">
        <v>0.4</v>
      </c>
      <c r="BI177" s="39" t="s">
        <v>4565</v>
      </c>
      <c r="BJ177" s="39" t="s">
        <v>4563</v>
      </c>
    </row>
    <row r="178" spans="1:62" x14ac:dyDescent="0.35">
      <c r="A178" s="39" t="s">
        <v>658</v>
      </c>
      <c r="B178" s="39" t="str">
        <f>IFERROR(INDEX(added_new_stocks!$F$6:$H$2155,MATCH($A178,added_new_stocks!$F$6:$F$2600,0),3),"")</f>
        <v>Mid</v>
      </c>
      <c r="C178" s="39">
        <v>28.94</v>
      </c>
      <c r="D178" s="39">
        <v>17</v>
      </c>
      <c r="G178" s="39" t="s">
        <v>4963</v>
      </c>
      <c r="H178" s="39" t="s">
        <v>7184</v>
      </c>
      <c r="I178" s="39" t="s">
        <v>4976</v>
      </c>
      <c r="J178" s="39" t="s">
        <v>7185</v>
      </c>
      <c r="K178" s="39" t="s">
        <v>4603</v>
      </c>
      <c r="L178" s="39" t="s">
        <v>7186</v>
      </c>
      <c r="M178" s="39" t="s">
        <v>135</v>
      </c>
      <c r="N178" s="39">
        <v>4</v>
      </c>
      <c r="O178" s="39">
        <v>-13</v>
      </c>
      <c r="P178" s="39">
        <v>-9</v>
      </c>
      <c r="Q178" s="39" t="s">
        <v>4605</v>
      </c>
      <c r="R178" s="39">
        <v>2.84</v>
      </c>
      <c r="S178" s="39">
        <v>6.4</v>
      </c>
      <c r="T178" s="39">
        <v>8.5500000000000007</v>
      </c>
      <c r="U178" s="39">
        <v>2.77</v>
      </c>
      <c r="V178" s="39">
        <v>0.73</v>
      </c>
      <c r="W178" s="39">
        <v>-0.34</v>
      </c>
      <c r="X178" s="39">
        <v>22.29</v>
      </c>
      <c r="Y178" s="39">
        <v>73.92</v>
      </c>
      <c r="Z178" s="39">
        <v>124.69</v>
      </c>
      <c r="AA178" s="39">
        <v>279.29000000000002</v>
      </c>
      <c r="AB178" s="39">
        <v>51.92</v>
      </c>
      <c r="AC178" s="39">
        <v>364.53</v>
      </c>
      <c r="AD178" s="39" t="s">
        <v>4974</v>
      </c>
      <c r="AE178" s="39">
        <v>49.11</v>
      </c>
      <c r="AF178" s="39">
        <v>10</v>
      </c>
      <c r="AG178" s="42">
        <v>3.6499999999999998E-2</v>
      </c>
      <c r="AH178" s="42">
        <v>114</v>
      </c>
      <c r="AI178" s="42">
        <v>0.48370000000000002</v>
      </c>
      <c r="AJ178" s="42" t="s">
        <v>7187</v>
      </c>
      <c r="AK178" s="42">
        <v>0.33019999999999999</v>
      </c>
      <c r="AL178" s="42" t="s">
        <v>7188</v>
      </c>
      <c r="AM178" s="42">
        <v>0.24859999999999999</v>
      </c>
      <c r="AN178" s="42">
        <v>7.51E-2</v>
      </c>
      <c r="AO178" s="41">
        <v>55</v>
      </c>
      <c r="AP178" s="39">
        <v>39</v>
      </c>
      <c r="AQ178" s="39">
        <v>48</v>
      </c>
      <c r="AR178" s="39">
        <v>32</v>
      </c>
      <c r="AS178" s="39">
        <v>19</v>
      </c>
      <c r="AT178" s="39" t="s">
        <v>129</v>
      </c>
      <c r="AU178" s="39">
        <v>6</v>
      </c>
      <c r="AV178" s="39" t="s">
        <v>6392</v>
      </c>
      <c r="AW178" s="39">
        <v>27.55</v>
      </c>
      <c r="AX178" s="39">
        <v>28.1</v>
      </c>
      <c r="AY178" s="39">
        <v>28.45</v>
      </c>
      <c r="AZ178" s="39">
        <v>26.65</v>
      </c>
      <c r="BA178" s="39">
        <v>26.3</v>
      </c>
      <c r="BB178" s="39">
        <v>25.75</v>
      </c>
      <c r="BC178" s="39">
        <v>8</v>
      </c>
      <c r="BD178" s="39">
        <v>4</v>
      </c>
      <c r="BE178" s="39">
        <v>1</v>
      </c>
      <c r="BF178" s="39" t="s">
        <v>130</v>
      </c>
      <c r="BG178" s="39">
        <v>20.100000000000001</v>
      </c>
      <c r="BH178" s="39">
        <v>0.7</v>
      </c>
      <c r="BJ178" s="39" t="s">
        <v>132</v>
      </c>
    </row>
    <row r="179" spans="1:62" x14ac:dyDescent="0.35">
      <c r="A179" s="39" t="s">
        <v>685</v>
      </c>
      <c r="B179" s="39" t="str">
        <f>IFERROR(INDEX(added_new_stocks!$F$6:$H$2155,MATCH($A179,added_new_stocks!$F$6:$F$2600,0),3),"")</f>
        <v>Mid</v>
      </c>
      <c r="C179" s="39">
        <v>615.65</v>
      </c>
      <c r="D179" s="39">
        <v>58</v>
      </c>
      <c r="G179" s="39" t="s">
        <v>4562</v>
      </c>
      <c r="H179" s="39" t="s">
        <v>7189</v>
      </c>
      <c r="I179" s="39" t="s">
        <v>4624</v>
      </c>
      <c r="J179" s="39" t="s">
        <v>7190</v>
      </c>
      <c r="K179" s="39" t="s">
        <v>4615</v>
      </c>
      <c r="L179" s="39" t="s">
        <v>7191</v>
      </c>
      <c r="M179" s="39" t="s">
        <v>4959</v>
      </c>
      <c r="N179" s="39">
        <v>4</v>
      </c>
      <c r="O179" s="39">
        <v>-1</v>
      </c>
      <c r="P179" s="39">
        <v>3</v>
      </c>
      <c r="Q179" s="39" t="s">
        <v>4611</v>
      </c>
      <c r="R179" s="39">
        <v>-0.73</v>
      </c>
      <c r="S179" s="39">
        <v>-0.81</v>
      </c>
      <c r="T179" s="39">
        <v>-3.38</v>
      </c>
      <c r="U179" s="39">
        <v>21.91</v>
      </c>
      <c r="V179" s="39">
        <v>30.14</v>
      </c>
      <c r="W179" s="39">
        <v>23.94</v>
      </c>
      <c r="X179" s="39">
        <v>22.73</v>
      </c>
      <c r="Y179" s="39">
        <v>-15.51</v>
      </c>
      <c r="Z179" s="39">
        <v>25.13</v>
      </c>
      <c r="AA179" s="39">
        <v>186.48</v>
      </c>
      <c r="AB179" s="39">
        <v>88.16</v>
      </c>
      <c r="AC179" s="39" t="s">
        <v>4538</v>
      </c>
      <c r="AD179" s="39" t="s">
        <v>4606</v>
      </c>
      <c r="AE179" s="39" t="s">
        <v>134</v>
      </c>
      <c r="AF179" s="39">
        <v>17</v>
      </c>
      <c r="AG179" s="42">
        <v>9.9000000000000008E-3</v>
      </c>
      <c r="AH179" s="42">
        <v>120</v>
      </c>
      <c r="AI179" s="42">
        <v>9.4799999999999995E-2</v>
      </c>
      <c r="AJ179" s="42" t="s">
        <v>7146</v>
      </c>
      <c r="AK179" s="42">
        <v>0.74829999999999997</v>
      </c>
      <c r="AL179" s="42" t="s">
        <v>5684</v>
      </c>
      <c r="AM179" s="42">
        <v>3.1300000000000001E-2</v>
      </c>
      <c r="AN179" s="42">
        <v>8.2000000000000003E-2</v>
      </c>
      <c r="AO179" s="41">
        <v>25</v>
      </c>
      <c r="AP179" s="39">
        <v>23</v>
      </c>
      <c r="AQ179" s="39">
        <v>59</v>
      </c>
      <c r="AR179" s="39">
        <v>604</v>
      </c>
      <c r="AS179" s="39">
        <v>-3</v>
      </c>
      <c r="AT179" s="39" t="s">
        <v>4562</v>
      </c>
      <c r="AU179" s="39">
        <v>4</v>
      </c>
      <c r="AV179" s="39" t="s">
        <v>6393</v>
      </c>
      <c r="AW179" s="39">
        <v>624.41999999999996</v>
      </c>
      <c r="AX179" s="39">
        <v>627.92999999999995</v>
      </c>
      <c r="AY179" s="39">
        <v>631.37</v>
      </c>
      <c r="AZ179" s="39">
        <v>617.47</v>
      </c>
      <c r="BA179" s="39">
        <v>614.03</v>
      </c>
      <c r="BB179" s="39">
        <v>610.52</v>
      </c>
      <c r="BC179" s="39">
        <v>6</v>
      </c>
      <c r="BD179" s="39">
        <v>6</v>
      </c>
      <c r="BE179" s="39">
        <v>3</v>
      </c>
      <c r="BF179" s="39" t="s">
        <v>130</v>
      </c>
      <c r="BG179" s="39">
        <v>261.89999999999998</v>
      </c>
      <c r="BH179" s="39">
        <v>0.4</v>
      </c>
      <c r="BI179" s="39" t="s">
        <v>4563</v>
      </c>
      <c r="BJ179" s="39" t="s">
        <v>132</v>
      </c>
    </row>
    <row r="180" spans="1:62" x14ac:dyDescent="0.35">
      <c r="A180" s="39" t="s">
        <v>1295</v>
      </c>
      <c r="B180" s="39" t="str">
        <f>IFERROR(INDEX(added_new_stocks!$F$6:$H$2155,MATCH($A180,added_new_stocks!$F$6:$F$2600,0),3),"")</f>
        <v>Small</v>
      </c>
      <c r="C180" s="39">
        <v>701.05</v>
      </c>
      <c r="D180" s="39">
        <v>71</v>
      </c>
      <c r="G180" s="39" t="s">
        <v>129</v>
      </c>
      <c r="H180" s="39" t="s">
        <v>7192</v>
      </c>
      <c r="I180" s="39" t="s">
        <v>4624</v>
      </c>
      <c r="J180" s="39" t="s">
        <v>7193</v>
      </c>
      <c r="K180" s="39" t="s">
        <v>4615</v>
      </c>
      <c r="L180" s="39" t="s">
        <v>7194</v>
      </c>
      <c r="M180" s="39" t="s">
        <v>5047</v>
      </c>
      <c r="N180" s="39">
        <v>18</v>
      </c>
      <c r="O180" s="39">
        <v>-1</v>
      </c>
      <c r="P180" s="39">
        <v>17</v>
      </c>
      <c r="Q180" s="39" t="s">
        <v>14</v>
      </c>
      <c r="R180" s="39">
        <v>-0.13</v>
      </c>
      <c r="S180" s="39">
        <v>-0.54</v>
      </c>
      <c r="T180" s="39">
        <v>-3.54</v>
      </c>
      <c r="U180" s="39">
        <v>19.2</v>
      </c>
      <c r="V180" s="39">
        <v>54.18</v>
      </c>
      <c r="W180" s="39">
        <v>45.98</v>
      </c>
      <c r="X180" s="39">
        <v>46.72</v>
      </c>
      <c r="Y180" s="39">
        <v>-3.65</v>
      </c>
      <c r="Z180" s="39">
        <v>151.44999999999999</v>
      </c>
      <c r="AA180" s="39">
        <v>120.49</v>
      </c>
      <c r="AB180" s="39">
        <v>12.01</v>
      </c>
      <c r="AC180" s="39">
        <v>774.13</v>
      </c>
      <c r="AD180" s="39" t="s">
        <v>4606</v>
      </c>
      <c r="AE180" s="39" t="s">
        <v>134</v>
      </c>
      <c r="AF180" s="39">
        <v>6</v>
      </c>
      <c r="AG180" s="42">
        <v>7.6499999999999999E-2</v>
      </c>
      <c r="AH180" s="42">
        <v>64</v>
      </c>
      <c r="AI180" s="42">
        <v>2.7699999999999999E-2</v>
      </c>
      <c r="AJ180" s="42" t="s">
        <v>7195</v>
      </c>
      <c r="AK180" s="43">
        <v>0.45</v>
      </c>
      <c r="AL180" s="42" t="s">
        <v>5573</v>
      </c>
      <c r="AM180" s="42">
        <v>3.8800000000000001E-2</v>
      </c>
      <c r="AN180" s="42">
        <v>0.18679999999999999</v>
      </c>
      <c r="AO180" s="41">
        <v>85</v>
      </c>
      <c r="AP180" s="39">
        <v>53</v>
      </c>
      <c r="AQ180" s="39">
        <v>64</v>
      </c>
      <c r="AR180" s="39">
        <v>794</v>
      </c>
      <c r="AS180" s="39">
        <v>13</v>
      </c>
      <c r="AT180" s="39" t="s">
        <v>4633</v>
      </c>
      <c r="AU180" s="39">
        <v>2</v>
      </c>
      <c r="AV180" s="39" t="s">
        <v>6394</v>
      </c>
      <c r="AW180" s="39">
        <v>717.48</v>
      </c>
      <c r="AX180" s="39">
        <v>733.37</v>
      </c>
      <c r="AY180" s="39">
        <v>748.43</v>
      </c>
      <c r="AZ180" s="39">
        <v>686.53</v>
      </c>
      <c r="BA180" s="39">
        <v>671.47</v>
      </c>
      <c r="BB180" s="39">
        <v>655.58</v>
      </c>
      <c r="BC180" s="39">
        <v>8</v>
      </c>
      <c r="BD180" s="39">
        <v>1</v>
      </c>
      <c r="BE180" s="39">
        <v>2</v>
      </c>
      <c r="BF180" s="39" t="s">
        <v>130</v>
      </c>
      <c r="BG180" s="39">
        <v>477.9</v>
      </c>
      <c r="BH180" s="39">
        <v>0.7</v>
      </c>
      <c r="BI180" s="39" t="s">
        <v>4563</v>
      </c>
      <c r="BJ180" s="39" t="s">
        <v>4563</v>
      </c>
    </row>
    <row r="181" spans="1:62" x14ac:dyDescent="0.35">
      <c r="A181" s="39" t="s">
        <v>196</v>
      </c>
      <c r="B181" s="39" t="str">
        <f>IFERROR(INDEX(added_new_stocks!$F$6:$H$2155,MATCH($A181,added_new_stocks!$F$6:$F$2600,0),3),"")</f>
        <v>Large</v>
      </c>
      <c r="C181" s="39">
        <v>442.8</v>
      </c>
      <c r="D181" s="39">
        <v>72</v>
      </c>
      <c r="E181" s="39" t="s">
        <v>4987</v>
      </c>
      <c r="F181" s="39" t="s">
        <v>7196</v>
      </c>
      <c r="G181" s="39" t="s">
        <v>129</v>
      </c>
      <c r="H181" s="39" t="s">
        <v>7197</v>
      </c>
      <c r="I181" s="39" t="s">
        <v>4989</v>
      </c>
      <c r="J181" s="39" t="s">
        <v>7198</v>
      </c>
      <c r="K181" s="39" t="s">
        <v>4957</v>
      </c>
      <c r="L181" s="39" t="s">
        <v>7199</v>
      </c>
      <c r="M181" s="39" t="s">
        <v>4620</v>
      </c>
      <c r="N181" s="39">
        <v>12</v>
      </c>
      <c r="O181" s="39">
        <v>-2</v>
      </c>
      <c r="P181" s="39">
        <v>10</v>
      </c>
      <c r="Q181" s="39" t="s">
        <v>14</v>
      </c>
      <c r="R181" s="39">
        <v>0.59</v>
      </c>
      <c r="S181" s="39">
        <v>-1.69</v>
      </c>
      <c r="T181" s="39">
        <v>-5.5</v>
      </c>
      <c r="U181" s="39">
        <v>-1.55</v>
      </c>
      <c r="V181" s="39">
        <v>17.86</v>
      </c>
      <c r="W181" s="39">
        <v>33.51</v>
      </c>
      <c r="X181" s="39">
        <v>38.25</v>
      </c>
      <c r="Y181" s="39">
        <v>112.94</v>
      </c>
      <c r="Z181" s="39">
        <v>126.44</v>
      </c>
      <c r="AA181" s="39">
        <v>80.33</v>
      </c>
      <c r="AB181" s="39">
        <v>38.72</v>
      </c>
      <c r="AC181" s="39">
        <v>115.75</v>
      </c>
      <c r="AD181" s="39" t="s">
        <v>4974</v>
      </c>
      <c r="AE181" s="39" t="s">
        <v>134</v>
      </c>
      <c r="AF181" s="39">
        <v>383</v>
      </c>
      <c r="AG181" s="42">
        <v>9.1700000000000004E-2</v>
      </c>
      <c r="AH181" s="42">
        <v>997</v>
      </c>
      <c r="AI181" s="42">
        <v>0.43630000000000002</v>
      </c>
      <c r="AJ181" s="42"/>
      <c r="AL181" s="43" t="s">
        <v>7200</v>
      </c>
      <c r="AM181" s="39" t="s">
        <v>7201</v>
      </c>
      <c r="AN181" s="42">
        <v>0.1236</v>
      </c>
      <c r="AO181" s="41">
        <v>75</v>
      </c>
      <c r="AP181" s="39">
        <v>26</v>
      </c>
      <c r="AQ181" s="39">
        <v>52</v>
      </c>
      <c r="AR181" s="39">
        <v>505</v>
      </c>
      <c r="AS181" s="39">
        <v>14</v>
      </c>
      <c r="AT181" s="39" t="s">
        <v>129</v>
      </c>
      <c r="AU181" s="39">
        <v>34</v>
      </c>
      <c r="AV181" s="39" t="s">
        <v>6395</v>
      </c>
      <c r="AW181" s="39">
        <v>448.88</v>
      </c>
      <c r="AX181" s="39">
        <v>454.42</v>
      </c>
      <c r="AY181" s="39">
        <v>457.83</v>
      </c>
      <c r="AZ181" s="39">
        <v>439.93</v>
      </c>
      <c r="BA181" s="39">
        <v>436.52</v>
      </c>
      <c r="BB181" s="39">
        <v>430.98</v>
      </c>
      <c r="BC181" s="39">
        <v>12</v>
      </c>
      <c r="BD181" s="39">
        <v>4</v>
      </c>
      <c r="BE181" s="39">
        <v>2</v>
      </c>
      <c r="BF181" s="39">
        <v>1</v>
      </c>
      <c r="BG181" s="39">
        <v>141.69999999999999</v>
      </c>
      <c r="BH181" s="39">
        <v>0.3</v>
      </c>
      <c r="BI181" s="39" t="s">
        <v>132</v>
      </c>
    </row>
    <row r="182" spans="1:62" x14ac:dyDescent="0.35">
      <c r="A182" s="39" t="s">
        <v>1107</v>
      </c>
      <c r="B182" s="39" t="str">
        <f>IFERROR(INDEX(added_new_stocks!$F$6:$H$2155,MATCH($A182,added_new_stocks!$F$6:$F$2600,0),3),"")</f>
        <v>Small</v>
      </c>
      <c r="C182" s="39">
        <v>85.44</v>
      </c>
      <c r="D182" s="39">
        <v>68</v>
      </c>
      <c r="G182" s="39" t="s">
        <v>4562</v>
      </c>
      <c r="H182" s="39" t="s">
        <v>7202</v>
      </c>
      <c r="I182" s="39" t="s">
        <v>4624</v>
      </c>
      <c r="J182" s="39" t="s">
        <v>7203</v>
      </c>
      <c r="K182" s="39" t="s">
        <v>4615</v>
      </c>
      <c r="L182" s="39" t="s">
        <v>5008</v>
      </c>
      <c r="M182" s="39" t="s">
        <v>135</v>
      </c>
      <c r="N182" s="39">
        <v>22</v>
      </c>
      <c r="O182" s="39">
        <v>-3</v>
      </c>
      <c r="P182" s="39">
        <v>19</v>
      </c>
      <c r="Q182" s="39" t="s">
        <v>14</v>
      </c>
      <c r="R182" s="39">
        <v>-1.67</v>
      </c>
      <c r="S182" s="39">
        <v>-6.63</v>
      </c>
      <c r="T182" s="39">
        <v>26.32</v>
      </c>
      <c r="U182" s="39">
        <v>54.08</v>
      </c>
      <c r="V182" s="39">
        <v>72.05</v>
      </c>
      <c r="W182" s="39">
        <v>50.69</v>
      </c>
      <c r="X182" s="39">
        <v>170.38</v>
      </c>
      <c r="Y182" s="39">
        <v>136.68</v>
      </c>
      <c r="Z182" s="39">
        <v>335.92</v>
      </c>
      <c r="AA182" s="39">
        <v>105.63</v>
      </c>
      <c r="AB182" s="39">
        <v>54.36</v>
      </c>
      <c r="AC182" s="39">
        <v>-23.11</v>
      </c>
      <c r="AD182" s="39" t="s">
        <v>4606</v>
      </c>
      <c r="AE182" s="39" t="s">
        <v>134</v>
      </c>
      <c r="AF182" s="39">
        <v>2</v>
      </c>
      <c r="AG182" s="42">
        <v>9.1999999999999998E-3</v>
      </c>
      <c r="AH182" s="42">
        <v>71</v>
      </c>
      <c r="AI182" s="42">
        <v>2.18E-2</v>
      </c>
      <c r="AJ182" s="42" t="s">
        <v>7204</v>
      </c>
      <c r="AK182" s="42">
        <v>0.55400000000000005</v>
      </c>
      <c r="AL182" s="39" t="s">
        <v>136</v>
      </c>
      <c r="AM182" s="42">
        <v>1.4200000000000001E-2</v>
      </c>
      <c r="AN182" s="42">
        <v>0.26029999999999998</v>
      </c>
      <c r="AO182" s="41">
        <v>65</v>
      </c>
      <c r="AP182" s="39">
        <v>66</v>
      </c>
      <c r="AQ182" s="39">
        <v>74</v>
      </c>
      <c r="AS182" s="39" t="s">
        <v>4564</v>
      </c>
      <c r="AV182" s="39" t="s">
        <v>6396</v>
      </c>
      <c r="AW182" s="39">
        <v>91.47</v>
      </c>
      <c r="AX182" s="39">
        <v>94.73</v>
      </c>
      <c r="AY182" s="39">
        <v>96.97</v>
      </c>
      <c r="AZ182" s="39">
        <v>85.97</v>
      </c>
      <c r="BA182" s="39">
        <v>83.73</v>
      </c>
      <c r="BB182" s="39">
        <v>80.47</v>
      </c>
      <c r="BC182" s="39">
        <v>3</v>
      </c>
      <c r="BD182" s="39">
        <v>9</v>
      </c>
      <c r="BE182" s="39" t="s">
        <v>130</v>
      </c>
      <c r="BF182" s="39">
        <v>0.46</v>
      </c>
      <c r="BG182" s="39">
        <v>15</v>
      </c>
      <c r="BH182" s="39">
        <v>156.9</v>
      </c>
      <c r="BI182" s="39" t="s">
        <v>131</v>
      </c>
      <c r="BJ182" s="39" t="s">
        <v>4563</v>
      </c>
    </row>
    <row r="183" spans="1:62" x14ac:dyDescent="0.35">
      <c r="A183" s="39" t="s">
        <v>1182</v>
      </c>
      <c r="B183" s="39" t="str">
        <f>IFERROR(INDEX(added_new_stocks!$F$6:$H$2155,MATCH($A183,added_new_stocks!$F$6:$F$2600,0),3),"")</f>
        <v>Small</v>
      </c>
      <c r="C183" s="39">
        <v>115.65</v>
      </c>
      <c r="D183" s="39">
        <v>75</v>
      </c>
      <c r="G183" s="39" t="s">
        <v>129</v>
      </c>
      <c r="H183" s="39" t="s">
        <v>7205</v>
      </c>
      <c r="I183" s="39" t="s">
        <v>4624</v>
      </c>
      <c r="J183" s="39" t="s">
        <v>7206</v>
      </c>
      <c r="K183" s="39" t="s">
        <v>133</v>
      </c>
      <c r="L183" s="39" t="s">
        <v>7207</v>
      </c>
      <c r="M183" s="39" t="s">
        <v>135</v>
      </c>
      <c r="N183" s="39">
        <v>9</v>
      </c>
      <c r="O183" s="39">
        <v>0</v>
      </c>
      <c r="P183" s="39">
        <v>9</v>
      </c>
      <c r="Q183" s="39" t="s">
        <v>14</v>
      </c>
      <c r="R183" s="39">
        <v>0.13</v>
      </c>
      <c r="S183" s="39">
        <v>6.79</v>
      </c>
      <c r="T183" s="39">
        <v>6.49</v>
      </c>
      <c r="U183" s="39">
        <v>16</v>
      </c>
      <c r="V183" s="39">
        <v>14.34</v>
      </c>
      <c r="W183" s="39">
        <v>10.35</v>
      </c>
      <c r="X183" s="39">
        <v>-1.1100000000000001</v>
      </c>
      <c r="Y183" s="39">
        <v>30.16</v>
      </c>
      <c r="Z183" s="39">
        <v>172.44</v>
      </c>
      <c r="AA183" s="39">
        <v>239.65</v>
      </c>
      <c r="AB183" s="39">
        <v>41.04</v>
      </c>
      <c r="AC183" s="39">
        <v>1827.5</v>
      </c>
      <c r="AD183" s="39" t="s">
        <v>4606</v>
      </c>
      <c r="AE183" s="39">
        <v>3.8</v>
      </c>
      <c r="AF183" s="39">
        <v>19</v>
      </c>
      <c r="AG183" s="42">
        <v>0.14069999999999999</v>
      </c>
      <c r="AH183" s="42">
        <v>79</v>
      </c>
      <c r="AI183" s="42">
        <v>3.2800000000000003E-2</v>
      </c>
      <c r="AJ183" s="42" t="s">
        <v>7208</v>
      </c>
      <c r="AK183" s="42">
        <v>0.33850000000000002</v>
      </c>
      <c r="AL183" s="42" t="s">
        <v>7209</v>
      </c>
      <c r="AM183" s="42">
        <v>3.95E-2</v>
      </c>
      <c r="AN183" s="42">
        <v>0.26900000000000002</v>
      </c>
      <c r="AO183" s="41">
        <v>60</v>
      </c>
      <c r="AP183" s="39">
        <v>37</v>
      </c>
      <c r="AQ183" s="39">
        <v>57</v>
      </c>
      <c r="AR183" s="39">
        <v>128</v>
      </c>
      <c r="AS183" s="39">
        <v>18</v>
      </c>
      <c r="AT183" s="39" t="s">
        <v>129</v>
      </c>
      <c r="AU183" s="39">
        <v>5</v>
      </c>
      <c r="AV183" s="39" t="s">
        <v>6397</v>
      </c>
      <c r="AW183" s="39">
        <v>109.77</v>
      </c>
      <c r="AX183" s="39">
        <v>111.03</v>
      </c>
      <c r="AY183" s="39">
        <v>112.62</v>
      </c>
      <c r="AZ183" s="39">
        <v>106.92</v>
      </c>
      <c r="BA183" s="39">
        <v>105.33</v>
      </c>
      <c r="BB183" s="39">
        <v>104.07</v>
      </c>
      <c r="BC183" s="39">
        <v>10</v>
      </c>
      <c r="BD183" s="39">
        <v>3</v>
      </c>
      <c r="BE183" s="39">
        <v>3</v>
      </c>
      <c r="BF183" s="39" t="s">
        <v>130</v>
      </c>
      <c r="BG183" s="39">
        <v>44.3</v>
      </c>
      <c r="BH183" s="39">
        <v>0.4</v>
      </c>
      <c r="BI183" s="39" t="s">
        <v>132</v>
      </c>
      <c r="BJ183" s="39" t="s">
        <v>4563</v>
      </c>
    </row>
    <row r="184" spans="1:62" x14ac:dyDescent="0.35">
      <c r="A184" s="39" t="s">
        <v>1990</v>
      </c>
      <c r="B184" s="39" t="str">
        <f>IFERROR(INDEX(added_new_stocks!$F$6:$H$2155,MATCH($A184,added_new_stocks!$F$6:$F$2600,0),3),"")</f>
        <v>Small</v>
      </c>
      <c r="C184" s="48">
        <v>1475.1</v>
      </c>
      <c r="D184" s="39">
        <v>71</v>
      </c>
      <c r="G184" s="39" t="s">
        <v>129</v>
      </c>
      <c r="H184" s="39" t="s">
        <v>7210</v>
      </c>
      <c r="I184" s="39" t="s">
        <v>4624</v>
      </c>
      <c r="J184" s="39" t="s">
        <v>7211</v>
      </c>
      <c r="K184" s="39" t="s">
        <v>133</v>
      </c>
      <c r="L184" s="39" t="s">
        <v>7212</v>
      </c>
      <c r="M184" s="39" t="s">
        <v>4959</v>
      </c>
      <c r="N184" s="39">
        <v>11</v>
      </c>
      <c r="O184" s="39">
        <v>-1</v>
      </c>
      <c r="P184" s="39">
        <v>10</v>
      </c>
      <c r="Q184" s="39" t="s">
        <v>14</v>
      </c>
      <c r="R184" s="39">
        <v>1.73</v>
      </c>
      <c r="S184" s="39">
        <v>0.73</v>
      </c>
      <c r="T184" s="39">
        <v>19.07</v>
      </c>
      <c r="U184" s="39">
        <v>38.1</v>
      </c>
      <c r="V184" s="39">
        <v>71.8</v>
      </c>
      <c r="W184" s="39">
        <v>77.650000000000006</v>
      </c>
      <c r="X184" s="39">
        <v>96.25</v>
      </c>
      <c r="Y184" s="39">
        <v>209.05</v>
      </c>
      <c r="Z184" s="39">
        <v>808.03</v>
      </c>
      <c r="AA184" s="39">
        <v>1677.23</v>
      </c>
      <c r="AB184" s="39">
        <v>1134.3900000000001</v>
      </c>
      <c r="AC184" s="39" t="s">
        <v>4538</v>
      </c>
      <c r="AD184" s="39" t="s">
        <v>4606</v>
      </c>
      <c r="AE184" s="39" t="s">
        <v>134</v>
      </c>
      <c r="AF184" s="39">
        <v>1</v>
      </c>
      <c r="AG184" s="42">
        <v>3.4299999999999997E-2</v>
      </c>
      <c r="AH184" s="42">
        <v>3</v>
      </c>
      <c r="AI184" s="42">
        <v>1.21E-2</v>
      </c>
      <c r="AJ184" s="42" t="s">
        <v>7213</v>
      </c>
      <c r="AK184" s="42">
        <v>0.1174</v>
      </c>
      <c r="AL184" s="42" t="s">
        <v>7214</v>
      </c>
      <c r="AM184" s="42">
        <v>6.59E-2</v>
      </c>
      <c r="AN184" s="42">
        <v>0.29330000000000001</v>
      </c>
      <c r="AO184" s="41">
        <v>65</v>
      </c>
      <c r="AP184" s="39">
        <v>25</v>
      </c>
      <c r="AQ184" s="39">
        <v>73</v>
      </c>
      <c r="AS184" s="39" t="s">
        <v>4564</v>
      </c>
      <c r="AW184" s="39">
        <v>1504.12</v>
      </c>
      <c r="AX184" s="39">
        <v>1530.58</v>
      </c>
      <c r="AY184" s="39">
        <v>1566.17</v>
      </c>
      <c r="AZ184" s="39">
        <v>1442.07</v>
      </c>
      <c r="BA184" s="39">
        <v>1406.48</v>
      </c>
      <c r="BB184" s="39">
        <v>1380.02</v>
      </c>
      <c r="BC184" s="39">
        <v>3</v>
      </c>
      <c r="BD184" s="39">
        <v>5</v>
      </c>
      <c r="BE184" s="39" t="s">
        <v>130</v>
      </c>
      <c r="BF184" s="39">
        <v>1.65</v>
      </c>
      <c r="BG184" s="39">
        <v>8</v>
      </c>
      <c r="BH184" s="39">
        <v>441.3</v>
      </c>
      <c r="BI184" s="39" t="s">
        <v>4563</v>
      </c>
      <c r="BJ184" s="39" t="s">
        <v>131</v>
      </c>
    </row>
    <row r="185" spans="1:62" x14ac:dyDescent="0.35">
      <c r="A185" s="39" t="s">
        <v>654</v>
      </c>
      <c r="B185" s="39" t="str">
        <f>IFERROR(INDEX(added_new_stocks!$F$6:$H$2155,MATCH($A185,added_new_stocks!$F$6:$F$2600,0),3),"")</f>
        <v>Mid</v>
      </c>
      <c r="C185" s="48">
        <v>2744.5</v>
      </c>
      <c r="D185" s="48">
        <v>78</v>
      </c>
      <c r="E185" s="39" t="s">
        <v>4987</v>
      </c>
      <c r="F185" s="39" t="s">
        <v>7215</v>
      </c>
      <c r="G185" s="39" t="s">
        <v>129</v>
      </c>
      <c r="H185" s="39" t="s">
        <v>5362</v>
      </c>
      <c r="I185" s="39" t="s">
        <v>4624</v>
      </c>
      <c r="J185" s="39" t="s">
        <v>5363</v>
      </c>
      <c r="K185" s="39" t="s">
        <v>4957</v>
      </c>
      <c r="L185" s="39" t="s">
        <v>7216</v>
      </c>
      <c r="M185" s="39" t="s">
        <v>4959</v>
      </c>
      <c r="N185" s="39">
        <v>20</v>
      </c>
      <c r="O185" s="39">
        <v>-12</v>
      </c>
      <c r="P185" s="39">
        <v>8</v>
      </c>
      <c r="Q185" s="39" t="s">
        <v>14</v>
      </c>
      <c r="R185" s="39">
        <v>-3.74</v>
      </c>
      <c r="S185" s="39">
        <v>-2.4700000000000002</v>
      </c>
      <c r="T185" s="39">
        <v>13.71</v>
      </c>
      <c r="U185" s="39">
        <v>29.63</v>
      </c>
      <c r="V185" s="39">
        <v>38.979999999999997</v>
      </c>
      <c r="W185" s="39">
        <v>41.23</v>
      </c>
      <c r="X185" s="39">
        <v>54.72</v>
      </c>
      <c r="Y185" s="39">
        <v>61.37</v>
      </c>
      <c r="Z185" s="39">
        <v>243.32</v>
      </c>
      <c r="AA185" s="39">
        <v>618.16999999999996</v>
      </c>
      <c r="AB185" s="39">
        <v>714.15</v>
      </c>
      <c r="AC185" s="39">
        <v>3220.63</v>
      </c>
      <c r="AD185" s="39" t="s">
        <v>4606</v>
      </c>
      <c r="AE185" s="39" t="s">
        <v>134</v>
      </c>
      <c r="AF185" s="39">
        <v>31</v>
      </c>
      <c r="AG185" s="42">
        <v>0.15570000000000001</v>
      </c>
      <c r="AH185" s="42">
        <v>162</v>
      </c>
      <c r="AI185" s="42">
        <v>9.5399999999999999E-2</v>
      </c>
      <c r="AJ185" s="42" t="s">
        <v>5365</v>
      </c>
      <c r="AK185" s="42">
        <v>0.53910000000000002</v>
      </c>
      <c r="AL185" s="42" t="s">
        <v>5366</v>
      </c>
      <c r="AM185" s="42">
        <v>3.3599999999999998E-2</v>
      </c>
      <c r="AN185" s="42">
        <v>0.15659999999999999</v>
      </c>
      <c r="AO185" s="41">
        <v>40</v>
      </c>
      <c r="AP185" s="39">
        <v>15</v>
      </c>
      <c r="AQ185" s="39">
        <v>71</v>
      </c>
      <c r="AR185" s="45">
        <v>2844</v>
      </c>
      <c r="AS185" s="39">
        <v>0</v>
      </c>
      <c r="AT185" s="39" t="s">
        <v>129</v>
      </c>
      <c r="AU185" s="39">
        <v>12</v>
      </c>
      <c r="AV185" s="39" t="s">
        <v>6398</v>
      </c>
      <c r="AW185" s="39">
        <v>2891.27</v>
      </c>
      <c r="AX185" s="39">
        <v>2940.63</v>
      </c>
      <c r="AY185" s="39">
        <v>3021.27</v>
      </c>
      <c r="AZ185" s="39">
        <v>2761.27</v>
      </c>
      <c r="BA185" s="39">
        <v>2680.63</v>
      </c>
      <c r="BB185" s="39">
        <v>2631.27</v>
      </c>
      <c r="BC185" s="39">
        <v>10</v>
      </c>
      <c r="BD185" s="39">
        <v>5</v>
      </c>
      <c r="BE185" s="39">
        <v>6</v>
      </c>
      <c r="BF185" s="39" t="s">
        <v>130</v>
      </c>
      <c r="BG185" s="39">
        <v>645.1</v>
      </c>
      <c r="BH185" s="39">
        <v>0.2</v>
      </c>
      <c r="BI185" s="39" t="s">
        <v>131</v>
      </c>
      <c r="BJ185" s="39" t="s">
        <v>132</v>
      </c>
    </row>
    <row r="186" spans="1:62" x14ac:dyDescent="0.35">
      <c r="A186" s="39" t="s">
        <v>329</v>
      </c>
      <c r="B186" s="39" t="str">
        <f>IFERROR(INDEX(added_new_stocks!$F$6:$H$2155,MATCH($A186,added_new_stocks!$F$6:$F$2600,0),3),"")</f>
        <v>Large</v>
      </c>
      <c r="C186" s="39">
        <v>674.05</v>
      </c>
      <c r="D186" s="48">
        <v>78</v>
      </c>
      <c r="E186" s="39" t="s">
        <v>4987</v>
      </c>
      <c r="F186" s="39" t="s">
        <v>7217</v>
      </c>
      <c r="G186" s="39" t="s">
        <v>129</v>
      </c>
      <c r="H186" s="39" t="s">
        <v>5367</v>
      </c>
      <c r="I186" s="39" t="s">
        <v>4624</v>
      </c>
      <c r="J186" s="39" t="s">
        <v>5368</v>
      </c>
      <c r="K186" s="39" t="s">
        <v>133</v>
      </c>
      <c r="L186" s="39" t="s">
        <v>5369</v>
      </c>
      <c r="M186" s="39" t="s">
        <v>5047</v>
      </c>
      <c r="N186" s="39">
        <v>11</v>
      </c>
      <c r="O186" s="39">
        <v>-4</v>
      </c>
      <c r="P186" s="39">
        <v>7</v>
      </c>
      <c r="Q186" s="39" t="s">
        <v>14</v>
      </c>
      <c r="R186" s="39">
        <v>-0.3</v>
      </c>
      <c r="S186" s="39">
        <v>2.16</v>
      </c>
      <c r="T186" s="39">
        <v>1.39</v>
      </c>
      <c r="U186" s="39">
        <v>28.92</v>
      </c>
      <c r="V186" s="39">
        <v>16.89</v>
      </c>
      <c r="W186" s="39">
        <v>16.09</v>
      </c>
      <c r="X186" s="39">
        <v>55.54</v>
      </c>
      <c r="Y186" s="39">
        <v>76.569999999999993</v>
      </c>
      <c r="Z186" s="39">
        <v>211.7</v>
      </c>
      <c r="AA186" s="39">
        <v>597.77</v>
      </c>
      <c r="AB186" s="39">
        <v>202.67</v>
      </c>
      <c r="AC186" s="39">
        <v>203.76</v>
      </c>
      <c r="AD186" s="39" t="s">
        <v>4606</v>
      </c>
      <c r="AE186" s="39">
        <v>34.26</v>
      </c>
      <c r="AF186" s="39">
        <v>33</v>
      </c>
      <c r="AG186" s="42">
        <v>0.1152</v>
      </c>
      <c r="AH186" s="42">
        <v>453</v>
      </c>
      <c r="AI186" s="42">
        <v>0.12720000000000001</v>
      </c>
      <c r="AJ186" s="42" t="s">
        <v>5370</v>
      </c>
      <c r="AK186" s="42">
        <v>0.1847</v>
      </c>
      <c r="AL186" s="42" t="s">
        <v>5139</v>
      </c>
      <c r="AM186" s="42">
        <v>3.7999999999999999E-2</v>
      </c>
      <c r="AN186" s="42">
        <v>6.25E-2</v>
      </c>
      <c r="AO186" s="41">
        <v>55</v>
      </c>
      <c r="AP186" s="39">
        <v>50</v>
      </c>
      <c r="AQ186" s="39">
        <v>58</v>
      </c>
      <c r="AR186" s="39">
        <v>723</v>
      </c>
      <c r="AS186" s="39">
        <v>14</v>
      </c>
      <c r="AT186" s="39" t="s">
        <v>4562</v>
      </c>
      <c r="AU186" s="39">
        <v>22</v>
      </c>
      <c r="AV186" s="39" t="s">
        <v>6399</v>
      </c>
      <c r="AW186" s="39">
        <v>642.57000000000005</v>
      </c>
      <c r="AX186" s="39">
        <v>650.73</v>
      </c>
      <c r="AY186" s="39">
        <v>655.52</v>
      </c>
      <c r="AZ186" s="39">
        <v>629.62</v>
      </c>
      <c r="BA186" s="39">
        <v>624.83000000000004</v>
      </c>
      <c r="BB186" s="39">
        <v>616.66999999999996</v>
      </c>
      <c r="BC186" s="39">
        <v>6</v>
      </c>
      <c r="BD186" s="39">
        <v>7</v>
      </c>
      <c r="BE186" s="39">
        <v>4</v>
      </c>
      <c r="BF186" s="39" t="s">
        <v>130</v>
      </c>
      <c r="BG186" s="39">
        <v>495.6</v>
      </c>
      <c r="BH186" s="39">
        <v>0.8</v>
      </c>
      <c r="BI186" s="39" t="s">
        <v>4565</v>
      </c>
      <c r="BJ186" s="39" t="s">
        <v>4563</v>
      </c>
    </row>
    <row r="187" spans="1:62" x14ac:dyDescent="0.35">
      <c r="A187" s="39" t="s">
        <v>541</v>
      </c>
      <c r="B187" s="39" t="str">
        <f>IFERROR(INDEX(added_new_stocks!$F$6:$H$2155,MATCH($A187,added_new_stocks!$F$6:$F$2600,0),3),"")</f>
        <v>Large</v>
      </c>
      <c r="C187" s="48">
        <v>3290.4</v>
      </c>
      <c r="D187" s="39">
        <v>51</v>
      </c>
      <c r="G187" s="39" t="s">
        <v>4562</v>
      </c>
      <c r="H187" s="39" t="s">
        <v>7218</v>
      </c>
      <c r="I187" s="39" t="s">
        <v>4624</v>
      </c>
      <c r="J187" s="39" t="s">
        <v>7219</v>
      </c>
      <c r="K187" s="39" t="s">
        <v>4615</v>
      </c>
      <c r="L187" s="39" t="s">
        <v>7220</v>
      </c>
      <c r="M187" s="39" t="s">
        <v>4620</v>
      </c>
      <c r="N187" s="39">
        <v>4</v>
      </c>
      <c r="O187" s="39">
        <v>-20</v>
      </c>
      <c r="P187" s="39">
        <v>-16</v>
      </c>
      <c r="Q187" s="39" t="s">
        <v>4605</v>
      </c>
      <c r="R187" s="39">
        <v>3.06</v>
      </c>
      <c r="S187" s="39">
        <v>6.38</v>
      </c>
      <c r="T187" s="39">
        <v>1.29</v>
      </c>
      <c r="U187" s="39">
        <v>3.57</v>
      </c>
      <c r="V187" s="39">
        <v>14.53</v>
      </c>
      <c r="W187" s="39">
        <v>12.68</v>
      </c>
      <c r="X187" s="39">
        <v>21.18</v>
      </c>
      <c r="Y187" s="39">
        <v>4.7</v>
      </c>
      <c r="Z187" s="39">
        <v>119.2</v>
      </c>
      <c r="AA187" s="39">
        <v>219.29</v>
      </c>
      <c r="AB187" s="39">
        <v>307.91000000000003</v>
      </c>
      <c r="AC187" s="39">
        <v>1758.46</v>
      </c>
      <c r="AD187" s="39" t="s">
        <v>4606</v>
      </c>
      <c r="AE187" s="39" t="s">
        <v>134</v>
      </c>
      <c r="AF187" s="39">
        <v>29</v>
      </c>
      <c r="AG187" s="42">
        <v>0.21890000000000001</v>
      </c>
      <c r="AH187" s="42">
        <v>144</v>
      </c>
      <c r="AI187" s="42">
        <v>0.15479999999999999</v>
      </c>
      <c r="AJ187" s="42" t="s">
        <v>5374</v>
      </c>
      <c r="AK187" s="42">
        <v>0.40189999999999998</v>
      </c>
      <c r="AL187" s="42" t="s">
        <v>5375</v>
      </c>
      <c r="AM187" s="42">
        <v>5.0099999999999999E-2</v>
      </c>
      <c r="AN187" s="42">
        <v>3.32E-2</v>
      </c>
      <c r="AO187" s="41">
        <v>55</v>
      </c>
      <c r="AP187" s="39">
        <v>25</v>
      </c>
      <c r="AQ187" s="39">
        <v>48</v>
      </c>
      <c r="AR187" s="45">
        <v>3345</v>
      </c>
      <c r="AS187" s="39">
        <v>5</v>
      </c>
      <c r="AT187" s="39" t="s">
        <v>4562</v>
      </c>
      <c r="AU187" s="39">
        <v>22</v>
      </c>
      <c r="AV187" s="39" t="s">
        <v>6400</v>
      </c>
      <c r="AW187" s="39">
        <v>3207.6</v>
      </c>
      <c r="AX187" s="39">
        <v>3239.2</v>
      </c>
      <c r="AY187" s="39">
        <v>3290.5</v>
      </c>
      <c r="AZ187" s="39">
        <v>3124.7</v>
      </c>
      <c r="BA187" s="39">
        <v>3073.4</v>
      </c>
      <c r="BB187" s="39">
        <v>3041.8</v>
      </c>
      <c r="BC187" s="39">
        <v>5</v>
      </c>
      <c r="BD187" s="39">
        <v>6</v>
      </c>
      <c r="BE187" s="39">
        <v>4</v>
      </c>
      <c r="BF187" s="39" t="s">
        <v>130</v>
      </c>
      <c r="BG187" s="39">
        <v>813.5</v>
      </c>
      <c r="BH187" s="39">
        <v>0.3</v>
      </c>
      <c r="BI187" s="39" t="s">
        <v>4563</v>
      </c>
      <c r="BJ187" s="39" t="s">
        <v>132</v>
      </c>
    </row>
    <row r="188" spans="1:62" x14ac:dyDescent="0.35">
      <c r="A188" s="39" t="s">
        <v>816</v>
      </c>
      <c r="B188" s="39" t="str">
        <f>IFERROR(INDEX(added_new_stocks!$F$6:$H$2155,MATCH($A188,added_new_stocks!$F$6:$F$2600,0),3),"")</f>
        <v>Mid</v>
      </c>
      <c r="C188" s="39">
        <v>657.95</v>
      </c>
      <c r="D188" s="48">
        <v>38</v>
      </c>
      <c r="G188" s="39" t="s">
        <v>4625</v>
      </c>
      <c r="H188" s="39" t="s">
        <v>7221</v>
      </c>
      <c r="I188" s="39" t="s">
        <v>4976</v>
      </c>
      <c r="J188" s="39" t="s">
        <v>7222</v>
      </c>
      <c r="K188" s="39" t="s">
        <v>133</v>
      </c>
      <c r="L188" s="39" t="s">
        <v>7223</v>
      </c>
      <c r="M188" s="39" t="s">
        <v>135</v>
      </c>
      <c r="N188" s="39">
        <v>1</v>
      </c>
      <c r="O188" s="39">
        <v>-12</v>
      </c>
      <c r="P188" s="39">
        <v>-11</v>
      </c>
      <c r="Q188" s="39" t="s">
        <v>4605</v>
      </c>
      <c r="R188" s="39">
        <v>0.89</v>
      </c>
      <c r="S188" s="39">
        <v>-1.42</v>
      </c>
      <c r="T188" s="39">
        <v>6.39</v>
      </c>
      <c r="U188" s="39">
        <v>-3.81</v>
      </c>
      <c r="V188" s="39">
        <v>-5.89</v>
      </c>
      <c r="W188" s="39">
        <v>-19.670000000000002</v>
      </c>
      <c r="X188" s="39">
        <v>39.6</v>
      </c>
      <c r="Y188" s="39">
        <v>-7.04</v>
      </c>
      <c r="Z188" s="39">
        <v>138.72999999999999</v>
      </c>
      <c r="AA188" s="39">
        <v>102.14</v>
      </c>
      <c r="AB188" s="39">
        <v>103.89</v>
      </c>
      <c r="AC188" s="39">
        <v>1056.33</v>
      </c>
      <c r="AD188" s="39" t="s">
        <v>4606</v>
      </c>
      <c r="AE188" s="39" t="s">
        <v>134</v>
      </c>
      <c r="AF188" s="39">
        <v>25</v>
      </c>
      <c r="AG188" s="42">
        <v>0.22969999999999999</v>
      </c>
      <c r="AH188" s="42">
        <v>119</v>
      </c>
      <c r="AI188" s="42">
        <v>0.115</v>
      </c>
      <c r="AJ188" s="42" t="s">
        <v>7224</v>
      </c>
      <c r="AK188" s="42">
        <v>0.44280000000000003</v>
      </c>
      <c r="AL188" s="42" t="s">
        <v>7225</v>
      </c>
      <c r="AM188" s="42">
        <v>6.2399999999999997E-2</v>
      </c>
      <c r="AN188" s="42">
        <v>0.1069</v>
      </c>
      <c r="AO188" s="41">
        <v>65</v>
      </c>
      <c r="AP188" s="39">
        <v>44</v>
      </c>
      <c r="AQ188" s="39">
        <v>39</v>
      </c>
      <c r="AR188" s="39">
        <v>770</v>
      </c>
      <c r="AS188" s="39">
        <v>17</v>
      </c>
      <c r="AT188" s="39" t="s">
        <v>4562</v>
      </c>
      <c r="AU188" s="39">
        <v>15</v>
      </c>
      <c r="AV188" s="39" t="s">
        <v>6401</v>
      </c>
      <c r="AW188" s="39">
        <v>668.88</v>
      </c>
      <c r="AX188" s="39">
        <v>678.87</v>
      </c>
      <c r="AY188" s="39">
        <v>686.78</v>
      </c>
      <c r="AZ188" s="39">
        <v>650.98</v>
      </c>
      <c r="BA188" s="39">
        <v>643.07000000000005</v>
      </c>
      <c r="BB188" s="39">
        <v>633.08000000000004</v>
      </c>
      <c r="BC188" s="39">
        <v>3</v>
      </c>
      <c r="BD188" s="39">
        <v>8</v>
      </c>
      <c r="BE188" s="39">
        <v>2</v>
      </c>
      <c r="BF188" s="39" t="s">
        <v>130</v>
      </c>
      <c r="BG188" s="39">
        <v>387.8</v>
      </c>
      <c r="BH188" s="39">
        <v>0.6</v>
      </c>
      <c r="BI188" s="39" t="s">
        <v>4563</v>
      </c>
      <c r="BJ188" s="39" t="s">
        <v>4563</v>
      </c>
    </row>
    <row r="189" spans="1:62" x14ac:dyDescent="0.35">
      <c r="A189" s="39" t="s">
        <v>1001</v>
      </c>
      <c r="B189" s="39" t="str">
        <f>IFERROR(INDEX(added_new_stocks!$F$6:$H$2155,MATCH($A189,added_new_stocks!$F$6:$F$2600,0),3),"")</f>
        <v>Mid</v>
      </c>
      <c r="C189" s="39">
        <v>76.87</v>
      </c>
      <c r="D189" s="39">
        <v>60</v>
      </c>
      <c r="G189" s="39" t="s">
        <v>4562</v>
      </c>
      <c r="H189" s="39" t="s">
        <v>5376</v>
      </c>
      <c r="I189" s="39" t="s">
        <v>4624</v>
      </c>
      <c r="J189" s="39" t="s">
        <v>5377</v>
      </c>
      <c r="K189" s="39" t="s">
        <v>4615</v>
      </c>
      <c r="L189" s="39" t="s">
        <v>7226</v>
      </c>
      <c r="M189" s="39" t="s">
        <v>4620</v>
      </c>
      <c r="N189" s="39">
        <v>3</v>
      </c>
      <c r="O189" s="39">
        <v>-6</v>
      </c>
      <c r="P189" s="39">
        <v>-3</v>
      </c>
      <c r="Q189" s="39" t="s">
        <v>4611</v>
      </c>
      <c r="R189" s="39">
        <v>0.12</v>
      </c>
      <c r="S189" s="39">
        <v>-1.2</v>
      </c>
      <c r="T189" s="39">
        <v>0.12</v>
      </c>
      <c r="U189" s="39">
        <v>11.88</v>
      </c>
      <c r="V189" s="39">
        <v>18.98</v>
      </c>
      <c r="W189" s="39">
        <v>7.29</v>
      </c>
      <c r="X189" s="39">
        <v>19.920000000000002</v>
      </c>
      <c r="Y189" s="39">
        <v>-16.309999999999999</v>
      </c>
      <c r="Z189" s="39">
        <v>-5.62</v>
      </c>
      <c r="AA189" s="39">
        <v>4.7300000000000004</v>
      </c>
      <c r="AB189" s="39">
        <v>-36.26</v>
      </c>
      <c r="AC189" s="39">
        <v>301.41000000000003</v>
      </c>
      <c r="AD189" s="39" t="s">
        <v>4606</v>
      </c>
      <c r="AE189" s="39" t="s">
        <v>134</v>
      </c>
      <c r="AF189" s="39">
        <v>9</v>
      </c>
      <c r="AG189" s="42">
        <v>7.46E-2</v>
      </c>
      <c r="AH189" s="42">
        <v>111</v>
      </c>
      <c r="AI189" s="42">
        <v>0.2072</v>
      </c>
      <c r="AJ189" s="42" t="s">
        <v>5379</v>
      </c>
      <c r="AK189" s="42">
        <v>0.2389</v>
      </c>
      <c r="AL189" s="42" t="s">
        <v>5380</v>
      </c>
      <c r="AM189" s="39" t="s">
        <v>5381</v>
      </c>
      <c r="AN189" s="42">
        <v>0.1169</v>
      </c>
      <c r="AO189" s="41">
        <v>25</v>
      </c>
      <c r="AP189" s="39">
        <v>50</v>
      </c>
      <c r="AQ189" s="39">
        <v>64</v>
      </c>
      <c r="AR189" s="39">
        <v>109</v>
      </c>
      <c r="AS189" s="39">
        <v>42</v>
      </c>
      <c r="AT189" s="39" t="s">
        <v>4633</v>
      </c>
      <c r="AU189" s="39">
        <v>1</v>
      </c>
      <c r="AV189" s="39" t="s">
        <v>6402</v>
      </c>
      <c r="AW189" s="39">
        <v>78.599999999999994</v>
      </c>
      <c r="AX189" s="39">
        <v>80.3</v>
      </c>
      <c r="AY189" s="39">
        <v>82.4</v>
      </c>
      <c r="AZ189" s="39">
        <v>74.8</v>
      </c>
      <c r="BA189" s="39">
        <v>72.7</v>
      </c>
      <c r="BB189" s="39">
        <v>71</v>
      </c>
      <c r="BC189" s="39">
        <v>4</v>
      </c>
      <c r="BD189" s="39">
        <v>4</v>
      </c>
      <c r="BE189" s="39">
        <v>4</v>
      </c>
      <c r="BF189" s="39" t="s">
        <v>130</v>
      </c>
      <c r="BG189" s="39">
        <v>128.4</v>
      </c>
      <c r="BH189" s="39">
        <v>1.7</v>
      </c>
      <c r="BI189" s="39" t="s">
        <v>132</v>
      </c>
      <c r="BJ189" s="39" t="s">
        <v>4563</v>
      </c>
    </row>
    <row r="190" spans="1:62" x14ac:dyDescent="0.35">
      <c r="A190" s="39" t="s">
        <v>657</v>
      </c>
      <c r="B190" s="39" t="str">
        <f>IFERROR(INDEX(added_new_stocks!$F$6:$H$2155,MATCH($A190,added_new_stocks!$F$6:$F$2600,0),3),"")</f>
        <v>Mid</v>
      </c>
      <c r="C190" s="39">
        <v>442</v>
      </c>
      <c r="D190" s="39">
        <v>65</v>
      </c>
      <c r="G190" s="39" t="s">
        <v>4562</v>
      </c>
      <c r="H190" s="39" t="s">
        <v>7227</v>
      </c>
      <c r="I190" s="39" t="s">
        <v>4624</v>
      </c>
      <c r="J190" s="39" t="s">
        <v>7228</v>
      </c>
      <c r="K190" s="39" t="s">
        <v>4615</v>
      </c>
      <c r="L190" s="39" t="s">
        <v>7229</v>
      </c>
      <c r="M190" s="39" t="s">
        <v>4620</v>
      </c>
      <c r="N190" s="39">
        <v>17</v>
      </c>
      <c r="O190" s="39">
        <v>-5</v>
      </c>
      <c r="P190" s="39">
        <v>12</v>
      </c>
      <c r="Q190" s="39" t="s">
        <v>14</v>
      </c>
      <c r="R190" s="39">
        <v>2.09</v>
      </c>
      <c r="S190" s="39">
        <v>2.4900000000000002</v>
      </c>
      <c r="T190" s="39">
        <v>12.05</v>
      </c>
      <c r="U190" s="39">
        <v>56.32</v>
      </c>
      <c r="V190" s="39">
        <v>58.76</v>
      </c>
      <c r="W190" s="39">
        <v>84.82</v>
      </c>
      <c r="X190" s="39">
        <v>245.45</v>
      </c>
      <c r="Y190" s="39">
        <v>192.62</v>
      </c>
      <c r="Z190" s="39">
        <v>834.46</v>
      </c>
      <c r="AA190" s="39">
        <v>1323.51</v>
      </c>
      <c r="AB190" s="39">
        <v>542.44000000000005</v>
      </c>
      <c r="AC190" s="39">
        <v>1046.56</v>
      </c>
      <c r="AD190" s="39" t="s">
        <v>4606</v>
      </c>
      <c r="AE190" s="39">
        <v>77.540000000000006</v>
      </c>
      <c r="AF190" s="39">
        <v>30</v>
      </c>
      <c r="AG190" s="42">
        <v>2.9899999999999999E-2</v>
      </c>
      <c r="AH190" s="42">
        <v>172</v>
      </c>
      <c r="AI190" s="42">
        <v>0.222</v>
      </c>
      <c r="AJ190" s="42" t="s">
        <v>7230</v>
      </c>
      <c r="AK190" s="42">
        <v>0.151</v>
      </c>
      <c r="AL190" s="42" t="s">
        <v>7231</v>
      </c>
      <c r="AM190" s="42">
        <v>6.7100000000000007E-2</v>
      </c>
      <c r="AN190" s="42">
        <v>8.9599999999999999E-2</v>
      </c>
      <c r="AO190" s="41">
        <v>50</v>
      </c>
      <c r="AP190" s="39">
        <v>43</v>
      </c>
      <c r="AQ190" s="39">
        <v>73</v>
      </c>
      <c r="AR190" s="39">
        <v>430</v>
      </c>
      <c r="AS190" s="39">
        <v>2</v>
      </c>
      <c r="AT190" s="39" t="s">
        <v>129</v>
      </c>
      <c r="AU190" s="39">
        <v>7</v>
      </c>
      <c r="AV190" s="39" t="s">
        <v>6403</v>
      </c>
      <c r="AW190" s="39">
        <v>431.47</v>
      </c>
      <c r="AX190" s="39">
        <v>440.58</v>
      </c>
      <c r="AY190" s="39">
        <v>446.32</v>
      </c>
      <c r="AZ190" s="39">
        <v>416.62</v>
      </c>
      <c r="BA190" s="39">
        <v>410.88</v>
      </c>
      <c r="BB190" s="39">
        <v>401.77</v>
      </c>
      <c r="BC190" s="39">
        <v>11</v>
      </c>
      <c r="BD190" s="39">
        <v>5</v>
      </c>
      <c r="BE190" s="39">
        <v>7</v>
      </c>
      <c r="BF190" s="39" t="s">
        <v>130</v>
      </c>
      <c r="BG190" s="39">
        <v>280.8</v>
      </c>
      <c r="BH190" s="39">
        <v>0.7</v>
      </c>
      <c r="BI190" s="39" t="s">
        <v>4565</v>
      </c>
      <c r="BJ190" s="39" t="s">
        <v>4563</v>
      </c>
    </row>
    <row r="191" spans="1:62" x14ac:dyDescent="0.35">
      <c r="A191" s="39" t="s">
        <v>1397</v>
      </c>
      <c r="B191" s="39" t="str">
        <f>IFERROR(INDEX(added_new_stocks!$F$6:$H$2155,MATCH($A191,added_new_stocks!$F$6:$F$2600,0),3),"")</f>
        <v>Small</v>
      </c>
      <c r="C191" s="39">
        <v>135.85</v>
      </c>
      <c r="D191" s="39">
        <v>57</v>
      </c>
      <c r="G191" s="39" t="s">
        <v>4562</v>
      </c>
      <c r="H191" s="39" t="s">
        <v>7232</v>
      </c>
      <c r="I191" s="39" t="s">
        <v>4989</v>
      </c>
      <c r="J191" s="39" t="s">
        <v>7233</v>
      </c>
      <c r="K191" s="39" t="s">
        <v>133</v>
      </c>
      <c r="L191" s="39" t="s">
        <v>7234</v>
      </c>
      <c r="M191" s="39" t="s">
        <v>5047</v>
      </c>
      <c r="N191" s="39">
        <v>0</v>
      </c>
      <c r="O191" s="39">
        <v>-10</v>
      </c>
      <c r="P191" s="39">
        <v>-10</v>
      </c>
      <c r="Q191" s="39" t="s">
        <v>4605</v>
      </c>
      <c r="R191" s="39">
        <v>-1.7</v>
      </c>
      <c r="S191" s="39">
        <v>-1.63</v>
      </c>
      <c r="T191" s="39">
        <v>-10.89</v>
      </c>
      <c r="U191" s="39">
        <v>8.64</v>
      </c>
      <c r="V191" s="39">
        <v>26.25</v>
      </c>
      <c r="W191" s="39">
        <v>-9.9700000000000006</v>
      </c>
      <c r="X191" s="39">
        <v>50.11</v>
      </c>
      <c r="Y191" s="39">
        <v>29.07</v>
      </c>
      <c r="Z191" s="39">
        <v>61.92</v>
      </c>
      <c r="AA191" s="39">
        <v>73.39</v>
      </c>
      <c r="AB191" s="39">
        <v>2.88</v>
      </c>
      <c r="AC191" s="39">
        <v>1383.08</v>
      </c>
      <c r="AD191" s="39" t="s">
        <v>4606</v>
      </c>
      <c r="AE191" s="39" t="s">
        <v>134</v>
      </c>
      <c r="AF191" s="39">
        <v>5</v>
      </c>
      <c r="AG191" s="42">
        <v>7.2300000000000003E-2</v>
      </c>
      <c r="AH191" s="42">
        <v>21</v>
      </c>
      <c r="AI191" s="42">
        <v>3.2000000000000002E-3</v>
      </c>
      <c r="AJ191" s="42" t="s">
        <v>7235</v>
      </c>
      <c r="AK191" s="42">
        <v>0.68330000000000002</v>
      </c>
      <c r="AL191" s="42" t="s">
        <v>5583</v>
      </c>
      <c r="AM191" s="42">
        <v>5.8999999999999997E-2</v>
      </c>
      <c r="AN191" s="42">
        <v>0.1343</v>
      </c>
      <c r="AO191" s="41">
        <v>90</v>
      </c>
      <c r="AP191" s="39">
        <v>34</v>
      </c>
      <c r="AQ191" s="39">
        <v>52</v>
      </c>
      <c r="AR191" s="39">
        <v>148</v>
      </c>
      <c r="AS191" s="39">
        <v>10</v>
      </c>
      <c r="AT191" s="39" t="s">
        <v>4633</v>
      </c>
      <c r="AU191" s="39">
        <v>1</v>
      </c>
      <c r="AV191" s="39" t="s">
        <v>6404</v>
      </c>
      <c r="AW191" s="39">
        <v>136.55000000000001</v>
      </c>
      <c r="AX191" s="39">
        <v>138.55000000000001</v>
      </c>
      <c r="AY191" s="39">
        <v>141.15</v>
      </c>
      <c r="AZ191" s="39">
        <v>131.94999999999999</v>
      </c>
      <c r="BA191" s="39">
        <v>129.35</v>
      </c>
      <c r="BB191" s="39">
        <v>127.35</v>
      </c>
      <c r="BC191" s="39">
        <v>3</v>
      </c>
      <c r="BD191" s="39">
        <v>2</v>
      </c>
      <c r="BE191" s="39" t="s">
        <v>130</v>
      </c>
      <c r="BF191" s="39">
        <v>1.85</v>
      </c>
      <c r="BG191" s="39">
        <v>10</v>
      </c>
      <c r="BH191" s="39">
        <v>48.2</v>
      </c>
      <c r="BI191" s="39" t="s">
        <v>4565</v>
      </c>
      <c r="BJ191" s="39" t="s">
        <v>132</v>
      </c>
    </row>
    <row r="192" spans="1:62" x14ac:dyDescent="0.35">
      <c r="A192" s="39" t="s">
        <v>483</v>
      </c>
      <c r="B192" s="39" t="str">
        <f>IFERROR(INDEX(added_new_stocks!$F$6:$H$2155,MATCH($A192,added_new_stocks!$F$6:$F$2600,0),3),"")</f>
        <v>Large</v>
      </c>
      <c r="C192" s="39">
        <v>507.75</v>
      </c>
      <c r="D192" s="39">
        <v>51</v>
      </c>
      <c r="G192" s="39" t="s">
        <v>4562</v>
      </c>
      <c r="H192" s="39" t="s">
        <v>7236</v>
      </c>
      <c r="I192" s="39" t="s">
        <v>4989</v>
      </c>
      <c r="J192" s="39" t="s">
        <v>7237</v>
      </c>
      <c r="K192" s="39" t="s">
        <v>133</v>
      </c>
      <c r="L192" s="39" t="s">
        <v>7238</v>
      </c>
      <c r="M192" s="39" t="s">
        <v>4620</v>
      </c>
      <c r="N192" s="39">
        <v>2</v>
      </c>
      <c r="O192" s="39">
        <v>-14</v>
      </c>
      <c r="P192" s="39">
        <v>-12</v>
      </c>
      <c r="Q192" s="39" t="s">
        <v>4605</v>
      </c>
      <c r="R192" s="39">
        <v>4.5199999999999996</v>
      </c>
      <c r="S192" s="39">
        <v>3.01</v>
      </c>
      <c r="T192" s="39">
        <v>6.36</v>
      </c>
      <c r="U192" s="39">
        <v>4.12</v>
      </c>
      <c r="V192" s="39">
        <v>15.1</v>
      </c>
      <c r="W192" s="39">
        <v>-0.63</v>
      </c>
      <c r="X192" s="39">
        <v>-17.62</v>
      </c>
      <c r="Y192" s="39">
        <v>-35.03</v>
      </c>
      <c r="Z192" s="39">
        <v>16.989999999999998</v>
      </c>
      <c r="AA192" s="39">
        <v>113.57</v>
      </c>
      <c r="AB192" s="39">
        <v>65.739999999999995</v>
      </c>
      <c r="AC192" s="39">
        <v>406.05</v>
      </c>
      <c r="AD192" s="39" t="s">
        <v>4606</v>
      </c>
      <c r="AE192" s="39">
        <v>0.63</v>
      </c>
      <c r="AF192" s="39">
        <v>28</v>
      </c>
      <c r="AG192" s="42">
        <v>0.15970000000000001</v>
      </c>
      <c r="AH192" s="42">
        <v>567</v>
      </c>
      <c r="AI192" s="42">
        <v>0.25219999999999998</v>
      </c>
      <c r="AJ192" s="42" t="s">
        <v>7239</v>
      </c>
      <c r="AK192" s="42">
        <v>0.4194</v>
      </c>
      <c r="AL192" s="42" t="s">
        <v>4622</v>
      </c>
      <c r="AM192" s="42">
        <v>2.7699999999999999E-2</v>
      </c>
      <c r="AN192" s="42">
        <v>0.08</v>
      </c>
      <c r="AO192" s="41">
        <v>55</v>
      </c>
      <c r="AP192" s="39">
        <v>12</v>
      </c>
      <c r="AQ192" s="39">
        <v>56</v>
      </c>
      <c r="AR192" s="39">
        <v>505</v>
      </c>
      <c r="AS192" s="39">
        <v>4</v>
      </c>
      <c r="AT192" s="39" t="s">
        <v>4562</v>
      </c>
      <c r="AU192" s="39">
        <v>32</v>
      </c>
      <c r="AV192" s="39" t="s">
        <v>6405</v>
      </c>
      <c r="AW192" s="39">
        <v>488.28</v>
      </c>
      <c r="AX192" s="39">
        <v>491.47</v>
      </c>
      <c r="AY192" s="39">
        <v>495.68</v>
      </c>
      <c r="AZ192" s="39">
        <v>480.88</v>
      </c>
      <c r="BA192" s="39">
        <v>476.67</v>
      </c>
      <c r="BB192" s="39">
        <v>473.48</v>
      </c>
      <c r="BC192" s="39">
        <v>4</v>
      </c>
      <c r="BD192" s="39">
        <v>3</v>
      </c>
      <c r="BE192" s="39">
        <v>3</v>
      </c>
      <c r="BF192" s="39" t="s">
        <v>130</v>
      </c>
      <c r="BG192" s="39">
        <v>53.3</v>
      </c>
      <c r="BH192" s="39">
        <v>0.1</v>
      </c>
      <c r="BI192" s="39" t="s">
        <v>4563</v>
      </c>
      <c r="BJ192" s="39" t="s">
        <v>4563</v>
      </c>
    </row>
    <row r="193" spans="1:62" x14ac:dyDescent="0.35">
      <c r="A193" s="39" t="s">
        <v>995</v>
      </c>
      <c r="B193" s="39" t="str">
        <f>IFERROR(INDEX(added_new_stocks!$F$6:$H$2155,MATCH($A193,added_new_stocks!$F$6:$F$2600,0),3),"")</f>
        <v>Mid</v>
      </c>
      <c r="C193" s="39">
        <v>516.95000000000005</v>
      </c>
      <c r="D193" s="39">
        <v>54</v>
      </c>
      <c r="G193" s="39" t="s">
        <v>4562</v>
      </c>
      <c r="H193" s="39" t="s">
        <v>7240</v>
      </c>
      <c r="I193" s="39" t="s">
        <v>4989</v>
      </c>
      <c r="J193" s="39" t="s">
        <v>7241</v>
      </c>
      <c r="K193" s="39" t="s">
        <v>133</v>
      </c>
      <c r="L193" s="39" t="s">
        <v>4998</v>
      </c>
      <c r="M193" s="39" t="s">
        <v>135</v>
      </c>
      <c r="N193" s="39">
        <v>0</v>
      </c>
      <c r="O193" s="39">
        <v>-14</v>
      </c>
      <c r="P193" s="39">
        <v>-14</v>
      </c>
      <c r="Q193" s="39" t="s">
        <v>4605</v>
      </c>
      <c r="R193" s="39">
        <v>1.31</v>
      </c>
      <c r="S193" s="39">
        <v>8.57</v>
      </c>
      <c r="T193" s="39">
        <v>21.66</v>
      </c>
      <c r="U193" s="39">
        <v>30.44</v>
      </c>
      <c r="V193" s="39">
        <v>16.440000000000001</v>
      </c>
      <c r="W193" s="39">
        <v>-2.17</v>
      </c>
      <c r="X193" s="39">
        <v>9.67</v>
      </c>
      <c r="Y193" s="39">
        <v>-32.21</v>
      </c>
      <c r="Z193" s="39" t="s">
        <v>4538</v>
      </c>
      <c r="AA193" s="39" t="s">
        <v>4538</v>
      </c>
      <c r="AB193" s="39" t="s">
        <v>4538</v>
      </c>
      <c r="AC193" s="39" t="s">
        <v>4538</v>
      </c>
      <c r="AD193" s="39" t="s">
        <v>4606</v>
      </c>
      <c r="AE193" s="39">
        <v>3.45</v>
      </c>
      <c r="AF193" s="39">
        <v>13</v>
      </c>
      <c r="AG193" s="42">
        <v>5.6000000000000001E-2</v>
      </c>
      <c r="AH193" s="42">
        <v>95</v>
      </c>
      <c r="AI193" s="42">
        <v>6.1499999999999999E-2</v>
      </c>
      <c r="AJ193" s="42" t="s">
        <v>7242</v>
      </c>
      <c r="AK193" s="42">
        <v>0.20630000000000001</v>
      </c>
      <c r="AL193" s="42" t="s">
        <v>5206</v>
      </c>
      <c r="AM193" s="42">
        <v>3.2300000000000002E-2</v>
      </c>
      <c r="AN193" s="42">
        <v>0.26140000000000002</v>
      </c>
      <c r="AO193" s="41">
        <v>45</v>
      </c>
      <c r="AP193" s="39">
        <v>39</v>
      </c>
      <c r="AQ193" s="39">
        <v>54</v>
      </c>
      <c r="AR193" s="39">
        <v>675</v>
      </c>
      <c r="AS193" s="39">
        <v>39</v>
      </c>
      <c r="AT193" s="39" t="s">
        <v>4633</v>
      </c>
      <c r="AU193" s="39">
        <v>2</v>
      </c>
      <c r="AV193" s="39" t="s">
        <v>6406</v>
      </c>
      <c r="AW193" s="39">
        <v>497.03</v>
      </c>
      <c r="AX193" s="39">
        <v>509.27</v>
      </c>
      <c r="AY193" s="39">
        <v>521.73</v>
      </c>
      <c r="AZ193" s="39">
        <v>472.33</v>
      </c>
      <c r="BA193" s="39">
        <v>459.87</v>
      </c>
      <c r="BB193" s="39">
        <v>447.63</v>
      </c>
      <c r="BC193" s="39">
        <v>6</v>
      </c>
      <c r="BD193" s="39">
        <v>6</v>
      </c>
      <c r="BE193" s="39">
        <v>2</v>
      </c>
      <c r="BF193" s="39" t="s">
        <v>130</v>
      </c>
      <c r="BG193" s="39">
        <v>260.39999999999998</v>
      </c>
      <c r="BH193" s="39">
        <v>0.5</v>
      </c>
      <c r="BI193" s="39" t="s">
        <v>4565</v>
      </c>
      <c r="BJ193" s="39" t="s">
        <v>4565</v>
      </c>
    </row>
    <row r="194" spans="1:62" x14ac:dyDescent="0.35">
      <c r="A194" s="39" t="s">
        <v>1064</v>
      </c>
      <c r="B194" s="39" t="str">
        <f>IFERROR(INDEX(added_new_stocks!$F$6:$H$2155,MATCH($A194,added_new_stocks!$F$6:$F$2600,0),3),"")</f>
        <v>Mid</v>
      </c>
      <c r="C194" s="39">
        <v>744.5</v>
      </c>
      <c r="D194" s="39">
        <v>64</v>
      </c>
      <c r="G194" s="39" t="s">
        <v>4562</v>
      </c>
      <c r="H194" s="39" t="s">
        <v>5382</v>
      </c>
      <c r="I194" s="39" t="s">
        <v>4989</v>
      </c>
      <c r="J194" s="39" t="s">
        <v>5383</v>
      </c>
      <c r="K194" s="39" t="s">
        <v>4615</v>
      </c>
      <c r="L194" s="39" t="s">
        <v>7243</v>
      </c>
      <c r="M194" s="39" t="s">
        <v>4620</v>
      </c>
      <c r="N194" s="39">
        <v>30</v>
      </c>
      <c r="O194" s="39">
        <v>-2</v>
      </c>
      <c r="P194" s="39">
        <v>28</v>
      </c>
      <c r="Q194" s="39" t="s">
        <v>5060</v>
      </c>
      <c r="R194" s="39">
        <v>-0.05</v>
      </c>
      <c r="S194" s="39">
        <v>-2</v>
      </c>
      <c r="T194" s="39">
        <v>-4.5599999999999996</v>
      </c>
      <c r="U194" s="39">
        <v>8.15</v>
      </c>
      <c r="V194" s="39">
        <v>27.11</v>
      </c>
      <c r="W194" s="39">
        <v>23.89</v>
      </c>
      <c r="X194" s="39">
        <v>25.63</v>
      </c>
      <c r="Y194" s="39">
        <v>-21.81</v>
      </c>
      <c r="Z194" s="39">
        <v>98.06</v>
      </c>
      <c r="AA194" s="39">
        <v>4.43</v>
      </c>
      <c r="AB194" s="39">
        <v>33.840000000000003</v>
      </c>
      <c r="AC194" s="39">
        <v>9</v>
      </c>
      <c r="AD194" s="39" t="s">
        <v>4606</v>
      </c>
      <c r="AE194" s="39">
        <v>14.07</v>
      </c>
      <c r="AF194" s="39">
        <v>8</v>
      </c>
      <c r="AG194" s="42">
        <v>7.2700000000000001E-2</v>
      </c>
      <c r="AH194" s="42">
        <v>92</v>
      </c>
      <c r="AI194" s="42">
        <v>5.33E-2</v>
      </c>
      <c r="AJ194" s="42" t="s">
        <v>5385</v>
      </c>
      <c r="AK194" s="42">
        <v>0.64380000000000004</v>
      </c>
      <c r="AL194" s="42" t="s">
        <v>4968</v>
      </c>
      <c r="AM194" s="42">
        <v>2.93E-2</v>
      </c>
      <c r="AN194" s="42">
        <v>8.6900000000000005E-2</v>
      </c>
      <c r="AO194" s="41">
        <v>50</v>
      </c>
      <c r="AP194" s="39">
        <v>47</v>
      </c>
      <c r="AQ194" s="39">
        <v>50</v>
      </c>
      <c r="AR194" s="39">
        <v>856</v>
      </c>
      <c r="AS194" s="39">
        <v>13</v>
      </c>
      <c r="AT194" s="39" t="s">
        <v>4562</v>
      </c>
      <c r="AU194" s="39">
        <v>9</v>
      </c>
      <c r="AV194" s="39" t="s">
        <v>6407</v>
      </c>
      <c r="AW194" s="39">
        <v>766.77</v>
      </c>
      <c r="AX194" s="39">
        <v>777.18</v>
      </c>
      <c r="AY194" s="39">
        <v>784.42</v>
      </c>
      <c r="AZ194" s="39">
        <v>749.12</v>
      </c>
      <c r="BA194" s="39">
        <v>741.88</v>
      </c>
      <c r="BB194" s="39">
        <v>731.47</v>
      </c>
      <c r="BC194" s="39">
        <v>8</v>
      </c>
      <c r="BD194" s="39">
        <v>4</v>
      </c>
      <c r="BE194" s="39">
        <v>1</v>
      </c>
      <c r="BF194" s="39" t="s">
        <v>130</v>
      </c>
      <c r="BG194" s="39">
        <v>579.70000000000005</v>
      </c>
      <c r="BH194" s="39">
        <v>0.8</v>
      </c>
      <c r="BI194" s="39" t="s">
        <v>131</v>
      </c>
      <c r="BJ194" s="39" t="s">
        <v>4563</v>
      </c>
    </row>
    <row r="195" spans="1:62" x14ac:dyDescent="0.35">
      <c r="A195" s="39" t="s">
        <v>924</v>
      </c>
      <c r="B195" s="39" t="str">
        <f>IFERROR(INDEX(added_new_stocks!$F$6:$H$2155,MATCH($A195,added_new_stocks!$F$6:$F$2600,0),3),"")</f>
        <v>Mid</v>
      </c>
      <c r="C195" s="39">
        <v>339.7</v>
      </c>
      <c r="D195" s="39">
        <v>81</v>
      </c>
      <c r="G195" s="39" t="s">
        <v>4633</v>
      </c>
      <c r="H195" s="39" t="s">
        <v>5386</v>
      </c>
      <c r="I195" s="39" t="s">
        <v>4624</v>
      </c>
      <c r="J195" s="39" t="s">
        <v>5387</v>
      </c>
      <c r="K195" s="39" t="s">
        <v>133</v>
      </c>
      <c r="L195" s="39" t="s">
        <v>7244</v>
      </c>
      <c r="M195" s="39" t="s">
        <v>135</v>
      </c>
      <c r="N195" s="39">
        <v>25</v>
      </c>
      <c r="O195" s="39">
        <v>-2</v>
      </c>
      <c r="P195" s="39">
        <v>23</v>
      </c>
      <c r="Q195" s="39" t="s">
        <v>5060</v>
      </c>
      <c r="R195" s="39">
        <v>0.03</v>
      </c>
      <c r="S195" s="39">
        <v>3.08</v>
      </c>
      <c r="T195" s="39">
        <v>11.58</v>
      </c>
      <c r="U195" s="39">
        <v>63.2</v>
      </c>
      <c r="V195" s="39">
        <v>81.13</v>
      </c>
      <c r="W195" s="39">
        <v>65.91</v>
      </c>
      <c r="X195" s="39">
        <v>79.88</v>
      </c>
      <c r="Y195" s="39">
        <v>109.82</v>
      </c>
      <c r="Z195" s="39">
        <v>131.09</v>
      </c>
      <c r="AA195" s="39">
        <v>138.38999999999999</v>
      </c>
      <c r="AB195" s="39">
        <v>58.92</v>
      </c>
      <c r="AC195" s="39">
        <v>338.61</v>
      </c>
      <c r="AD195" s="39" t="s">
        <v>4606</v>
      </c>
      <c r="AE195" s="39" t="s">
        <v>134</v>
      </c>
      <c r="AF195" s="39">
        <v>16</v>
      </c>
      <c r="AG195" s="42">
        <v>0.1273</v>
      </c>
      <c r="AH195" s="42">
        <v>133</v>
      </c>
      <c r="AI195" s="42">
        <v>0.13969999999999999</v>
      </c>
      <c r="AJ195" s="42" t="s">
        <v>5389</v>
      </c>
      <c r="AK195" s="42">
        <v>0.39119999999999999</v>
      </c>
      <c r="AL195" s="42" t="s">
        <v>5390</v>
      </c>
      <c r="AM195" s="42">
        <v>6.4500000000000002E-2</v>
      </c>
      <c r="AN195" s="42">
        <v>6.6100000000000006E-2</v>
      </c>
      <c r="AO195" s="41">
        <v>90</v>
      </c>
      <c r="AP195" s="39">
        <v>24</v>
      </c>
      <c r="AQ195" s="39">
        <v>66</v>
      </c>
      <c r="AR195" s="39">
        <v>309</v>
      </c>
      <c r="AS195" s="39">
        <v>-8</v>
      </c>
      <c r="AT195" s="39" t="s">
        <v>129</v>
      </c>
      <c r="AU195" s="39">
        <v>11</v>
      </c>
      <c r="AV195" s="39" t="s">
        <v>6408</v>
      </c>
      <c r="AW195" s="39">
        <v>342.33</v>
      </c>
      <c r="AX195" s="39">
        <v>347.67</v>
      </c>
      <c r="AY195" s="39">
        <v>355.83</v>
      </c>
      <c r="AZ195" s="39">
        <v>328.83</v>
      </c>
      <c r="BA195" s="39">
        <v>320.67</v>
      </c>
      <c r="BB195" s="39">
        <v>315.33</v>
      </c>
      <c r="BC195" s="39">
        <v>13</v>
      </c>
      <c r="BD195" s="39">
        <v>2</v>
      </c>
      <c r="BE195" s="39">
        <v>7</v>
      </c>
      <c r="BF195" s="39" t="s">
        <v>130</v>
      </c>
      <c r="BG195" s="39">
        <v>86.2</v>
      </c>
      <c r="BH195" s="39">
        <v>0.3</v>
      </c>
      <c r="BI195" s="39" t="s">
        <v>4563</v>
      </c>
      <c r="BJ195" s="39" t="s">
        <v>4563</v>
      </c>
    </row>
    <row r="196" spans="1:62" x14ac:dyDescent="0.35">
      <c r="A196" s="39" t="s">
        <v>621</v>
      </c>
      <c r="B196" s="39" t="str">
        <f>IFERROR(INDEX(added_new_stocks!$F$6:$H$2155,MATCH($A196,added_new_stocks!$F$6:$F$2600,0),3),"")</f>
        <v>Mid</v>
      </c>
      <c r="C196" s="48">
        <v>1440.1</v>
      </c>
      <c r="D196" s="39">
        <v>67</v>
      </c>
      <c r="G196" s="39" t="s">
        <v>4562</v>
      </c>
      <c r="H196" s="39" t="s">
        <v>5391</v>
      </c>
      <c r="I196" s="39" t="s">
        <v>4624</v>
      </c>
      <c r="J196" s="39" t="s">
        <v>5392</v>
      </c>
      <c r="K196" s="39" t="s">
        <v>133</v>
      </c>
      <c r="L196" s="39" t="s">
        <v>5393</v>
      </c>
      <c r="M196" s="39" t="s">
        <v>4620</v>
      </c>
      <c r="N196" s="39">
        <v>0</v>
      </c>
      <c r="O196" s="39">
        <v>-2</v>
      </c>
      <c r="P196" s="39">
        <v>-2</v>
      </c>
      <c r="Q196" s="39" t="s">
        <v>4611</v>
      </c>
      <c r="R196" s="39">
        <v>-0.17</v>
      </c>
      <c r="S196" s="39">
        <v>-2.48</v>
      </c>
      <c r="T196" s="39">
        <v>3</v>
      </c>
      <c r="U196" s="39">
        <v>12.75</v>
      </c>
      <c r="V196" s="39">
        <v>33.96</v>
      </c>
      <c r="W196" s="39">
        <v>24.43</v>
      </c>
      <c r="X196" s="39">
        <v>23.73</v>
      </c>
      <c r="Y196" s="39">
        <v>23.62</v>
      </c>
      <c r="Z196" s="39">
        <v>219.17</v>
      </c>
      <c r="AA196" s="39">
        <v>203.75</v>
      </c>
      <c r="AB196" s="39">
        <v>203.27</v>
      </c>
      <c r="AC196" s="39">
        <v>1183.23</v>
      </c>
      <c r="AD196" s="39" t="s">
        <v>4606</v>
      </c>
      <c r="AE196" s="39" t="s">
        <v>134</v>
      </c>
      <c r="AF196" s="39">
        <v>31</v>
      </c>
      <c r="AG196" s="42">
        <v>0.23100000000000001</v>
      </c>
      <c r="AH196" s="42">
        <v>190</v>
      </c>
      <c r="AI196" s="42">
        <v>0.17960000000000001</v>
      </c>
      <c r="AJ196" s="42" t="s">
        <v>5394</v>
      </c>
      <c r="AK196" s="39" t="s">
        <v>5395</v>
      </c>
      <c r="AL196" s="42" t="s">
        <v>5396</v>
      </c>
      <c r="AM196" s="42">
        <v>5.4100000000000002E-2</v>
      </c>
      <c r="AN196" s="42">
        <v>7.6600000000000001E-2</v>
      </c>
      <c r="AO196" s="41">
        <v>50</v>
      </c>
      <c r="AP196" s="39">
        <v>13</v>
      </c>
      <c r="AQ196" s="39">
        <v>61</v>
      </c>
      <c r="AR196" s="45">
        <v>1484</v>
      </c>
      <c r="AS196" s="39">
        <v>2</v>
      </c>
      <c r="AT196" s="39" t="s">
        <v>129</v>
      </c>
      <c r="AU196" s="39">
        <v>27</v>
      </c>
      <c r="AV196" s="39" t="s">
        <v>6409</v>
      </c>
      <c r="AW196" s="39">
        <v>1470.97</v>
      </c>
      <c r="AX196" s="39">
        <v>1489.98</v>
      </c>
      <c r="AY196" s="39">
        <v>1501.97</v>
      </c>
      <c r="AZ196" s="39">
        <v>1439.97</v>
      </c>
      <c r="BA196" s="39">
        <v>1427.98</v>
      </c>
      <c r="BB196" s="39">
        <v>1408.97</v>
      </c>
      <c r="BC196" s="39">
        <v>5</v>
      </c>
      <c r="BD196" s="39">
        <v>6</v>
      </c>
      <c r="BE196" s="39">
        <v>3</v>
      </c>
      <c r="BF196" s="39" t="s">
        <v>130</v>
      </c>
      <c r="BG196" s="39">
        <v>277</v>
      </c>
      <c r="BH196" s="39">
        <v>0.2</v>
      </c>
      <c r="BI196" s="39" t="s">
        <v>4565</v>
      </c>
      <c r="BJ196" s="39" t="s">
        <v>132</v>
      </c>
    </row>
    <row r="197" spans="1:62" x14ac:dyDescent="0.35">
      <c r="A197" s="39" t="s">
        <v>838</v>
      </c>
      <c r="B197" s="39" t="str">
        <f>IFERROR(INDEX(added_new_stocks!$F$6:$H$2155,MATCH($A197,added_new_stocks!$F$6:$F$2600,0),3),"")</f>
        <v>Mid</v>
      </c>
      <c r="C197" s="39">
        <v>643.65</v>
      </c>
      <c r="D197" s="48">
        <v>65</v>
      </c>
      <c r="G197" s="39" t="s">
        <v>4562</v>
      </c>
      <c r="H197" s="39" t="s">
        <v>5397</v>
      </c>
      <c r="I197" s="39" t="s">
        <v>4624</v>
      </c>
      <c r="J197" s="39" t="s">
        <v>5398</v>
      </c>
      <c r="K197" s="39" t="s">
        <v>4615</v>
      </c>
      <c r="L197" s="39" t="s">
        <v>5399</v>
      </c>
      <c r="M197" s="39" t="s">
        <v>5047</v>
      </c>
      <c r="N197" s="39">
        <v>8</v>
      </c>
      <c r="O197" s="39">
        <v>-5</v>
      </c>
      <c r="P197" s="39">
        <v>3</v>
      </c>
      <c r="Q197" s="39" t="s">
        <v>4611</v>
      </c>
      <c r="R197" s="39">
        <v>-0.2</v>
      </c>
      <c r="S197" s="39">
        <v>1.34</v>
      </c>
      <c r="T197" s="39">
        <v>3.27</v>
      </c>
      <c r="U197" s="39">
        <v>23.14</v>
      </c>
      <c r="V197" s="39">
        <v>14.91</v>
      </c>
      <c r="W197" s="39">
        <v>15.18</v>
      </c>
      <c r="X197" s="39">
        <v>56.93</v>
      </c>
      <c r="Y197" s="39">
        <v>53.16</v>
      </c>
      <c r="Z197" s="39">
        <v>137.51</v>
      </c>
      <c r="AA197" s="39">
        <v>44.9</v>
      </c>
      <c r="AB197" s="39">
        <v>80.47</v>
      </c>
      <c r="AC197" s="39">
        <v>1020.37</v>
      </c>
      <c r="AD197" s="39" t="s">
        <v>4606</v>
      </c>
      <c r="AE197" s="39">
        <v>46.96</v>
      </c>
      <c r="AF197" s="39">
        <v>14</v>
      </c>
      <c r="AG197" s="42">
        <v>0.39019999999999999</v>
      </c>
      <c r="AH197" s="42">
        <v>134</v>
      </c>
      <c r="AI197" s="42">
        <v>8.1600000000000006E-2</v>
      </c>
      <c r="AJ197" s="42" t="s">
        <v>5400</v>
      </c>
      <c r="AK197" s="42">
        <v>0.14369999999999999</v>
      </c>
      <c r="AL197" s="39" t="s">
        <v>5401</v>
      </c>
      <c r="AM197" s="42">
        <v>9.8299999999999998E-2</v>
      </c>
      <c r="AN197" s="42">
        <v>6.4600000000000005E-2</v>
      </c>
    </row>
    <row r="198" spans="1:62" x14ac:dyDescent="0.35">
      <c r="A198" s="39" t="s">
        <v>565</v>
      </c>
      <c r="B198" s="39" t="str">
        <f>IFERROR(INDEX(added_new_stocks!$F$6:$H$2155,MATCH($A198,added_new_stocks!$F$6:$F$2600,0),3),"")</f>
        <v>Large</v>
      </c>
      <c r="C198" s="39">
        <v>334.7</v>
      </c>
      <c r="D198" s="39">
        <v>74</v>
      </c>
      <c r="G198" s="39" t="s">
        <v>129</v>
      </c>
      <c r="H198" s="39" t="s">
        <v>7245</v>
      </c>
      <c r="I198" s="39" t="s">
        <v>4989</v>
      </c>
      <c r="J198" s="39" t="s">
        <v>7246</v>
      </c>
      <c r="K198" s="39" t="s">
        <v>133</v>
      </c>
      <c r="L198" s="39" t="s">
        <v>7247</v>
      </c>
      <c r="M198" s="39" t="s">
        <v>135</v>
      </c>
      <c r="N198" s="39">
        <v>22</v>
      </c>
      <c r="O198" s="39">
        <v>-2</v>
      </c>
      <c r="P198" s="39">
        <v>20</v>
      </c>
      <c r="Q198" s="39" t="s">
        <v>5060</v>
      </c>
      <c r="R198" s="39">
        <v>1.58</v>
      </c>
      <c r="S198" s="39">
        <v>4.0199999999999996</v>
      </c>
      <c r="T198" s="39">
        <v>2.0699999999999998</v>
      </c>
      <c r="U198" s="39">
        <v>19.21</v>
      </c>
      <c r="V198" s="39">
        <v>24.46</v>
      </c>
      <c r="W198" s="39">
        <v>15.48</v>
      </c>
      <c r="X198" s="39">
        <v>0.2</v>
      </c>
      <c r="Y198" s="39">
        <v>-18.03</v>
      </c>
      <c r="Z198" s="39">
        <v>3.84</v>
      </c>
      <c r="AA198" s="39">
        <v>10.199999999999999</v>
      </c>
      <c r="AB198" s="39">
        <v>-2</v>
      </c>
      <c r="AC198" s="39">
        <v>371</v>
      </c>
      <c r="AD198" s="39" t="s">
        <v>4606</v>
      </c>
      <c r="AE198" s="39" t="s">
        <v>134</v>
      </c>
      <c r="AF198" s="39">
        <v>18</v>
      </c>
      <c r="AG198" s="42">
        <v>4.3200000000000002E-2</v>
      </c>
      <c r="AH198" s="42">
        <v>131</v>
      </c>
      <c r="AI198" s="42">
        <v>4.2200000000000001E-2</v>
      </c>
      <c r="AJ198" s="42" t="s">
        <v>7248</v>
      </c>
      <c r="AK198" s="42">
        <v>0.74990000000000001</v>
      </c>
      <c r="AL198" s="42" t="s">
        <v>136</v>
      </c>
      <c r="AM198" s="42">
        <v>3.3700000000000001E-2</v>
      </c>
      <c r="AN198" s="42">
        <v>7.3200000000000001E-2</v>
      </c>
      <c r="AO198" s="41">
        <v>90</v>
      </c>
      <c r="AP198" s="39">
        <v>37</v>
      </c>
      <c r="AQ198" s="39">
        <v>58</v>
      </c>
      <c r="AR198" s="39">
        <v>350</v>
      </c>
      <c r="AS198" s="39">
        <v>9</v>
      </c>
      <c r="AT198" s="39" t="s">
        <v>4562</v>
      </c>
      <c r="AU198" s="39">
        <v>17</v>
      </c>
      <c r="AV198" s="39" t="s">
        <v>6410</v>
      </c>
      <c r="AW198" s="39">
        <v>324.2</v>
      </c>
      <c r="AX198" s="39">
        <v>326.2</v>
      </c>
      <c r="AY198" s="39">
        <v>328.1</v>
      </c>
      <c r="AZ198" s="39">
        <v>320.3</v>
      </c>
      <c r="BA198" s="39">
        <v>318.39999999999998</v>
      </c>
      <c r="BB198" s="39">
        <v>316.39999999999998</v>
      </c>
      <c r="BC198" s="39">
        <v>8</v>
      </c>
      <c r="BD198" s="39">
        <v>1</v>
      </c>
      <c r="BE198" s="39">
        <v>7</v>
      </c>
      <c r="BF198" s="39">
        <v>1</v>
      </c>
      <c r="BG198" s="39">
        <v>157.69999999999999</v>
      </c>
      <c r="BH198" s="39">
        <v>0.5</v>
      </c>
      <c r="BI198" s="39" t="s">
        <v>4563</v>
      </c>
      <c r="BJ198" s="39" t="s">
        <v>4565</v>
      </c>
    </row>
    <row r="199" spans="1:62" x14ac:dyDescent="0.35">
      <c r="A199" s="39" t="s">
        <v>853</v>
      </c>
      <c r="B199" s="39" t="str">
        <f>IFERROR(INDEX(added_new_stocks!$F$6:$H$2155,MATCH($A199,added_new_stocks!$F$6:$F$2600,0),3),"")</f>
        <v>Mid</v>
      </c>
      <c r="C199" s="39">
        <v>120.85</v>
      </c>
      <c r="D199" s="39">
        <v>80</v>
      </c>
      <c r="G199" s="39" t="s">
        <v>4633</v>
      </c>
      <c r="H199" s="39" t="s">
        <v>7249</v>
      </c>
      <c r="I199" s="39" t="s">
        <v>4989</v>
      </c>
      <c r="J199" s="39" t="s">
        <v>7250</v>
      </c>
      <c r="K199" s="39" t="s">
        <v>133</v>
      </c>
      <c r="L199" s="39" t="s">
        <v>7251</v>
      </c>
      <c r="M199" s="39" t="s">
        <v>4955</v>
      </c>
      <c r="N199" s="39">
        <v>29</v>
      </c>
      <c r="O199" s="39">
        <v>-1</v>
      </c>
      <c r="P199" s="39">
        <v>28</v>
      </c>
      <c r="Q199" s="39" t="s">
        <v>5060</v>
      </c>
      <c r="R199" s="39">
        <v>-0.17</v>
      </c>
      <c r="S199" s="39">
        <v>-4.05</v>
      </c>
      <c r="T199" s="39">
        <v>-2.54</v>
      </c>
      <c r="U199" s="39">
        <v>13.71</v>
      </c>
      <c r="V199" s="39">
        <v>20.79</v>
      </c>
      <c r="W199" s="39">
        <v>6.81</v>
      </c>
      <c r="X199" s="39">
        <v>76.680000000000007</v>
      </c>
      <c r="Y199" s="39">
        <v>175.91</v>
      </c>
      <c r="Z199" s="39">
        <v>191.2</v>
      </c>
      <c r="AA199" s="39">
        <v>106.58</v>
      </c>
      <c r="AB199" s="39">
        <v>28.56</v>
      </c>
      <c r="AC199" s="39">
        <v>131.84</v>
      </c>
      <c r="AD199" s="39" t="s">
        <v>5015</v>
      </c>
      <c r="AE199" s="39">
        <v>7.53</v>
      </c>
      <c r="AF199" s="39">
        <v>19</v>
      </c>
      <c r="AG199" s="42">
        <v>0.25559999999999999</v>
      </c>
      <c r="AH199" s="42">
        <v>221</v>
      </c>
      <c r="AI199" s="42">
        <v>0.17899999999999999</v>
      </c>
      <c r="AJ199" s="42" t="s">
        <v>7252</v>
      </c>
      <c r="AK199" s="42">
        <v>4.0000000000000001E-3</v>
      </c>
      <c r="AL199" s="42" t="s">
        <v>5221</v>
      </c>
      <c r="AM199" s="39" t="s">
        <v>7253</v>
      </c>
      <c r="AN199" s="42">
        <v>0.42549999999999999</v>
      </c>
      <c r="AO199" s="41">
        <v>60</v>
      </c>
      <c r="AP199" s="39">
        <v>66</v>
      </c>
      <c r="AQ199" s="39">
        <v>49</v>
      </c>
      <c r="AR199" s="39">
        <v>166</v>
      </c>
      <c r="AS199" s="39">
        <v>37</v>
      </c>
      <c r="AT199" s="39" t="s">
        <v>4633</v>
      </c>
      <c r="AU199" s="39">
        <v>9</v>
      </c>
      <c r="AV199" s="39" t="s">
        <v>6411</v>
      </c>
      <c r="AW199" s="39">
        <v>123.33</v>
      </c>
      <c r="AX199" s="39">
        <v>125.97</v>
      </c>
      <c r="AY199" s="39">
        <v>127.63</v>
      </c>
      <c r="AZ199" s="39">
        <v>119.03</v>
      </c>
      <c r="BA199" s="39">
        <v>117.37</v>
      </c>
      <c r="BB199" s="39">
        <v>114.73</v>
      </c>
      <c r="BC199" s="39">
        <v>14</v>
      </c>
      <c r="BD199" s="39">
        <v>5</v>
      </c>
      <c r="BE199" s="39">
        <v>6</v>
      </c>
      <c r="BF199" s="39" t="s">
        <v>130</v>
      </c>
      <c r="BG199" s="39">
        <v>192.5</v>
      </c>
      <c r="BH199" s="39">
        <v>1.6</v>
      </c>
      <c r="BI199" s="39" t="s">
        <v>4563</v>
      </c>
      <c r="BJ199" s="39" t="s">
        <v>4563</v>
      </c>
    </row>
    <row r="200" spans="1:62" x14ac:dyDescent="0.35">
      <c r="A200" s="39" t="s">
        <v>1010</v>
      </c>
      <c r="B200" s="39" t="str">
        <f>IFERROR(INDEX(added_new_stocks!$F$6:$H$2155,MATCH($A200,added_new_stocks!$F$6:$F$2600,0),3),"")</f>
        <v>Mid</v>
      </c>
      <c r="C200" s="48">
        <v>1980.95</v>
      </c>
      <c r="D200" s="39">
        <v>64</v>
      </c>
      <c r="G200" s="39" t="s">
        <v>4562</v>
      </c>
      <c r="H200" s="39" t="s">
        <v>7254</v>
      </c>
      <c r="I200" s="39" t="s">
        <v>4989</v>
      </c>
      <c r="J200" s="39" t="s">
        <v>7255</v>
      </c>
      <c r="K200" s="39" t="s">
        <v>133</v>
      </c>
      <c r="L200" s="39" t="s">
        <v>4998</v>
      </c>
      <c r="M200" s="39" t="s">
        <v>4959</v>
      </c>
      <c r="N200" s="39">
        <v>16</v>
      </c>
      <c r="O200" s="39">
        <v>-7</v>
      </c>
      <c r="P200" s="39">
        <v>9</v>
      </c>
      <c r="Q200" s="39" t="s">
        <v>14</v>
      </c>
      <c r="R200" s="39">
        <v>-0.34</v>
      </c>
      <c r="S200" s="39">
        <v>10.199999999999999</v>
      </c>
      <c r="T200" s="39">
        <v>10.71</v>
      </c>
      <c r="U200" s="39">
        <v>43.92</v>
      </c>
      <c r="V200" s="39">
        <v>126.71</v>
      </c>
      <c r="W200" s="39">
        <v>163.77000000000001</v>
      </c>
      <c r="X200" s="39" t="s">
        <v>4538</v>
      </c>
      <c r="Y200" s="39" t="s">
        <v>4538</v>
      </c>
      <c r="Z200" s="39" t="s">
        <v>4538</v>
      </c>
      <c r="AA200" s="39" t="s">
        <v>4538</v>
      </c>
      <c r="AB200" s="39" t="s">
        <v>4538</v>
      </c>
      <c r="AC200" s="39" t="s">
        <v>4538</v>
      </c>
      <c r="AD200" s="39" t="s">
        <v>4606</v>
      </c>
      <c r="AE200" s="39" t="s">
        <v>134</v>
      </c>
      <c r="AF200" s="39">
        <v>11</v>
      </c>
      <c r="AG200" s="42">
        <v>9.0899999999999995E-2</v>
      </c>
      <c r="AH200" s="42">
        <v>54</v>
      </c>
      <c r="AI200" s="42">
        <v>7.9600000000000004E-2</v>
      </c>
      <c r="AJ200" s="42" t="s">
        <v>5404</v>
      </c>
      <c r="AK200" s="42">
        <v>0.63539999999999996</v>
      </c>
      <c r="AL200" s="42" t="s">
        <v>5405</v>
      </c>
      <c r="AM200" s="42">
        <v>3.09E-2</v>
      </c>
      <c r="AN200" s="42">
        <v>6.9400000000000003E-2</v>
      </c>
      <c r="AO200" s="41">
        <v>60</v>
      </c>
      <c r="AP200" s="39">
        <v>8</v>
      </c>
      <c r="AQ200" s="39">
        <v>55</v>
      </c>
      <c r="AR200" s="45">
        <v>2100</v>
      </c>
      <c r="AS200" s="39">
        <v>6</v>
      </c>
      <c r="AT200" s="39" t="s">
        <v>129</v>
      </c>
      <c r="AU200" s="39">
        <v>5</v>
      </c>
      <c r="AV200" s="39" t="s">
        <v>6412</v>
      </c>
      <c r="AW200" s="39">
        <v>2112.8200000000002</v>
      </c>
      <c r="AX200" s="39">
        <v>2241.33</v>
      </c>
      <c r="AY200" s="39">
        <v>2332.7199999999998</v>
      </c>
      <c r="AZ200" s="39">
        <v>1892.92</v>
      </c>
      <c r="BA200" s="39">
        <v>1801.53</v>
      </c>
      <c r="BB200" s="39">
        <v>1673.02</v>
      </c>
      <c r="BC200" s="39">
        <v>6</v>
      </c>
      <c r="BD200" s="39" t="s">
        <v>130</v>
      </c>
      <c r="BE200" s="39">
        <v>-0.34</v>
      </c>
      <c r="BF200" s="39">
        <v>0.4</v>
      </c>
      <c r="BG200" s="39">
        <v>1</v>
      </c>
      <c r="BH200" s="39">
        <v>10</v>
      </c>
      <c r="BI200" s="39" t="s">
        <v>4563</v>
      </c>
      <c r="BJ200" s="39" t="s">
        <v>4565</v>
      </c>
    </row>
    <row r="201" spans="1:62" x14ac:dyDescent="0.35">
      <c r="A201" s="39" t="s">
        <v>652</v>
      </c>
      <c r="B201" s="39" t="str">
        <f>IFERROR(INDEX(added_new_stocks!$F$6:$H$2155,MATCH($A201,added_new_stocks!$F$6:$F$2600,0),3),"")</f>
        <v>Mid</v>
      </c>
      <c r="C201" s="48">
        <v>2684.95</v>
      </c>
      <c r="D201" s="48">
        <v>64</v>
      </c>
      <c r="G201" s="39" t="s">
        <v>4562</v>
      </c>
      <c r="H201" s="39" t="s">
        <v>7256</v>
      </c>
      <c r="I201" s="39" t="s">
        <v>4624</v>
      </c>
      <c r="J201" s="39" t="s">
        <v>7257</v>
      </c>
      <c r="K201" s="39" t="s">
        <v>133</v>
      </c>
      <c r="L201" s="39" t="s">
        <v>7258</v>
      </c>
      <c r="M201" s="39" t="s">
        <v>4959</v>
      </c>
      <c r="N201" s="39">
        <v>7</v>
      </c>
      <c r="O201" s="39">
        <v>0</v>
      </c>
      <c r="P201" s="39">
        <v>7</v>
      </c>
      <c r="Q201" s="39" t="s">
        <v>14</v>
      </c>
      <c r="R201" s="39">
        <v>2.4500000000000002</v>
      </c>
      <c r="S201" s="39">
        <v>4.2</v>
      </c>
      <c r="T201" s="39">
        <v>10.14</v>
      </c>
      <c r="U201" s="39">
        <v>34.44</v>
      </c>
      <c r="V201" s="39">
        <v>65.290000000000006</v>
      </c>
      <c r="W201" s="39">
        <v>83.19</v>
      </c>
      <c r="X201" s="39">
        <v>82.46</v>
      </c>
      <c r="Y201" s="39">
        <v>245.98</v>
      </c>
      <c r="Z201" s="39">
        <v>547.76</v>
      </c>
      <c r="AA201" s="39">
        <v>470.66</v>
      </c>
      <c r="AB201" s="39">
        <v>547.83000000000004</v>
      </c>
      <c r="AC201" s="39">
        <v>38256.43</v>
      </c>
      <c r="AD201" s="39" t="s">
        <v>4606</v>
      </c>
      <c r="AE201" s="39" t="s">
        <v>134</v>
      </c>
      <c r="AF201" s="39">
        <v>19</v>
      </c>
      <c r="AG201" s="42">
        <v>0.15840000000000001</v>
      </c>
      <c r="AH201" s="42">
        <v>257</v>
      </c>
      <c r="AI201" s="42">
        <v>0.2767</v>
      </c>
      <c r="AJ201" s="42" t="s">
        <v>7259</v>
      </c>
      <c r="AK201" s="42">
        <v>0.12189999999999999</v>
      </c>
      <c r="AL201" s="42" t="s">
        <v>7260</v>
      </c>
      <c r="AM201" s="42">
        <v>4.3400000000000001E-2</v>
      </c>
      <c r="AN201" s="42">
        <v>0.128</v>
      </c>
    </row>
    <row r="202" spans="1:62" x14ac:dyDescent="0.35">
      <c r="A202" s="39" t="s">
        <v>1103</v>
      </c>
      <c r="B202" s="39" t="str">
        <f>IFERROR(INDEX(added_new_stocks!$F$6:$H$2155,MATCH($A202,added_new_stocks!$F$6:$F$2600,0),3),"")</f>
        <v>Small</v>
      </c>
      <c r="C202" s="39">
        <v>429.3</v>
      </c>
      <c r="D202" s="48">
        <v>65</v>
      </c>
      <c r="G202" s="39" t="s">
        <v>4562</v>
      </c>
      <c r="H202" s="39" t="s">
        <v>7261</v>
      </c>
      <c r="I202" s="39" t="s">
        <v>4624</v>
      </c>
      <c r="J202" s="39" t="s">
        <v>7262</v>
      </c>
      <c r="K202" s="39" t="s">
        <v>133</v>
      </c>
      <c r="L202" s="39" t="s">
        <v>4998</v>
      </c>
      <c r="M202" s="39" t="s">
        <v>4959</v>
      </c>
      <c r="N202" s="39">
        <v>2</v>
      </c>
      <c r="O202" s="39">
        <v>-3</v>
      </c>
      <c r="P202" s="39">
        <v>-1</v>
      </c>
      <c r="Q202" s="39" t="s">
        <v>4611</v>
      </c>
      <c r="R202" s="39">
        <v>2.4700000000000002</v>
      </c>
      <c r="S202" s="39">
        <v>11.94</v>
      </c>
      <c r="T202" s="39">
        <v>10.43</v>
      </c>
      <c r="U202" s="39">
        <v>30.45</v>
      </c>
      <c r="V202" s="39">
        <v>48.01</v>
      </c>
      <c r="W202" s="39">
        <v>24.6</v>
      </c>
      <c r="X202" s="39" t="s">
        <v>4538</v>
      </c>
      <c r="Y202" s="39" t="s">
        <v>4538</v>
      </c>
      <c r="Z202" s="39" t="s">
        <v>4538</v>
      </c>
      <c r="AA202" s="39" t="s">
        <v>4538</v>
      </c>
      <c r="AB202" s="39" t="s">
        <v>4538</v>
      </c>
      <c r="AC202" s="39" t="s">
        <v>4538</v>
      </c>
      <c r="AD202" s="39" t="s">
        <v>4606</v>
      </c>
      <c r="AE202" s="39" t="s">
        <v>134</v>
      </c>
      <c r="AF202" s="39">
        <v>28</v>
      </c>
      <c r="AG202" s="42">
        <v>6.4399999999999999E-2</v>
      </c>
      <c r="AH202" s="42">
        <v>54</v>
      </c>
      <c r="AI202" s="42">
        <v>8.0699999999999994E-2</v>
      </c>
      <c r="AJ202" s="42" t="s">
        <v>7263</v>
      </c>
      <c r="AK202" s="42">
        <v>0.48470000000000002</v>
      </c>
      <c r="AL202" s="42" t="s">
        <v>7264</v>
      </c>
      <c r="AM202" s="42">
        <v>0.10879999999999999</v>
      </c>
      <c r="AN202" s="42">
        <v>5.3800000000000001E-2</v>
      </c>
      <c r="AO202" s="41">
        <v>50</v>
      </c>
      <c r="AP202" s="39">
        <v>19</v>
      </c>
      <c r="AQ202" s="39">
        <v>48</v>
      </c>
      <c r="AR202" s="39">
        <v>429</v>
      </c>
      <c r="AS202" s="39">
        <v>0</v>
      </c>
      <c r="AT202" s="39" t="s">
        <v>129</v>
      </c>
      <c r="AU202" s="39">
        <v>4</v>
      </c>
      <c r="AV202" s="39" t="s">
        <v>6413</v>
      </c>
      <c r="AW202" s="39">
        <v>443.7</v>
      </c>
      <c r="AX202" s="39">
        <v>459.55</v>
      </c>
      <c r="AY202" s="39">
        <v>479.4</v>
      </c>
      <c r="AZ202" s="39">
        <v>408</v>
      </c>
      <c r="BA202" s="39">
        <v>388.15</v>
      </c>
      <c r="BB202" s="39">
        <v>372.3</v>
      </c>
      <c r="BC202" s="39">
        <v>4</v>
      </c>
      <c r="BD202" s="39">
        <v>4</v>
      </c>
      <c r="BE202" s="39" t="s">
        <v>130</v>
      </c>
      <c r="BF202" s="39">
        <v>-2.08</v>
      </c>
      <c r="BG202" s="39">
        <v>11</v>
      </c>
      <c r="BH202" s="39">
        <v>116.9</v>
      </c>
      <c r="BI202" s="39" t="s">
        <v>131</v>
      </c>
      <c r="BJ202" s="39" t="s">
        <v>4565</v>
      </c>
    </row>
    <row r="203" spans="1:62" x14ac:dyDescent="0.35">
      <c r="A203" s="39" t="s">
        <v>740</v>
      </c>
      <c r="B203" s="39" t="str">
        <f>IFERROR(INDEX(added_new_stocks!$F$6:$H$2155,MATCH($A203,added_new_stocks!$F$6:$F$2600,0),3),"")</f>
        <v>Mid</v>
      </c>
      <c r="C203" s="48">
        <v>1947.1</v>
      </c>
      <c r="D203" s="39">
        <v>67</v>
      </c>
      <c r="G203" s="39" t="s">
        <v>4562</v>
      </c>
      <c r="H203" s="39" t="s">
        <v>7265</v>
      </c>
      <c r="I203" s="39" t="s">
        <v>4624</v>
      </c>
      <c r="J203" s="39" t="s">
        <v>7266</v>
      </c>
      <c r="K203" s="39" t="s">
        <v>133</v>
      </c>
      <c r="L203" s="39" t="s">
        <v>4998</v>
      </c>
      <c r="M203" s="39" t="s">
        <v>4620</v>
      </c>
      <c r="N203" s="39">
        <v>8</v>
      </c>
      <c r="O203" s="39">
        <v>-10</v>
      </c>
      <c r="P203" s="39">
        <v>-2</v>
      </c>
      <c r="Q203" s="39" t="s">
        <v>4611</v>
      </c>
      <c r="R203" s="39">
        <v>-0.53</v>
      </c>
      <c r="S203" s="39">
        <v>-1.21</v>
      </c>
      <c r="T203" s="39">
        <v>0.99</v>
      </c>
      <c r="U203" s="39">
        <v>21.32</v>
      </c>
      <c r="V203" s="39">
        <v>45.47</v>
      </c>
      <c r="W203" s="39">
        <v>25.94</v>
      </c>
      <c r="X203" s="39">
        <v>61.87</v>
      </c>
      <c r="Y203" s="39">
        <v>51.33</v>
      </c>
      <c r="Z203" s="39" t="s">
        <v>4538</v>
      </c>
      <c r="AA203" s="39" t="s">
        <v>4538</v>
      </c>
      <c r="AB203" s="39" t="s">
        <v>4538</v>
      </c>
      <c r="AC203" s="39" t="s">
        <v>4538</v>
      </c>
      <c r="AD203" s="39" t="s">
        <v>4606</v>
      </c>
      <c r="AE203" s="39">
        <v>15.53</v>
      </c>
      <c r="AF203" s="39">
        <v>19</v>
      </c>
      <c r="AG203" s="42">
        <v>0.27400000000000002</v>
      </c>
      <c r="AH203" s="42">
        <v>106</v>
      </c>
      <c r="AI203" s="42">
        <v>0.13150000000000001</v>
      </c>
      <c r="AJ203" s="42" t="s">
        <v>7267</v>
      </c>
      <c r="AK203" s="42">
        <v>0.26269999999999999</v>
      </c>
      <c r="AL203" s="42" t="s">
        <v>7268</v>
      </c>
      <c r="AM203" s="42">
        <v>7.3700000000000002E-2</v>
      </c>
      <c r="AN203" s="42">
        <v>0.1123</v>
      </c>
      <c r="AO203" s="41">
        <v>50</v>
      </c>
      <c r="AP203" s="39">
        <v>19</v>
      </c>
      <c r="AQ203" s="39">
        <v>70</v>
      </c>
      <c r="AR203" s="45">
        <v>1944</v>
      </c>
      <c r="AS203" s="39">
        <v>-3</v>
      </c>
      <c r="AT203" s="39" t="s">
        <v>129</v>
      </c>
      <c r="AU203" s="39">
        <v>7</v>
      </c>
      <c r="AV203" s="39" t="s">
        <v>6414</v>
      </c>
      <c r="AW203" s="39">
        <v>2014.12</v>
      </c>
      <c r="AX203" s="39">
        <v>2029.13</v>
      </c>
      <c r="AY203" s="39">
        <v>2045.72</v>
      </c>
      <c r="AZ203" s="39">
        <v>1982.52</v>
      </c>
      <c r="BA203" s="39">
        <v>1965.93</v>
      </c>
      <c r="BB203" s="39">
        <v>1950.92</v>
      </c>
      <c r="BC203" s="39">
        <v>7</v>
      </c>
      <c r="BD203" s="39">
        <v>3</v>
      </c>
      <c r="BE203" s="39">
        <v>5</v>
      </c>
      <c r="BF203" s="39" t="s">
        <v>130</v>
      </c>
      <c r="BG203" s="39">
        <v>486.2</v>
      </c>
      <c r="BH203" s="39">
        <v>0.2</v>
      </c>
      <c r="BI203" s="39" t="s">
        <v>4563</v>
      </c>
      <c r="BJ203" s="39" t="s">
        <v>4563</v>
      </c>
    </row>
    <row r="204" spans="1:62" x14ac:dyDescent="0.35">
      <c r="A204" s="39" t="s">
        <v>1290</v>
      </c>
      <c r="B204" s="39" t="str">
        <f>IFERROR(INDEX(added_new_stocks!$F$6:$H$2155,MATCH($A204,added_new_stocks!$F$6:$F$2600,0),3),"")</f>
        <v>Small</v>
      </c>
      <c r="C204" s="39">
        <v>849.6</v>
      </c>
      <c r="D204" s="48">
        <v>74</v>
      </c>
      <c r="G204" s="39" t="s">
        <v>129</v>
      </c>
      <c r="H204" s="39" t="s">
        <v>7269</v>
      </c>
      <c r="I204" s="39" t="s">
        <v>4624</v>
      </c>
      <c r="J204" s="39" t="s">
        <v>7270</v>
      </c>
      <c r="K204" s="39" t="s">
        <v>4615</v>
      </c>
      <c r="L204" s="39" t="s">
        <v>7271</v>
      </c>
      <c r="M204" s="39" t="s">
        <v>135</v>
      </c>
      <c r="N204" s="39">
        <v>28</v>
      </c>
      <c r="O204" s="39">
        <v>0</v>
      </c>
      <c r="P204" s="39">
        <v>28</v>
      </c>
      <c r="Q204" s="39" t="s">
        <v>5060</v>
      </c>
      <c r="R204" s="39">
        <v>-3.16</v>
      </c>
      <c r="S204" s="39">
        <v>-1.83</v>
      </c>
      <c r="T204" s="39">
        <v>15.04</v>
      </c>
      <c r="U204" s="39">
        <v>55.26</v>
      </c>
      <c r="V204" s="39">
        <v>127.56</v>
      </c>
      <c r="W204" s="39">
        <v>161.94</v>
      </c>
      <c r="X204" s="39">
        <v>155.44</v>
      </c>
      <c r="Y204" s="39">
        <v>125.63</v>
      </c>
      <c r="Z204" s="39">
        <v>534.98</v>
      </c>
      <c r="AA204" s="39">
        <v>475.8</v>
      </c>
      <c r="AB204" s="39">
        <v>214.61</v>
      </c>
      <c r="AC204" s="39">
        <v>467.72</v>
      </c>
      <c r="AD204" s="39" t="s">
        <v>4606</v>
      </c>
      <c r="AE204" s="39" t="s">
        <v>134</v>
      </c>
      <c r="AF204" s="39">
        <v>3</v>
      </c>
      <c r="AG204" s="42">
        <v>6.7400000000000002E-2</v>
      </c>
      <c r="AH204" s="42">
        <v>61</v>
      </c>
      <c r="AI204" s="42">
        <v>1.7899999999999999E-2</v>
      </c>
      <c r="AJ204" s="42" t="s">
        <v>7272</v>
      </c>
      <c r="AK204" s="42">
        <v>0.23910000000000001</v>
      </c>
      <c r="AL204" s="42" t="s">
        <v>5573</v>
      </c>
      <c r="AM204" s="42">
        <v>5.4199999999999998E-2</v>
      </c>
      <c r="AN204" s="42">
        <v>0.16930000000000001</v>
      </c>
      <c r="AO204" s="41">
        <v>90</v>
      </c>
      <c r="AP204" s="39">
        <v>34</v>
      </c>
      <c r="AQ204" s="39">
        <v>70</v>
      </c>
      <c r="AR204" s="39">
        <v>626</v>
      </c>
      <c r="AS204" s="39">
        <v>-27</v>
      </c>
      <c r="AT204" s="39" t="s">
        <v>4633</v>
      </c>
      <c r="AU204" s="39">
        <v>1</v>
      </c>
      <c r="AV204" s="39" t="s">
        <v>6415</v>
      </c>
      <c r="AW204" s="39">
        <v>878.9</v>
      </c>
      <c r="AX204" s="39">
        <v>896.45</v>
      </c>
      <c r="AY204" s="39">
        <v>912.7</v>
      </c>
      <c r="AZ204" s="39">
        <v>845.1</v>
      </c>
      <c r="BA204" s="39">
        <v>828.85</v>
      </c>
      <c r="BB204" s="39">
        <v>811.3</v>
      </c>
      <c r="BC204" s="39">
        <v>10</v>
      </c>
      <c r="BD204" s="39">
        <v>3</v>
      </c>
      <c r="BE204" s="39">
        <v>5</v>
      </c>
      <c r="BF204" s="39" t="s">
        <v>130</v>
      </c>
      <c r="BG204" s="39">
        <v>282</v>
      </c>
      <c r="BH204" s="39">
        <v>0.3</v>
      </c>
      <c r="BI204" s="39" t="s">
        <v>4563</v>
      </c>
      <c r="BJ204" s="39" t="s">
        <v>4563</v>
      </c>
    </row>
    <row r="205" spans="1:62" x14ac:dyDescent="0.35">
      <c r="A205" s="39" t="s">
        <v>997</v>
      </c>
      <c r="B205" s="39" t="str">
        <f>IFERROR(INDEX(added_new_stocks!$F$6:$H$2155,MATCH($A205,added_new_stocks!$F$6:$F$2600,0),3),"")</f>
        <v>Mid</v>
      </c>
      <c r="C205" s="39">
        <v>465.9</v>
      </c>
      <c r="D205" s="39">
        <v>75</v>
      </c>
      <c r="G205" s="39" t="s">
        <v>129</v>
      </c>
      <c r="H205" s="39" t="s">
        <v>7273</v>
      </c>
      <c r="I205" s="39" t="s">
        <v>4624</v>
      </c>
      <c r="J205" s="39" t="s">
        <v>7274</v>
      </c>
      <c r="K205" s="39" t="s">
        <v>133</v>
      </c>
      <c r="L205" s="39" t="s">
        <v>7275</v>
      </c>
      <c r="M205" s="39" t="s">
        <v>135</v>
      </c>
      <c r="N205" s="39">
        <v>23</v>
      </c>
      <c r="O205" s="39">
        <v>-9</v>
      </c>
      <c r="P205" s="39">
        <v>14</v>
      </c>
      <c r="Q205" s="39" t="s">
        <v>14</v>
      </c>
      <c r="R205" s="39">
        <v>0.4</v>
      </c>
      <c r="S205" s="39">
        <v>-0.56999999999999995</v>
      </c>
      <c r="T205" s="39">
        <v>5.97</v>
      </c>
      <c r="U205" s="39">
        <v>16.55</v>
      </c>
      <c r="V205" s="39">
        <v>50.44</v>
      </c>
      <c r="W205" s="39">
        <v>44.44</v>
      </c>
      <c r="X205" s="39">
        <v>105.42</v>
      </c>
      <c r="Y205" s="39">
        <v>115.84</v>
      </c>
      <c r="Z205" s="39">
        <v>267.14</v>
      </c>
      <c r="AA205" s="39">
        <v>179.15</v>
      </c>
      <c r="AB205" s="39">
        <v>48.64</v>
      </c>
      <c r="AC205" s="39">
        <v>203.91</v>
      </c>
      <c r="AD205" s="39" t="s">
        <v>4606</v>
      </c>
      <c r="AE205" s="39" t="s">
        <v>134</v>
      </c>
      <c r="AF205" s="39">
        <v>11</v>
      </c>
      <c r="AG205" s="42">
        <v>0.1898</v>
      </c>
      <c r="AH205" s="42">
        <v>82</v>
      </c>
      <c r="AI205" s="42">
        <v>6.1699999999999998E-2</v>
      </c>
      <c r="AJ205" s="42" t="s">
        <v>7276</v>
      </c>
      <c r="AK205" s="42">
        <v>0.12280000000000001</v>
      </c>
      <c r="AL205" s="42" t="s">
        <v>7277</v>
      </c>
      <c r="AM205" s="42">
        <v>8.8200000000000001E-2</v>
      </c>
      <c r="AN205" s="42">
        <v>0.18290000000000001</v>
      </c>
      <c r="AO205" s="41">
        <v>55</v>
      </c>
      <c r="AP205" s="39">
        <v>44</v>
      </c>
      <c r="AQ205" s="39">
        <v>62</v>
      </c>
      <c r="AR205" s="39">
        <v>552</v>
      </c>
      <c r="AS205" s="39">
        <v>18</v>
      </c>
      <c r="AT205" s="39" t="s">
        <v>4633</v>
      </c>
      <c r="AU205" s="39">
        <v>4</v>
      </c>
      <c r="AV205" s="39" t="s">
        <v>6416</v>
      </c>
      <c r="AW205" s="39">
        <v>471.07</v>
      </c>
      <c r="AX205" s="39">
        <v>475.48</v>
      </c>
      <c r="AY205" s="39">
        <v>480.97</v>
      </c>
      <c r="AZ205" s="39">
        <v>461.17</v>
      </c>
      <c r="BA205" s="39">
        <v>455.68</v>
      </c>
      <c r="BB205" s="39">
        <v>451.27</v>
      </c>
      <c r="BC205" s="39">
        <v>12</v>
      </c>
      <c r="BD205" s="39">
        <v>2</v>
      </c>
      <c r="BE205" s="39">
        <v>4</v>
      </c>
      <c r="BF205" s="39" t="s">
        <v>130</v>
      </c>
      <c r="BG205" s="39">
        <v>304.89999999999998</v>
      </c>
      <c r="BH205" s="39">
        <v>0.7</v>
      </c>
      <c r="BI205" s="39" t="s">
        <v>4563</v>
      </c>
      <c r="BJ205" s="39" t="s">
        <v>4563</v>
      </c>
    </row>
    <row r="206" spans="1:62" x14ac:dyDescent="0.35">
      <c r="A206" s="39" t="s">
        <v>1429</v>
      </c>
      <c r="B206" s="39" t="str">
        <f>IFERROR(INDEX(added_new_stocks!$F$6:$H$2155,MATCH($A206,added_new_stocks!$F$6:$F$2600,0),3),"")</f>
        <v>Small</v>
      </c>
      <c r="C206" s="48">
        <v>3573.6</v>
      </c>
      <c r="D206" s="39">
        <v>62</v>
      </c>
      <c r="G206" s="39" t="s">
        <v>4562</v>
      </c>
      <c r="H206" s="39" t="s">
        <v>7278</v>
      </c>
      <c r="I206" s="39" t="s">
        <v>4624</v>
      </c>
      <c r="J206" s="39" t="s">
        <v>7279</v>
      </c>
      <c r="K206" s="39" t="s">
        <v>4615</v>
      </c>
      <c r="L206" s="39" t="s">
        <v>7280</v>
      </c>
      <c r="M206" s="39" t="s">
        <v>135</v>
      </c>
      <c r="N206" s="39">
        <v>11</v>
      </c>
      <c r="O206" s="39">
        <v>-16</v>
      </c>
      <c r="P206" s="39">
        <v>-5</v>
      </c>
      <c r="Q206" s="39" t="s">
        <v>4611</v>
      </c>
      <c r="R206" s="39">
        <v>-0.66</v>
      </c>
      <c r="S206" s="39">
        <v>0.47</v>
      </c>
      <c r="T206" s="39">
        <v>3.59</v>
      </c>
      <c r="U206" s="39">
        <v>40.630000000000003</v>
      </c>
      <c r="V206" s="39">
        <v>59.25</v>
      </c>
      <c r="W206" s="39">
        <v>85.03</v>
      </c>
      <c r="X206" s="39">
        <v>128.69999999999999</v>
      </c>
      <c r="Y206" s="39">
        <v>148.43</v>
      </c>
      <c r="Z206" s="39">
        <v>434.97</v>
      </c>
      <c r="AA206" s="39">
        <v>431.94</v>
      </c>
      <c r="AB206" s="39">
        <v>230.06</v>
      </c>
      <c r="AC206" s="39">
        <v>1300.5899999999999</v>
      </c>
      <c r="AD206" s="39" t="s">
        <v>4606</v>
      </c>
      <c r="AE206" s="39" t="s">
        <v>134</v>
      </c>
      <c r="AF206" s="39">
        <v>2</v>
      </c>
      <c r="AG206" s="42">
        <v>0</v>
      </c>
      <c r="AH206" s="42">
        <v>21</v>
      </c>
      <c r="AI206" s="42">
        <v>5.7000000000000002E-3</v>
      </c>
      <c r="AJ206" s="42" t="s">
        <v>7281</v>
      </c>
      <c r="AK206" s="42">
        <v>0.1641</v>
      </c>
      <c r="AL206" s="42" t="s">
        <v>7282</v>
      </c>
      <c r="AM206" s="42">
        <v>1.21E-2</v>
      </c>
      <c r="AN206" s="42">
        <v>0.18110000000000001</v>
      </c>
      <c r="AO206" s="41">
        <v>50</v>
      </c>
      <c r="AP206" s="39">
        <v>72</v>
      </c>
      <c r="AQ206" s="39">
        <v>65</v>
      </c>
      <c r="AS206" s="39" t="s">
        <v>4564</v>
      </c>
      <c r="AW206" s="39">
        <v>3526.38</v>
      </c>
      <c r="AX206" s="39">
        <v>3567.22</v>
      </c>
      <c r="AY206" s="39">
        <v>3610.38</v>
      </c>
      <c r="AZ206" s="39">
        <v>3442.38</v>
      </c>
      <c r="BA206" s="39">
        <v>3399.22</v>
      </c>
      <c r="BB206" s="39">
        <v>3358.38</v>
      </c>
      <c r="BC206" s="39">
        <v>6</v>
      </c>
      <c r="BD206" s="39">
        <v>2</v>
      </c>
      <c r="BE206" s="39" t="s">
        <v>130</v>
      </c>
      <c r="BF206" s="39">
        <v>-0.57999999999999996</v>
      </c>
      <c r="BG206" s="39">
        <v>6</v>
      </c>
      <c r="BH206" s="48">
        <v>4953.7</v>
      </c>
      <c r="BI206" s="39" t="s">
        <v>4563</v>
      </c>
      <c r="BJ206" s="39" t="s">
        <v>4563</v>
      </c>
    </row>
    <row r="207" spans="1:62" x14ac:dyDescent="0.35">
      <c r="A207" s="39" t="s">
        <v>6235</v>
      </c>
      <c r="B207" s="39" t="str">
        <f>IFERROR(INDEX(added_new_stocks!$F$6:$H$2155,MATCH($A207,added_new_stocks!$F$6:$F$2600,0),3),"")</f>
        <v/>
      </c>
      <c r="C207" s="39">
        <v>639.79999999999995</v>
      </c>
      <c r="D207" s="48">
        <v>51</v>
      </c>
      <c r="G207" s="39" t="s">
        <v>4562</v>
      </c>
      <c r="H207" s="39" t="s">
        <v>7283</v>
      </c>
      <c r="I207" s="39" t="s">
        <v>4989</v>
      </c>
      <c r="J207" s="39" t="s">
        <v>7284</v>
      </c>
      <c r="K207" s="39" t="s">
        <v>133</v>
      </c>
      <c r="L207" s="39" t="s">
        <v>7285</v>
      </c>
      <c r="M207" s="39" t="s">
        <v>4620</v>
      </c>
      <c r="N207" s="39">
        <v>2</v>
      </c>
      <c r="O207" s="39">
        <v>-11</v>
      </c>
      <c r="P207" s="39">
        <v>-9</v>
      </c>
      <c r="Q207" s="39" t="s">
        <v>4605</v>
      </c>
      <c r="R207" s="39">
        <v>0.89</v>
      </c>
      <c r="S207" s="39">
        <v>-1.55</v>
      </c>
      <c r="T207" s="39">
        <v>-2.0099999999999998</v>
      </c>
      <c r="U207" s="39">
        <v>11.4</v>
      </c>
      <c r="V207" s="39" t="s">
        <v>4538</v>
      </c>
      <c r="W207" s="39" t="s">
        <v>4538</v>
      </c>
      <c r="X207" s="39" t="s">
        <v>4538</v>
      </c>
      <c r="Y207" s="39" t="s">
        <v>4538</v>
      </c>
      <c r="Z207" s="39" t="s">
        <v>4538</v>
      </c>
      <c r="AA207" s="39" t="s">
        <v>4538</v>
      </c>
      <c r="AB207" s="39" t="s">
        <v>4538</v>
      </c>
      <c r="AC207" s="39" t="s">
        <v>4538</v>
      </c>
      <c r="AD207" s="39" t="s">
        <v>4606</v>
      </c>
      <c r="AE207" s="39" t="s">
        <v>134</v>
      </c>
      <c r="AF207" s="39">
        <v>12</v>
      </c>
      <c r="AG207" s="42">
        <v>0.26279999999999998</v>
      </c>
      <c r="AH207" s="42">
        <v>27</v>
      </c>
      <c r="AI207" s="42">
        <v>3.8999999999999998E-3</v>
      </c>
      <c r="AJ207" s="42" t="s">
        <v>7281</v>
      </c>
      <c r="AK207" s="42">
        <v>0.1159</v>
      </c>
      <c r="AL207" s="42" t="s">
        <v>5573</v>
      </c>
      <c r="AM207" s="42">
        <v>6.4199999999999993E-2</v>
      </c>
      <c r="AN207" s="42">
        <v>0.21959999999999999</v>
      </c>
      <c r="AO207" s="41">
        <v>75</v>
      </c>
      <c r="AP207" s="39">
        <v>23</v>
      </c>
      <c r="AQ207" s="39">
        <v>63</v>
      </c>
      <c r="AR207" s="39">
        <v>770</v>
      </c>
      <c r="AS207" s="39">
        <v>21</v>
      </c>
      <c r="AT207" s="39" t="s">
        <v>4633</v>
      </c>
      <c r="AU207" s="39">
        <v>2</v>
      </c>
      <c r="AV207" s="39" t="s">
        <v>6417</v>
      </c>
      <c r="AW207" s="39">
        <v>650.42999999999995</v>
      </c>
      <c r="AX207" s="39">
        <v>663.62</v>
      </c>
      <c r="AY207" s="39">
        <v>670.83</v>
      </c>
      <c r="AZ207" s="39">
        <v>630.03</v>
      </c>
      <c r="BA207" s="39">
        <v>622.82000000000005</v>
      </c>
      <c r="BB207" s="39">
        <v>609.63</v>
      </c>
      <c r="BC207" s="39">
        <v>12</v>
      </c>
      <c r="BD207" s="39">
        <v>3</v>
      </c>
      <c r="BE207" s="39">
        <v>1</v>
      </c>
      <c r="BF207" s="39" t="s">
        <v>130</v>
      </c>
      <c r="BG207" s="39">
        <v>217.2</v>
      </c>
      <c r="BH207" s="39">
        <v>0.3</v>
      </c>
      <c r="BI207" s="39" t="s">
        <v>4563</v>
      </c>
      <c r="BJ207" s="39" t="s">
        <v>4563</v>
      </c>
    </row>
    <row r="208" spans="1:62" x14ac:dyDescent="0.35">
      <c r="A208" s="39" t="s">
        <v>1389</v>
      </c>
      <c r="B208" s="39" t="str">
        <f>IFERROR(INDEX(added_new_stocks!$F$6:$H$2155,MATCH($A208,added_new_stocks!$F$6:$F$2600,0),3),"")</f>
        <v>Small</v>
      </c>
      <c r="C208" s="39">
        <v>692.6</v>
      </c>
      <c r="D208" s="39">
        <v>75</v>
      </c>
      <c r="G208" s="39" t="s">
        <v>129</v>
      </c>
      <c r="H208" s="39" t="s">
        <v>7286</v>
      </c>
      <c r="I208" s="39" t="s">
        <v>4624</v>
      </c>
      <c r="J208" s="39" t="s">
        <v>7287</v>
      </c>
      <c r="K208" s="39" t="s">
        <v>133</v>
      </c>
      <c r="L208" s="39" t="s">
        <v>7288</v>
      </c>
      <c r="M208" s="39" t="s">
        <v>135</v>
      </c>
      <c r="N208" s="39">
        <v>11</v>
      </c>
      <c r="O208" s="39">
        <v>0</v>
      </c>
      <c r="P208" s="39">
        <v>11</v>
      </c>
      <c r="Q208" s="39" t="s">
        <v>14</v>
      </c>
      <c r="R208" s="39">
        <v>-1.23</v>
      </c>
      <c r="S208" s="39">
        <v>-3.68</v>
      </c>
      <c r="T208" s="39">
        <v>0.22</v>
      </c>
      <c r="U208" s="39">
        <v>40.5</v>
      </c>
      <c r="V208" s="39">
        <v>72.959999999999994</v>
      </c>
      <c r="W208" s="39">
        <v>34.6</v>
      </c>
      <c r="X208" s="39">
        <v>65.22</v>
      </c>
      <c r="Y208" s="39">
        <v>323.63</v>
      </c>
      <c r="Z208" s="39">
        <v>332.15</v>
      </c>
      <c r="AA208" s="39">
        <v>247.87</v>
      </c>
      <c r="AB208" s="39">
        <v>139.65</v>
      </c>
      <c r="AC208" s="39">
        <v>365.49</v>
      </c>
      <c r="AD208" s="39" t="s">
        <v>4606</v>
      </c>
      <c r="AE208" s="39" t="s">
        <v>134</v>
      </c>
      <c r="AF208" s="39">
        <v>5</v>
      </c>
      <c r="AG208" s="42">
        <v>5.6099999999999997E-2</v>
      </c>
      <c r="AH208" s="42">
        <v>42</v>
      </c>
      <c r="AI208" s="42">
        <v>2.6100000000000002E-2</v>
      </c>
      <c r="AJ208" s="42" t="s">
        <v>7289</v>
      </c>
      <c r="AK208" s="42">
        <v>0.49919999999999998</v>
      </c>
      <c r="AL208" s="42" t="s">
        <v>5792</v>
      </c>
      <c r="AM208" s="42">
        <v>4.3200000000000002E-2</v>
      </c>
      <c r="AN208" s="42">
        <v>0.12759999999999999</v>
      </c>
      <c r="AO208" s="41">
        <v>80</v>
      </c>
      <c r="AP208" s="39">
        <v>23</v>
      </c>
      <c r="AQ208" s="39">
        <v>64</v>
      </c>
      <c r="AR208" s="39">
        <v>680</v>
      </c>
      <c r="AS208" s="39">
        <v>-4</v>
      </c>
      <c r="AT208" s="39" t="s">
        <v>129</v>
      </c>
      <c r="AU208" s="39">
        <v>5</v>
      </c>
      <c r="AV208" s="39" t="s">
        <v>6418</v>
      </c>
      <c r="AW208" s="39">
        <v>713.03</v>
      </c>
      <c r="AX208" s="39">
        <v>719.92</v>
      </c>
      <c r="AY208" s="39">
        <v>729.43</v>
      </c>
      <c r="AZ208" s="39">
        <v>696.63</v>
      </c>
      <c r="BA208" s="39">
        <v>687.12</v>
      </c>
      <c r="BB208" s="39">
        <v>680.23</v>
      </c>
      <c r="BC208" s="39">
        <v>16</v>
      </c>
      <c r="BD208" s="39">
        <v>1</v>
      </c>
      <c r="BE208" s="39">
        <v>4</v>
      </c>
      <c r="BF208" s="39" t="s">
        <v>130</v>
      </c>
      <c r="BG208" s="39">
        <v>206.2</v>
      </c>
      <c r="BH208" s="39">
        <v>0.3</v>
      </c>
      <c r="BI208" s="39" t="s">
        <v>4563</v>
      </c>
      <c r="BJ208" s="39" t="s">
        <v>132</v>
      </c>
    </row>
    <row r="209" spans="1:62" x14ac:dyDescent="0.35">
      <c r="A209" s="39" t="s">
        <v>912</v>
      </c>
      <c r="B209" s="39" t="str">
        <f>IFERROR(INDEX(added_new_stocks!$F$6:$H$2155,MATCH($A209,added_new_stocks!$F$6:$F$2600,0),3),"")</f>
        <v>Mid</v>
      </c>
      <c r="C209" s="39">
        <v>269.75</v>
      </c>
      <c r="D209" s="39">
        <v>61</v>
      </c>
      <c r="G209" s="39" t="s">
        <v>4562</v>
      </c>
      <c r="H209" s="39" t="s">
        <v>7290</v>
      </c>
      <c r="I209" s="39" t="s">
        <v>4989</v>
      </c>
      <c r="J209" s="39" t="s">
        <v>7291</v>
      </c>
      <c r="K209" s="39" t="s">
        <v>133</v>
      </c>
      <c r="L209" s="39" t="s">
        <v>7292</v>
      </c>
      <c r="M209" s="39" t="s">
        <v>5047</v>
      </c>
      <c r="N209" s="39">
        <v>11</v>
      </c>
      <c r="O209" s="39">
        <v>0</v>
      </c>
      <c r="P209" s="39">
        <v>11</v>
      </c>
      <c r="Q209" s="39" t="s">
        <v>14</v>
      </c>
      <c r="R209" s="39">
        <v>0.73</v>
      </c>
      <c r="S209" s="39">
        <v>-0.99</v>
      </c>
      <c r="T209" s="39">
        <v>10.44</v>
      </c>
      <c r="U209" s="39">
        <v>10.69</v>
      </c>
      <c r="V209" s="39">
        <v>2.08</v>
      </c>
      <c r="W209" s="39">
        <v>5.7</v>
      </c>
      <c r="X209" s="39">
        <v>3.43</v>
      </c>
      <c r="Y209" s="39">
        <v>-15.94</v>
      </c>
      <c r="Z209" s="39">
        <v>99</v>
      </c>
      <c r="AA209" s="39">
        <v>154.72</v>
      </c>
      <c r="AB209" s="39">
        <v>132.88999999999999</v>
      </c>
      <c r="AC209" s="39">
        <v>2147.92</v>
      </c>
      <c r="AD209" s="39" t="s">
        <v>4606</v>
      </c>
      <c r="AE209" s="39" t="s">
        <v>134</v>
      </c>
      <c r="AF209" s="39">
        <v>21</v>
      </c>
      <c r="AG209" s="42">
        <v>0.3301</v>
      </c>
      <c r="AH209" s="42">
        <v>94</v>
      </c>
      <c r="AI209" s="42">
        <v>5.9700000000000003E-2</v>
      </c>
      <c r="AJ209" s="42" t="s">
        <v>7293</v>
      </c>
      <c r="AK209" s="42">
        <v>0.32150000000000001</v>
      </c>
      <c r="AL209" s="42" t="s">
        <v>5410</v>
      </c>
      <c r="AM209" s="42">
        <v>6.6000000000000003E-2</v>
      </c>
      <c r="AN209" s="42">
        <v>7.9100000000000004E-2</v>
      </c>
      <c r="AO209" s="41">
        <v>80</v>
      </c>
      <c r="AP209" s="39">
        <v>44</v>
      </c>
      <c r="AQ209" s="39">
        <v>54</v>
      </c>
      <c r="AR209" s="39">
        <v>289</v>
      </c>
      <c r="AS209" s="39">
        <v>8</v>
      </c>
      <c r="AT209" s="39" t="s">
        <v>129</v>
      </c>
      <c r="AU209" s="39">
        <v>18</v>
      </c>
      <c r="AV209" s="39" t="s">
        <v>6419</v>
      </c>
      <c r="AW209" s="39">
        <v>269.57</v>
      </c>
      <c r="AX209" s="39">
        <v>272.88</v>
      </c>
      <c r="AY209" s="39">
        <v>277.17</v>
      </c>
      <c r="AZ209" s="39">
        <v>261.97000000000003</v>
      </c>
      <c r="BA209" s="39">
        <v>257.68</v>
      </c>
      <c r="BB209" s="39">
        <v>254.37</v>
      </c>
      <c r="BC209" s="39">
        <v>9</v>
      </c>
      <c r="BD209" s="39">
        <v>1</v>
      </c>
      <c r="BE209" s="39">
        <v>6</v>
      </c>
      <c r="BF209" s="39" t="s">
        <v>130</v>
      </c>
      <c r="BG209" s="39">
        <v>198.8</v>
      </c>
      <c r="BH209" s="39">
        <v>0.7</v>
      </c>
      <c r="BI209" s="39" t="s">
        <v>131</v>
      </c>
      <c r="BJ209" s="39" t="s">
        <v>4563</v>
      </c>
    </row>
    <row r="210" spans="1:62" x14ac:dyDescent="0.35">
      <c r="A210" s="39" t="s">
        <v>199</v>
      </c>
      <c r="B210" s="39" t="str">
        <f>IFERROR(INDEX(added_new_stocks!$F$6:$H$2155,MATCH($A210,added_new_stocks!$F$6:$F$2600,0),3),"")</f>
        <v>Large</v>
      </c>
      <c r="C210" s="48">
        <v>1775.75</v>
      </c>
      <c r="D210" s="39">
        <v>57</v>
      </c>
      <c r="G210" s="39" t="s">
        <v>4562</v>
      </c>
      <c r="H210" s="39" t="s">
        <v>5415</v>
      </c>
      <c r="I210" s="39" t="s">
        <v>4976</v>
      </c>
      <c r="J210" s="39" t="s">
        <v>5416</v>
      </c>
      <c r="K210" s="39" t="s">
        <v>4957</v>
      </c>
      <c r="L210" s="39" t="s">
        <v>5417</v>
      </c>
      <c r="M210" s="39" t="s">
        <v>4620</v>
      </c>
      <c r="N210" s="39">
        <v>23</v>
      </c>
      <c r="O210" s="39">
        <v>-4</v>
      </c>
      <c r="P210" s="39">
        <v>19</v>
      </c>
      <c r="Q210" s="39" t="s">
        <v>14</v>
      </c>
      <c r="R210" s="39">
        <v>-0.35</v>
      </c>
      <c r="S210" s="39">
        <v>-0.23</v>
      </c>
      <c r="T210" s="39">
        <v>-5.39</v>
      </c>
      <c r="U210" s="39">
        <v>-10.02</v>
      </c>
      <c r="V210" s="39">
        <v>3.11</v>
      </c>
      <c r="W210" s="39">
        <v>-2.78</v>
      </c>
      <c r="X210" s="39">
        <v>-7.28</v>
      </c>
      <c r="Y210" s="39">
        <v>2.2999999999999998</v>
      </c>
      <c r="Z210" s="39">
        <v>20.99</v>
      </c>
      <c r="AA210" s="39">
        <v>24.03</v>
      </c>
      <c r="AB210" s="39">
        <v>39.159999999999997</v>
      </c>
      <c r="AC210" s="39">
        <v>438.88</v>
      </c>
      <c r="AD210" s="39" t="s">
        <v>4974</v>
      </c>
      <c r="AE210" s="39" t="s">
        <v>134</v>
      </c>
      <c r="AF210" s="39">
        <v>36</v>
      </c>
      <c r="AG210" s="42">
        <v>9.4500000000000001E-2</v>
      </c>
      <c r="AH210" s="42">
        <v>1231</v>
      </c>
      <c r="AI210" s="42">
        <v>0.39879999999999999</v>
      </c>
      <c r="AJ210" s="42" t="s">
        <v>5418</v>
      </c>
      <c r="AK210" s="42">
        <v>0.25719999999999998</v>
      </c>
      <c r="AL210" s="42" t="s">
        <v>136</v>
      </c>
      <c r="AM210" s="42">
        <v>6.2100000000000002E-2</v>
      </c>
      <c r="AN210" s="42">
        <v>8.2500000000000004E-2</v>
      </c>
      <c r="AO210" s="41">
        <v>40</v>
      </c>
      <c r="AP210" s="39">
        <v>30</v>
      </c>
      <c r="AQ210" s="39">
        <v>43</v>
      </c>
      <c r="AR210" s="45">
        <v>2161</v>
      </c>
      <c r="AS210" s="39">
        <v>22</v>
      </c>
      <c r="AT210" s="39" t="s">
        <v>4562</v>
      </c>
      <c r="AU210" s="39">
        <v>36</v>
      </c>
      <c r="AV210" s="39" t="s">
        <v>6420</v>
      </c>
      <c r="AW210" s="39">
        <v>1789.8</v>
      </c>
      <c r="AX210" s="39">
        <v>1800.75</v>
      </c>
      <c r="AY210" s="39">
        <v>1812.15</v>
      </c>
      <c r="AZ210" s="39">
        <v>1767.45</v>
      </c>
      <c r="BA210" s="39">
        <v>1756.05</v>
      </c>
      <c r="BB210" s="39">
        <v>1745.1</v>
      </c>
      <c r="BC210" s="39">
        <v>12</v>
      </c>
      <c r="BD210" s="39">
        <v>4</v>
      </c>
      <c r="BE210" s="39">
        <v>5</v>
      </c>
      <c r="BF210" s="39" t="s">
        <v>130</v>
      </c>
      <c r="BG210" s="48">
        <v>1019.6</v>
      </c>
      <c r="BH210" s="39">
        <v>0.6</v>
      </c>
      <c r="BI210" s="39" t="s">
        <v>4639</v>
      </c>
      <c r="BJ210" s="39" t="s">
        <v>132</v>
      </c>
    </row>
    <row r="211" spans="1:62" x14ac:dyDescent="0.35">
      <c r="A211" s="39" t="s">
        <v>514</v>
      </c>
      <c r="B211" s="39" t="str">
        <f>IFERROR(INDEX(added_new_stocks!$F$6:$H$2155,MATCH($A211,added_new_stocks!$F$6:$F$2600,0),3),"")</f>
        <v>Large</v>
      </c>
      <c r="C211" s="48">
        <v>1154.95</v>
      </c>
      <c r="D211" s="48">
        <v>71</v>
      </c>
      <c r="E211" s="39" t="s">
        <v>4987</v>
      </c>
      <c r="F211" s="39" t="s">
        <v>7294</v>
      </c>
      <c r="G211" s="39" t="s">
        <v>129</v>
      </c>
      <c r="H211" s="39" t="s">
        <v>7295</v>
      </c>
      <c r="I211" s="39" t="s">
        <v>4989</v>
      </c>
      <c r="J211" s="39" t="s">
        <v>7296</v>
      </c>
      <c r="K211" s="39" t="s">
        <v>4957</v>
      </c>
      <c r="L211" s="39" t="s">
        <v>5075</v>
      </c>
      <c r="M211" s="39" t="s">
        <v>4959</v>
      </c>
      <c r="N211" s="39">
        <v>31</v>
      </c>
      <c r="O211" s="39">
        <v>-15</v>
      </c>
      <c r="P211" s="39">
        <v>16</v>
      </c>
      <c r="Q211" s="39" t="s">
        <v>14</v>
      </c>
      <c r="R211" s="39">
        <v>-0.02</v>
      </c>
      <c r="S211" s="39">
        <v>-1.88</v>
      </c>
      <c r="T211" s="39">
        <v>7.78</v>
      </c>
      <c r="U211" s="39">
        <v>14.18</v>
      </c>
      <c r="V211" s="39">
        <v>36.56</v>
      </c>
      <c r="W211" s="39">
        <v>63.87</v>
      </c>
      <c r="X211" s="39">
        <v>105.69</v>
      </c>
      <c r="Y211" s="39">
        <v>243.94</v>
      </c>
      <c r="Z211" s="39">
        <v>1205.77</v>
      </c>
      <c r="AA211" s="39">
        <v>1094.3599999999999</v>
      </c>
      <c r="AB211" s="39" t="s">
        <v>4538</v>
      </c>
      <c r="AC211" s="39" t="s">
        <v>4538</v>
      </c>
      <c r="AD211" s="39" t="s">
        <v>4606</v>
      </c>
      <c r="AE211" s="39" t="s">
        <v>134</v>
      </c>
      <c r="AF211" s="39">
        <v>21</v>
      </c>
      <c r="AG211" s="42">
        <v>7.51E-2</v>
      </c>
      <c r="AH211" s="42">
        <v>373</v>
      </c>
      <c r="AI211" s="42">
        <v>0.2591</v>
      </c>
      <c r="AJ211" s="42" t="s">
        <v>7297</v>
      </c>
      <c r="AK211" s="42">
        <v>0.3241</v>
      </c>
      <c r="AL211" s="42" t="s">
        <v>5524</v>
      </c>
      <c r="AM211" s="42">
        <v>3.1099999999999999E-2</v>
      </c>
      <c r="AN211" s="42">
        <v>0.1694</v>
      </c>
      <c r="AO211" s="41">
        <v>55</v>
      </c>
      <c r="AP211" s="39">
        <v>12</v>
      </c>
      <c r="AQ211" s="39">
        <v>70</v>
      </c>
      <c r="AR211" s="39">
        <v>988</v>
      </c>
      <c r="AS211" s="39">
        <v>-14</v>
      </c>
      <c r="AT211" s="39" t="s">
        <v>4562</v>
      </c>
      <c r="AU211" s="39">
        <v>11</v>
      </c>
      <c r="AV211" s="39" t="s">
        <v>6421</v>
      </c>
      <c r="AW211" s="39">
        <v>1165.93</v>
      </c>
      <c r="AX211" s="39">
        <v>1184.32</v>
      </c>
      <c r="AY211" s="39">
        <v>1195.6300000000001</v>
      </c>
      <c r="AZ211" s="39">
        <v>1136.23</v>
      </c>
      <c r="BA211" s="39">
        <v>1124.92</v>
      </c>
      <c r="BB211" s="39">
        <v>1106.53</v>
      </c>
      <c r="BC211" s="39">
        <v>16</v>
      </c>
      <c r="BD211" s="39">
        <v>2</v>
      </c>
      <c r="BE211" s="39">
        <v>6</v>
      </c>
      <c r="BF211" s="39" t="s">
        <v>130</v>
      </c>
      <c r="BG211" s="39">
        <v>147.19999999999999</v>
      </c>
      <c r="BH211" s="39">
        <v>0.1</v>
      </c>
      <c r="BI211" s="39" t="s">
        <v>4563</v>
      </c>
      <c r="BJ211" s="39" t="s">
        <v>132</v>
      </c>
    </row>
    <row r="212" spans="1:62" x14ac:dyDescent="0.35">
      <c r="A212" s="39" t="s">
        <v>585</v>
      </c>
      <c r="B212" s="39" t="str">
        <f>IFERROR(INDEX(added_new_stocks!$F$6:$H$2155,MATCH($A212,added_new_stocks!$F$6:$F$2600,0),3),"")</f>
        <v>Mid</v>
      </c>
      <c r="C212" s="39">
        <v>760.6</v>
      </c>
      <c r="D212" s="48">
        <v>57</v>
      </c>
      <c r="G212" s="39" t="s">
        <v>4562</v>
      </c>
      <c r="H212" s="39" t="s">
        <v>5419</v>
      </c>
      <c r="I212" s="39" t="s">
        <v>4624</v>
      </c>
      <c r="J212" s="39" t="s">
        <v>5420</v>
      </c>
      <c r="K212" s="39" t="s">
        <v>133</v>
      </c>
      <c r="L212" s="39" t="s">
        <v>5421</v>
      </c>
      <c r="M212" s="39" t="s">
        <v>4959</v>
      </c>
      <c r="N212" s="39">
        <v>0</v>
      </c>
      <c r="O212" s="39">
        <v>-9</v>
      </c>
      <c r="P212" s="39">
        <v>-9</v>
      </c>
      <c r="Q212" s="39" t="s">
        <v>4605</v>
      </c>
      <c r="R212" s="39">
        <v>1.62</v>
      </c>
      <c r="S212" s="39">
        <v>5.87</v>
      </c>
      <c r="T212" s="39">
        <v>18.7</v>
      </c>
      <c r="U212" s="39">
        <v>30.22</v>
      </c>
      <c r="V212" s="39">
        <v>29.45</v>
      </c>
      <c r="W212" s="39">
        <v>47.17</v>
      </c>
      <c r="X212" s="39">
        <v>25.66</v>
      </c>
      <c r="Y212" s="39">
        <v>121.2</v>
      </c>
      <c r="Z212" s="39">
        <v>571.61</v>
      </c>
      <c r="AA212" s="39">
        <v>573.99</v>
      </c>
      <c r="AB212" s="39">
        <v>463.62</v>
      </c>
      <c r="AC212" s="39">
        <v>6392.53</v>
      </c>
      <c r="AD212" s="39" t="s">
        <v>4606</v>
      </c>
      <c r="AE212" s="39" t="s">
        <v>134</v>
      </c>
      <c r="AF212" s="39">
        <v>26</v>
      </c>
      <c r="AG212" s="42">
        <v>0.13689999999999999</v>
      </c>
      <c r="AH212" s="42">
        <v>113</v>
      </c>
      <c r="AI212" s="42">
        <v>3.0300000000000001E-2</v>
      </c>
      <c r="AJ212" s="42" t="s">
        <v>5422</v>
      </c>
      <c r="AK212" s="42">
        <v>0.2137</v>
      </c>
      <c r="AL212" s="42" t="s">
        <v>5423</v>
      </c>
      <c r="AM212" s="42">
        <v>4.5499999999999999E-2</v>
      </c>
      <c r="AN212" s="42">
        <v>6.2899999999999998E-2</v>
      </c>
      <c r="AO212" s="41">
        <v>50</v>
      </c>
      <c r="AP212" s="39">
        <v>22</v>
      </c>
      <c r="AQ212" s="39">
        <v>65</v>
      </c>
      <c r="AR212" s="39">
        <v>743</v>
      </c>
      <c r="AS212" s="39">
        <v>6</v>
      </c>
      <c r="AT212" s="39" t="s">
        <v>129</v>
      </c>
      <c r="AU212" s="39">
        <v>7</v>
      </c>
      <c r="AV212" s="39" t="s">
        <v>6422</v>
      </c>
      <c r="AW212" s="39">
        <v>711.83</v>
      </c>
      <c r="AX212" s="39">
        <v>723.87</v>
      </c>
      <c r="AY212" s="39">
        <v>733.98</v>
      </c>
      <c r="AZ212" s="39">
        <v>689.68</v>
      </c>
      <c r="BA212" s="39">
        <v>679.57</v>
      </c>
      <c r="BB212" s="39">
        <v>667.53</v>
      </c>
      <c r="BC212" s="39">
        <v>7</v>
      </c>
      <c r="BD212" s="39">
        <v>5</v>
      </c>
      <c r="BE212" s="39">
        <v>4</v>
      </c>
      <c r="BF212" s="39" t="s">
        <v>130</v>
      </c>
      <c r="BG212" s="39">
        <v>237.5</v>
      </c>
      <c r="BH212" s="39">
        <v>0.3</v>
      </c>
      <c r="BI212" s="39" t="s">
        <v>4563</v>
      </c>
      <c r="BJ212" s="39" t="s">
        <v>132</v>
      </c>
    </row>
    <row r="213" spans="1:62" x14ac:dyDescent="0.35">
      <c r="A213" s="39" t="s">
        <v>1754</v>
      </c>
      <c r="B213" s="39" t="str">
        <f>IFERROR(INDEX(added_new_stocks!$F$6:$H$2155,MATCH($A213,added_new_stocks!$F$6:$F$2600,0),3),"")</f>
        <v>Small</v>
      </c>
      <c r="C213" s="39">
        <v>621.79999999999995</v>
      </c>
      <c r="D213" s="39">
        <v>68</v>
      </c>
      <c r="G213" s="39" t="s">
        <v>4562</v>
      </c>
      <c r="H213" s="39" t="s">
        <v>7298</v>
      </c>
      <c r="I213" s="39" t="s">
        <v>4624</v>
      </c>
      <c r="J213" s="39" t="s">
        <v>7299</v>
      </c>
      <c r="K213" s="39" t="s">
        <v>4615</v>
      </c>
      <c r="L213" s="39" t="s">
        <v>5008</v>
      </c>
      <c r="M213" s="39" t="s">
        <v>4955</v>
      </c>
      <c r="N213" s="39">
        <v>3</v>
      </c>
      <c r="O213" s="39">
        <v>-3</v>
      </c>
      <c r="P213" s="39">
        <v>0</v>
      </c>
      <c r="Q213" s="39" t="s">
        <v>4611</v>
      </c>
      <c r="R213" s="39">
        <v>0.21</v>
      </c>
      <c r="S213" s="39">
        <v>6.2</v>
      </c>
      <c r="T213" s="39">
        <v>28.31</v>
      </c>
      <c r="U213" s="39">
        <v>8.6300000000000008</v>
      </c>
      <c r="V213" s="39">
        <v>72.7</v>
      </c>
      <c r="W213" s="39">
        <v>35.03</v>
      </c>
      <c r="X213" s="39">
        <v>29.16</v>
      </c>
      <c r="Y213" s="39">
        <v>-34.549999999999997</v>
      </c>
      <c r="Z213" s="39" t="s">
        <v>4538</v>
      </c>
      <c r="AA213" s="39" t="s">
        <v>4538</v>
      </c>
      <c r="AB213" s="39" t="s">
        <v>4538</v>
      </c>
      <c r="AC213" s="39" t="s">
        <v>4538</v>
      </c>
      <c r="AD213" s="39" t="s">
        <v>5015</v>
      </c>
      <c r="AE213" s="39" t="s">
        <v>134</v>
      </c>
      <c r="AF213" s="39">
        <v>6</v>
      </c>
      <c r="AG213" s="42">
        <v>0.1326</v>
      </c>
      <c r="AH213" s="42">
        <v>30</v>
      </c>
      <c r="AI213" s="42">
        <v>5.7000000000000002E-2</v>
      </c>
      <c r="AJ213" s="42" t="s">
        <v>7300</v>
      </c>
      <c r="AK213" s="42">
        <v>0.25569999999999998</v>
      </c>
      <c r="AL213" s="42" t="s">
        <v>5467</v>
      </c>
      <c r="AM213" s="42">
        <v>0.1588</v>
      </c>
      <c r="AN213" s="42">
        <v>0.21099999999999999</v>
      </c>
      <c r="AO213" s="41">
        <v>60</v>
      </c>
      <c r="AP213" s="39">
        <v>38</v>
      </c>
      <c r="AQ213" s="39">
        <v>68</v>
      </c>
      <c r="AR213" s="39">
        <v>951</v>
      </c>
      <c r="AS213" s="39">
        <v>66</v>
      </c>
      <c r="AT213" s="39" t="s">
        <v>4633</v>
      </c>
      <c r="AU213" s="39">
        <v>2</v>
      </c>
      <c r="AV213" s="39" t="s">
        <v>6423</v>
      </c>
      <c r="AW213" s="39">
        <v>588.66999999999996</v>
      </c>
      <c r="AX213" s="39">
        <v>604.67999999999995</v>
      </c>
      <c r="AY213" s="39">
        <v>614.41999999999996</v>
      </c>
      <c r="AZ213" s="39">
        <v>562.91999999999996</v>
      </c>
      <c r="BA213" s="39">
        <v>553.17999999999995</v>
      </c>
      <c r="BB213" s="39">
        <v>537.16999999999996</v>
      </c>
      <c r="BC213" s="39">
        <v>2</v>
      </c>
      <c r="BD213" s="39">
        <v>3</v>
      </c>
      <c r="BE213" s="39" t="s">
        <v>130</v>
      </c>
      <c r="BF213" s="39">
        <v>4.09</v>
      </c>
      <c r="BG213" s="39">
        <v>7</v>
      </c>
      <c r="BH213" s="39">
        <v>324.7</v>
      </c>
      <c r="BI213" s="39" t="s">
        <v>4565</v>
      </c>
      <c r="BJ213" s="39" t="s">
        <v>4563</v>
      </c>
    </row>
    <row r="214" spans="1:62" x14ac:dyDescent="0.35">
      <c r="A214" s="39" t="s">
        <v>909</v>
      </c>
      <c r="B214" s="39" t="str">
        <f>IFERROR(INDEX(added_new_stocks!$F$6:$H$2155,MATCH($A214,added_new_stocks!$F$6:$F$2600,0),3),"")</f>
        <v>Mid</v>
      </c>
      <c r="C214" s="48">
        <v>2790.25</v>
      </c>
      <c r="D214" s="39">
        <v>71</v>
      </c>
      <c r="G214" s="39" t="s">
        <v>129</v>
      </c>
      <c r="H214" s="39" t="s">
        <v>7301</v>
      </c>
      <c r="I214" s="39" t="s">
        <v>4624</v>
      </c>
      <c r="J214" s="39" t="s">
        <v>7302</v>
      </c>
      <c r="K214" s="39" t="s">
        <v>133</v>
      </c>
      <c r="L214" s="39" t="s">
        <v>7303</v>
      </c>
      <c r="M214" s="39" t="s">
        <v>4959</v>
      </c>
      <c r="N214" s="39">
        <v>15</v>
      </c>
      <c r="O214" s="39">
        <v>-4</v>
      </c>
      <c r="P214" s="39">
        <v>11</v>
      </c>
      <c r="Q214" s="39" t="s">
        <v>14</v>
      </c>
      <c r="R214" s="39">
        <v>3.08</v>
      </c>
      <c r="S214" s="39">
        <v>4.6900000000000004</v>
      </c>
      <c r="T214" s="39">
        <v>25.38</v>
      </c>
      <c r="U214" s="39">
        <v>28.67</v>
      </c>
      <c r="V214" s="39">
        <v>41.69</v>
      </c>
      <c r="W214" s="39">
        <v>44.06</v>
      </c>
      <c r="X214" s="39">
        <v>45.82</v>
      </c>
      <c r="Y214" s="39">
        <v>134.54</v>
      </c>
      <c r="Z214" s="39">
        <v>409.4</v>
      </c>
      <c r="AA214" s="39">
        <v>357.46</v>
      </c>
      <c r="AB214" s="39">
        <v>253.58</v>
      </c>
      <c r="AC214" s="39">
        <v>1327.6</v>
      </c>
      <c r="AD214" s="39" t="s">
        <v>4606</v>
      </c>
      <c r="AE214" s="39" t="s">
        <v>134</v>
      </c>
      <c r="AF214" s="39">
        <v>15</v>
      </c>
      <c r="AG214" s="42">
        <v>7.5200000000000003E-2</v>
      </c>
      <c r="AH214" s="42">
        <v>88</v>
      </c>
      <c r="AI214" s="42">
        <v>3.4200000000000001E-2</v>
      </c>
      <c r="AJ214" s="42" t="s">
        <v>7304</v>
      </c>
      <c r="AK214" s="42">
        <v>0.40539999999999998</v>
      </c>
      <c r="AL214" s="42" t="s">
        <v>7305</v>
      </c>
      <c r="AM214" s="42">
        <v>3.1E-2</v>
      </c>
      <c r="AN214" s="42">
        <v>0.14000000000000001</v>
      </c>
      <c r="AO214" s="41">
        <v>60</v>
      </c>
      <c r="AP214" s="39">
        <v>17</v>
      </c>
      <c r="AQ214" s="39">
        <v>64</v>
      </c>
      <c r="AR214" s="45">
        <v>2795</v>
      </c>
      <c r="AS214" s="39">
        <v>4</v>
      </c>
      <c r="AT214" s="39" t="s">
        <v>4633</v>
      </c>
      <c r="AU214" s="39">
        <v>3</v>
      </c>
      <c r="AV214" s="39" t="s">
        <v>6424</v>
      </c>
      <c r="AW214" s="39">
        <v>2714.6</v>
      </c>
      <c r="AX214" s="39">
        <v>2745.3</v>
      </c>
      <c r="AY214" s="39">
        <v>2792.6</v>
      </c>
      <c r="AZ214" s="39">
        <v>2636.6</v>
      </c>
      <c r="BA214" s="39">
        <v>2589.3000000000002</v>
      </c>
      <c r="BB214" s="39">
        <v>2558.6</v>
      </c>
      <c r="BC214" s="39">
        <v>15</v>
      </c>
      <c r="BD214" s="39">
        <v>3</v>
      </c>
      <c r="BE214" s="39">
        <v>5</v>
      </c>
      <c r="BF214" s="39" t="s">
        <v>130</v>
      </c>
      <c r="BG214" s="39">
        <v>649.4</v>
      </c>
      <c r="BH214" s="39">
        <v>0.2</v>
      </c>
      <c r="BI214" s="39" t="s">
        <v>4563</v>
      </c>
      <c r="BJ214" s="39" t="s">
        <v>132</v>
      </c>
    </row>
    <row r="215" spans="1:62" x14ac:dyDescent="0.35">
      <c r="A215" s="39" t="s">
        <v>656</v>
      </c>
      <c r="B215" s="39" t="str">
        <f>IFERROR(INDEX(added_new_stocks!$F$6:$H$2155,MATCH($A215,added_new_stocks!$F$6:$F$2600,0),3),"")</f>
        <v>Mid</v>
      </c>
      <c r="C215" s="48">
        <v>2209.5</v>
      </c>
      <c r="D215" s="48">
        <v>64</v>
      </c>
      <c r="G215" s="39" t="s">
        <v>4562</v>
      </c>
      <c r="H215" s="39" t="s">
        <v>7306</v>
      </c>
      <c r="I215" s="39" t="s">
        <v>4989</v>
      </c>
      <c r="J215" s="39" t="s">
        <v>7307</v>
      </c>
      <c r="K215" s="39" t="s">
        <v>133</v>
      </c>
      <c r="L215" s="39" t="s">
        <v>7308</v>
      </c>
      <c r="M215" s="39" t="s">
        <v>4959</v>
      </c>
      <c r="N215" s="39">
        <v>13</v>
      </c>
      <c r="O215" s="39">
        <v>-4</v>
      </c>
      <c r="P215" s="39">
        <v>9</v>
      </c>
      <c r="Q215" s="39" t="s">
        <v>14</v>
      </c>
      <c r="R215" s="39">
        <v>1.89</v>
      </c>
      <c r="S215" s="39">
        <v>-1.1299999999999999</v>
      </c>
      <c r="T215" s="39">
        <v>-6.06</v>
      </c>
      <c r="U215" s="39">
        <v>8.6300000000000008</v>
      </c>
      <c r="V215" s="39">
        <v>11.66</v>
      </c>
      <c r="W215" s="39">
        <v>-2.41</v>
      </c>
      <c r="X215" s="39">
        <v>-13.91</v>
      </c>
      <c r="Y215" s="39">
        <v>-44.26</v>
      </c>
      <c r="Z215" s="39">
        <v>19.93</v>
      </c>
      <c r="AA215" s="39">
        <v>77.260000000000005</v>
      </c>
      <c r="AB215" s="39">
        <v>111.7</v>
      </c>
      <c r="AC215" s="39" t="s">
        <v>4538</v>
      </c>
      <c r="AD215" s="39" t="s">
        <v>4606</v>
      </c>
      <c r="AE215" s="39" t="s">
        <v>134</v>
      </c>
      <c r="AF215" s="39">
        <v>21</v>
      </c>
      <c r="AG215" s="42">
        <v>4.9200000000000001E-2</v>
      </c>
      <c r="AH215" s="42">
        <v>241</v>
      </c>
      <c r="AI215" s="42">
        <v>0.23269999999999999</v>
      </c>
      <c r="AJ215" s="42" t="s">
        <v>7309</v>
      </c>
      <c r="AK215" s="42">
        <v>0.31669999999999998</v>
      </c>
      <c r="AL215" s="42" t="s">
        <v>7310</v>
      </c>
      <c r="AM215" s="42">
        <v>2.8899999999999999E-2</v>
      </c>
      <c r="AN215" s="42">
        <v>9.3100000000000002E-2</v>
      </c>
      <c r="AO215" s="41">
        <v>60</v>
      </c>
      <c r="AP215" s="39">
        <v>13</v>
      </c>
      <c r="AQ215" s="39">
        <v>49</v>
      </c>
      <c r="AR215" s="45">
        <v>2120</v>
      </c>
      <c r="AS215" s="39">
        <v>-4</v>
      </c>
      <c r="AT215" s="39" t="s">
        <v>4625</v>
      </c>
      <c r="AU215" s="39">
        <v>19</v>
      </c>
      <c r="AV215" s="39" t="s">
        <v>6425</v>
      </c>
      <c r="AW215" s="39">
        <v>2218</v>
      </c>
      <c r="AX215" s="39">
        <v>2231.4499999999998</v>
      </c>
      <c r="AY215" s="39">
        <v>2244.85</v>
      </c>
      <c r="AZ215" s="39">
        <v>2191.15</v>
      </c>
      <c r="BA215" s="39">
        <v>2177.75</v>
      </c>
      <c r="BB215" s="39">
        <v>2164.3000000000002</v>
      </c>
      <c r="BC215" s="39">
        <v>8</v>
      </c>
      <c r="BD215" s="39">
        <v>4</v>
      </c>
      <c r="BE215" s="39">
        <v>2</v>
      </c>
      <c r="BF215" s="39" t="s">
        <v>130</v>
      </c>
      <c r="BG215" s="39">
        <v>380.7</v>
      </c>
      <c r="BH215" s="39">
        <v>0.2</v>
      </c>
      <c r="BI215" s="39" t="s">
        <v>4639</v>
      </c>
    </row>
    <row r="216" spans="1:62" x14ac:dyDescent="0.35">
      <c r="A216" s="39" t="s">
        <v>1491</v>
      </c>
      <c r="B216" s="39" t="str">
        <f>IFERROR(INDEX(added_new_stocks!$F$6:$H$2155,MATCH($A216,added_new_stocks!$F$6:$F$2600,0),3),"")</f>
        <v>Small</v>
      </c>
      <c r="C216" s="39">
        <v>710.65</v>
      </c>
      <c r="D216" s="48">
        <v>51</v>
      </c>
      <c r="G216" s="39" t="s">
        <v>4562</v>
      </c>
      <c r="H216" s="39" t="s">
        <v>7311</v>
      </c>
      <c r="I216" s="39" t="s">
        <v>4989</v>
      </c>
      <c r="J216" s="39" t="s">
        <v>7312</v>
      </c>
      <c r="K216" s="39" t="s">
        <v>133</v>
      </c>
      <c r="L216" s="39" t="s">
        <v>4998</v>
      </c>
      <c r="M216" s="39" t="s">
        <v>4620</v>
      </c>
      <c r="N216" s="39">
        <v>0</v>
      </c>
      <c r="O216" s="39">
        <v>-17</v>
      </c>
      <c r="P216" s="39">
        <v>-17</v>
      </c>
      <c r="Q216" s="39" t="s">
        <v>4605</v>
      </c>
      <c r="R216" s="39">
        <v>0.74</v>
      </c>
      <c r="S216" s="39">
        <v>-2.37</v>
      </c>
      <c r="T216" s="39">
        <v>-2.4</v>
      </c>
      <c r="U216" s="39">
        <v>-0.18</v>
      </c>
      <c r="V216" s="39">
        <v>28.24</v>
      </c>
      <c r="W216" s="39">
        <v>53.14</v>
      </c>
      <c r="X216" s="39" t="s">
        <v>4538</v>
      </c>
      <c r="Y216" s="39" t="s">
        <v>4538</v>
      </c>
      <c r="Z216" s="39" t="s">
        <v>4538</v>
      </c>
      <c r="AA216" s="39" t="s">
        <v>4538</v>
      </c>
      <c r="AB216" s="39" t="s">
        <v>4538</v>
      </c>
      <c r="AC216" s="39" t="s">
        <v>4538</v>
      </c>
      <c r="AD216" s="39" t="s">
        <v>4606</v>
      </c>
      <c r="AE216" s="39" t="s">
        <v>134</v>
      </c>
      <c r="AF216" s="39">
        <v>6</v>
      </c>
      <c r="AG216" s="42">
        <v>8.4400000000000003E-2</v>
      </c>
      <c r="AH216" s="42">
        <v>23</v>
      </c>
      <c r="AI216" s="42">
        <v>0.1046</v>
      </c>
      <c r="AJ216" s="42" t="s">
        <v>7313</v>
      </c>
      <c r="AK216" s="42">
        <v>0.37740000000000001</v>
      </c>
      <c r="AL216" s="42" t="s">
        <v>5573</v>
      </c>
      <c r="AM216" s="42">
        <v>3.7600000000000001E-2</v>
      </c>
      <c r="AN216" s="42">
        <v>0.1754</v>
      </c>
      <c r="AO216" s="41" t="s">
        <v>130</v>
      </c>
      <c r="AP216" s="39">
        <v>11</v>
      </c>
      <c r="AQ216" s="39">
        <v>41</v>
      </c>
      <c r="AS216" s="39" t="s">
        <v>4564</v>
      </c>
      <c r="AW216" s="39">
        <v>6.15</v>
      </c>
      <c r="AX216" s="39">
        <v>6.2</v>
      </c>
      <c r="AY216" s="39">
        <v>6.25</v>
      </c>
      <c r="BA216" s="39">
        <v>6</v>
      </c>
      <c r="BB216" s="39">
        <v>5.95</v>
      </c>
      <c r="BC216" s="39" t="s">
        <v>130</v>
      </c>
      <c r="BD216" s="39">
        <v>0.28999999999999998</v>
      </c>
      <c r="BE216" s="39">
        <v>-0.09</v>
      </c>
      <c r="BF216" s="39">
        <v>0.69</v>
      </c>
      <c r="BG216" s="39">
        <v>2</v>
      </c>
      <c r="BH216" s="39">
        <v>6</v>
      </c>
      <c r="BI216" s="39" t="s">
        <v>4563</v>
      </c>
      <c r="BJ216" s="39" t="s">
        <v>4565</v>
      </c>
    </row>
    <row r="217" spans="1:62" x14ac:dyDescent="0.35">
      <c r="A217" s="39" t="s">
        <v>1214</v>
      </c>
      <c r="B217" s="39" t="str">
        <f>IFERROR(INDEX(added_new_stocks!$F$6:$H$2155,MATCH($A217,added_new_stocks!$F$6:$F$2600,0),3),"")</f>
        <v>Small</v>
      </c>
      <c r="C217" s="39">
        <v>438.95</v>
      </c>
      <c r="D217" s="39">
        <v>58</v>
      </c>
      <c r="G217" s="39" t="s">
        <v>4562</v>
      </c>
      <c r="H217" s="39" t="s">
        <v>7314</v>
      </c>
      <c r="I217" s="39" t="s">
        <v>4989</v>
      </c>
      <c r="J217" s="39" t="s">
        <v>7315</v>
      </c>
      <c r="K217" s="39" t="s">
        <v>133</v>
      </c>
      <c r="L217" s="39" t="s">
        <v>7316</v>
      </c>
      <c r="M217" s="39" t="s">
        <v>4959</v>
      </c>
      <c r="N217" s="39">
        <v>7</v>
      </c>
      <c r="O217" s="39">
        <v>-10</v>
      </c>
      <c r="P217" s="39">
        <v>-3</v>
      </c>
      <c r="Q217" s="39" t="s">
        <v>4611</v>
      </c>
      <c r="R217" s="39">
        <v>3.51</v>
      </c>
      <c r="S217" s="39">
        <v>2.06</v>
      </c>
      <c r="T217" s="39">
        <v>-3.78</v>
      </c>
      <c r="U217" s="39">
        <v>14.06</v>
      </c>
      <c r="V217" s="39">
        <v>26.43</v>
      </c>
      <c r="W217" s="39">
        <v>15.07</v>
      </c>
      <c r="X217" s="39">
        <v>23.51</v>
      </c>
      <c r="Y217" s="39">
        <v>55.57</v>
      </c>
      <c r="Z217" s="39">
        <v>95.52</v>
      </c>
      <c r="AA217" s="39">
        <v>143.38999999999999</v>
      </c>
      <c r="AB217" s="39">
        <v>81.31</v>
      </c>
      <c r="AC217" s="39">
        <v>954.79</v>
      </c>
      <c r="AD217" s="39" t="s">
        <v>4606</v>
      </c>
      <c r="AE217" s="39" t="s">
        <v>134</v>
      </c>
      <c r="AF217" s="39">
        <v>9</v>
      </c>
      <c r="AG217" s="42">
        <v>0.18310000000000001</v>
      </c>
      <c r="AH217" s="42">
        <v>61</v>
      </c>
      <c r="AI217" s="42">
        <v>1.7500000000000002E-2</v>
      </c>
      <c r="AJ217" s="42" t="s">
        <v>7317</v>
      </c>
      <c r="AK217" s="42">
        <v>0.46439999999999998</v>
      </c>
      <c r="AL217" s="42" t="s">
        <v>7318</v>
      </c>
      <c r="AM217" s="42">
        <v>6.2899999999999998E-2</v>
      </c>
      <c r="AN217" s="42">
        <v>9.98E-2</v>
      </c>
      <c r="AO217" s="41">
        <v>75</v>
      </c>
      <c r="AP217" s="39">
        <v>23</v>
      </c>
      <c r="AQ217" s="39">
        <v>51</v>
      </c>
      <c r="AR217" s="39">
        <v>523</v>
      </c>
      <c r="AS217" s="39">
        <v>25</v>
      </c>
      <c r="AT217" s="39" t="s">
        <v>4633</v>
      </c>
      <c r="AU217" s="39">
        <v>2</v>
      </c>
      <c r="AV217" s="39" t="s">
        <v>6426</v>
      </c>
      <c r="AW217" s="39">
        <v>428.38</v>
      </c>
      <c r="AX217" s="39">
        <v>437.52</v>
      </c>
      <c r="AY217" s="39">
        <v>443.23</v>
      </c>
      <c r="AZ217" s="39">
        <v>413.53</v>
      </c>
      <c r="BA217" s="39">
        <v>407.82</v>
      </c>
      <c r="BB217" s="39">
        <v>398.68</v>
      </c>
      <c r="BC217" s="39">
        <v>11</v>
      </c>
      <c r="BD217" s="39">
        <v>3</v>
      </c>
      <c r="BE217" s="39">
        <v>1</v>
      </c>
      <c r="BF217" s="39" t="s">
        <v>130</v>
      </c>
      <c r="BG217" s="39">
        <v>136.5</v>
      </c>
      <c r="BH217" s="39">
        <v>0.3</v>
      </c>
      <c r="BI217" s="39" t="s">
        <v>4565</v>
      </c>
      <c r="BJ217" s="39" t="s">
        <v>4639</v>
      </c>
    </row>
    <row r="218" spans="1:62" x14ac:dyDescent="0.35">
      <c r="A218" s="39" t="s">
        <v>642</v>
      </c>
      <c r="B218" s="39" t="str">
        <f>IFERROR(INDEX(added_new_stocks!$F$6:$H$2155,MATCH($A218,added_new_stocks!$F$6:$F$2600,0),3),"")</f>
        <v>Mid</v>
      </c>
      <c r="C218" s="39">
        <v>400.3</v>
      </c>
      <c r="D218" s="39">
        <v>54</v>
      </c>
      <c r="G218" s="39" t="s">
        <v>4562</v>
      </c>
      <c r="H218" s="39" t="s">
        <v>5424</v>
      </c>
      <c r="I218" s="39" t="s">
        <v>4989</v>
      </c>
      <c r="J218" s="39" t="s">
        <v>5425</v>
      </c>
      <c r="K218" s="39" t="s">
        <v>133</v>
      </c>
      <c r="L218" s="39" t="s">
        <v>7319</v>
      </c>
      <c r="M218" s="39" t="s">
        <v>5047</v>
      </c>
      <c r="N218" s="39">
        <v>6</v>
      </c>
      <c r="O218" s="39">
        <v>-33</v>
      </c>
      <c r="P218" s="39">
        <v>-27</v>
      </c>
      <c r="Q218" s="39" t="s">
        <v>5026</v>
      </c>
      <c r="R218" s="39">
        <v>2.4</v>
      </c>
      <c r="S218" s="39">
        <v>1.3</v>
      </c>
      <c r="T218" s="39">
        <v>18.38</v>
      </c>
      <c r="U218" s="39">
        <v>20.66</v>
      </c>
      <c r="V218" s="39">
        <v>30.6</v>
      </c>
      <c r="W218" s="39">
        <v>6.7</v>
      </c>
      <c r="X218" s="39">
        <v>-30.83</v>
      </c>
      <c r="Y218" s="39">
        <v>-38.35</v>
      </c>
      <c r="Z218" s="39">
        <v>71.930000000000007</v>
      </c>
      <c r="AA218" s="39">
        <v>510.12</v>
      </c>
      <c r="AB218" s="39">
        <v>355.51</v>
      </c>
      <c r="AC218" s="39" t="s">
        <v>4538</v>
      </c>
      <c r="AD218" s="39" t="s">
        <v>5015</v>
      </c>
      <c r="AE218" s="39">
        <v>0.04</v>
      </c>
      <c r="AF218" s="39">
        <v>22</v>
      </c>
      <c r="AG218" s="42">
        <v>5.1400000000000001E-2</v>
      </c>
      <c r="AH218" s="42">
        <v>170</v>
      </c>
      <c r="AI218" s="42">
        <v>0.22520000000000001</v>
      </c>
      <c r="AJ218" s="42" t="s">
        <v>5427</v>
      </c>
      <c r="AK218" s="39" t="s">
        <v>5428</v>
      </c>
      <c r="AL218" s="42" t="s">
        <v>5429</v>
      </c>
      <c r="AM218" s="42">
        <v>5.3900000000000003E-2</v>
      </c>
      <c r="AN218" s="42">
        <v>0.28260000000000002</v>
      </c>
      <c r="AO218" s="41">
        <v>45</v>
      </c>
      <c r="AP218" s="39">
        <v>27</v>
      </c>
      <c r="AQ218" s="39">
        <v>57</v>
      </c>
      <c r="AR218" s="39">
        <v>346</v>
      </c>
      <c r="AS218" s="39">
        <v>-11</v>
      </c>
      <c r="AT218" s="39" t="s">
        <v>4562</v>
      </c>
      <c r="AU218" s="39">
        <v>11</v>
      </c>
      <c r="AV218" s="39" t="s">
        <v>6427</v>
      </c>
      <c r="AW218" s="39">
        <v>392.62</v>
      </c>
      <c r="AX218" s="39">
        <v>397.68</v>
      </c>
      <c r="AY218" s="39">
        <v>401.62</v>
      </c>
      <c r="AZ218" s="39">
        <v>383.62</v>
      </c>
      <c r="BA218" s="39">
        <v>379.68</v>
      </c>
      <c r="BB218" s="39">
        <v>374.62</v>
      </c>
      <c r="BC218" s="39">
        <v>5</v>
      </c>
      <c r="BD218" s="39">
        <v>13</v>
      </c>
      <c r="BE218" s="39">
        <v>3</v>
      </c>
      <c r="BF218" s="39">
        <v>1</v>
      </c>
      <c r="BG218" s="39">
        <v>133</v>
      </c>
      <c r="BH218" s="39">
        <v>0.3</v>
      </c>
      <c r="BI218" s="39" t="s">
        <v>4563</v>
      </c>
      <c r="BJ218" s="39" t="s">
        <v>4563</v>
      </c>
    </row>
    <row r="219" spans="1:62" x14ac:dyDescent="0.35">
      <c r="A219" s="39" t="s">
        <v>1442</v>
      </c>
      <c r="B219" s="39" t="str">
        <f>IFERROR(INDEX(added_new_stocks!$F$6:$H$2155,MATCH($A219,added_new_stocks!$F$6:$F$2600,0),3),"")</f>
        <v>Small</v>
      </c>
      <c r="C219" s="39">
        <v>989</v>
      </c>
      <c r="D219" s="39">
        <v>62</v>
      </c>
      <c r="G219" s="39" t="s">
        <v>4562</v>
      </c>
      <c r="H219" s="39" t="s">
        <v>7320</v>
      </c>
      <c r="I219" s="39" t="s">
        <v>4989</v>
      </c>
      <c r="J219" s="39" t="s">
        <v>7321</v>
      </c>
      <c r="K219" s="39" t="s">
        <v>133</v>
      </c>
      <c r="L219" s="39" t="s">
        <v>7322</v>
      </c>
      <c r="M219" s="39" t="s">
        <v>135</v>
      </c>
      <c r="N219" s="39">
        <v>3</v>
      </c>
      <c r="O219" s="39">
        <v>0</v>
      </c>
      <c r="P219" s="39">
        <v>3</v>
      </c>
      <c r="Q219" s="39" t="s">
        <v>4611</v>
      </c>
      <c r="R219" s="39">
        <v>0.81</v>
      </c>
      <c r="S219" s="39">
        <v>-1.1100000000000001</v>
      </c>
      <c r="T219" s="39">
        <v>-6</v>
      </c>
      <c r="U219" s="39">
        <v>21.74</v>
      </c>
      <c r="V219" s="39">
        <v>42.3</v>
      </c>
      <c r="W219" s="39">
        <v>43.77</v>
      </c>
      <c r="X219" s="39">
        <v>41.14</v>
      </c>
      <c r="Y219" s="39">
        <v>134.94</v>
      </c>
      <c r="Z219" s="39">
        <v>276.33</v>
      </c>
      <c r="AA219" s="39">
        <v>199.42</v>
      </c>
      <c r="AB219" s="39">
        <v>89.19</v>
      </c>
      <c r="AC219" s="39">
        <v>2372.5</v>
      </c>
      <c r="AD219" s="39" t="s">
        <v>5015</v>
      </c>
      <c r="AE219" s="39" t="s">
        <v>134</v>
      </c>
      <c r="AF219" s="39">
        <v>4</v>
      </c>
      <c r="AG219" s="42">
        <v>0.1198</v>
      </c>
      <c r="AH219" s="42">
        <v>98</v>
      </c>
      <c r="AI219" s="42">
        <v>8.7599999999999997E-2</v>
      </c>
      <c r="AJ219" s="42" t="s">
        <v>7323</v>
      </c>
      <c r="AK219" s="43">
        <v>0.11</v>
      </c>
      <c r="AL219" s="39" t="s">
        <v>5180</v>
      </c>
      <c r="AM219" s="42">
        <v>8.1500000000000003E-2</v>
      </c>
      <c r="AN219" s="42">
        <v>0.37559999999999999</v>
      </c>
      <c r="AO219" s="41">
        <v>55</v>
      </c>
      <c r="AP219" s="39">
        <v>50</v>
      </c>
      <c r="AQ219" s="39">
        <v>55</v>
      </c>
      <c r="AR219" s="45">
        <v>1091</v>
      </c>
      <c r="AS219" s="39">
        <v>9</v>
      </c>
      <c r="AT219" s="39" t="s">
        <v>129</v>
      </c>
      <c r="AU219" s="39">
        <v>2</v>
      </c>
      <c r="AV219" s="39" t="s">
        <v>6428</v>
      </c>
      <c r="AW219" s="39">
        <v>1007.52</v>
      </c>
      <c r="AX219" s="39">
        <v>1015.38</v>
      </c>
      <c r="AY219" s="39">
        <v>1021.27</v>
      </c>
      <c r="AZ219" s="39">
        <v>993.77</v>
      </c>
      <c r="BA219" s="39">
        <v>987.88</v>
      </c>
      <c r="BB219" s="39">
        <v>980.02</v>
      </c>
      <c r="BC219" s="39">
        <v>7</v>
      </c>
      <c r="BD219" s="39">
        <v>4</v>
      </c>
      <c r="BE219" s="39">
        <v>3</v>
      </c>
      <c r="BF219" s="39" t="s">
        <v>130</v>
      </c>
      <c r="BG219" s="39">
        <v>881.9</v>
      </c>
      <c r="BH219" s="39">
        <v>0.9</v>
      </c>
      <c r="BI219" s="39" t="s">
        <v>131</v>
      </c>
      <c r="BJ219" s="39" t="s">
        <v>131</v>
      </c>
    </row>
    <row r="220" spans="1:62" x14ac:dyDescent="0.35">
      <c r="A220" s="39" t="s">
        <v>607</v>
      </c>
      <c r="B220" s="39" t="str">
        <f>IFERROR(INDEX(added_new_stocks!$F$6:$H$2155,MATCH($A220,added_new_stocks!$F$6:$F$2600,0),3),"")</f>
        <v>Mid</v>
      </c>
      <c r="C220" s="39">
        <v>421</v>
      </c>
      <c r="D220" s="39">
        <v>78</v>
      </c>
      <c r="G220" s="39" t="s">
        <v>129</v>
      </c>
      <c r="H220" s="39" t="s">
        <v>7324</v>
      </c>
      <c r="I220" s="39" t="s">
        <v>4624</v>
      </c>
      <c r="J220" s="39" t="s">
        <v>7325</v>
      </c>
      <c r="K220" s="39" t="s">
        <v>133</v>
      </c>
      <c r="L220" s="39" t="s">
        <v>7326</v>
      </c>
      <c r="M220" s="39" t="s">
        <v>5047</v>
      </c>
      <c r="N220" s="39">
        <v>17</v>
      </c>
      <c r="O220" s="39">
        <v>0</v>
      </c>
      <c r="P220" s="39">
        <v>17</v>
      </c>
      <c r="Q220" s="39" t="s">
        <v>14</v>
      </c>
      <c r="R220" s="39">
        <v>-0.5</v>
      </c>
      <c r="S220" s="39">
        <v>-0.51</v>
      </c>
      <c r="T220" s="39">
        <v>1.69</v>
      </c>
      <c r="U220" s="39">
        <v>10.98</v>
      </c>
      <c r="V220" s="39">
        <v>18.62</v>
      </c>
      <c r="W220" s="39">
        <v>1.63</v>
      </c>
      <c r="X220" s="39">
        <v>2.87</v>
      </c>
      <c r="Y220" s="39">
        <v>5.94</v>
      </c>
      <c r="Z220" s="39">
        <v>33.950000000000003</v>
      </c>
      <c r="AA220" s="39">
        <v>-0.93</v>
      </c>
      <c r="AB220" s="39">
        <v>-19.91</v>
      </c>
      <c r="AC220" s="39">
        <v>153.84</v>
      </c>
      <c r="AD220" s="39" t="s">
        <v>4606</v>
      </c>
      <c r="AE220" s="39" t="s">
        <v>134</v>
      </c>
      <c r="AF220" s="39">
        <v>25</v>
      </c>
      <c r="AG220" s="42">
        <v>0.18659999999999999</v>
      </c>
      <c r="AH220" s="42">
        <v>206</v>
      </c>
      <c r="AI220" s="42">
        <v>0.1701</v>
      </c>
      <c r="AJ220" s="42" t="s">
        <v>5048</v>
      </c>
      <c r="AK220" s="42">
        <v>0.45240000000000002</v>
      </c>
      <c r="AL220" s="43" t="s">
        <v>5506</v>
      </c>
      <c r="AM220" s="42">
        <v>7.8100000000000003E-2</v>
      </c>
      <c r="AN220" s="42">
        <v>0.1018</v>
      </c>
      <c r="AO220" s="41">
        <v>20</v>
      </c>
      <c r="AP220" s="39">
        <v>31</v>
      </c>
      <c r="AQ220" s="39">
        <v>60</v>
      </c>
      <c r="AR220" s="39">
        <v>463</v>
      </c>
      <c r="AS220" s="39">
        <v>11</v>
      </c>
      <c r="AT220" s="39" t="s">
        <v>4562</v>
      </c>
      <c r="AU220" s="39">
        <v>27</v>
      </c>
      <c r="AV220" s="39" t="s">
        <v>6429</v>
      </c>
      <c r="AW220" s="39">
        <v>423.4</v>
      </c>
      <c r="AX220" s="39">
        <v>429.55</v>
      </c>
      <c r="AY220" s="39">
        <v>433.25</v>
      </c>
      <c r="AZ220" s="39">
        <v>413.55</v>
      </c>
      <c r="BA220" s="39">
        <v>409.85</v>
      </c>
      <c r="BB220" s="39">
        <v>403.7</v>
      </c>
      <c r="BC220" s="39">
        <v>1</v>
      </c>
      <c r="BD220" s="39">
        <v>0.8</v>
      </c>
      <c r="BE220" s="39">
        <v>3.2</v>
      </c>
      <c r="BF220" s="39">
        <v>1.62</v>
      </c>
      <c r="BG220" s="39">
        <v>6</v>
      </c>
      <c r="BH220" s="39">
        <v>2</v>
      </c>
      <c r="BI220" s="39" t="s">
        <v>4565</v>
      </c>
      <c r="BJ220" s="39" t="s">
        <v>132</v>
      </c>
    </row>
    <row r="221" spans="1:62" x14ac:dyDescent="0.35">
      <c r="A221" s="39" t="s">
        <v>203</v>
      </c>
      <c r="B221" s="39" t="str">
        <f>IFERROR(INDEX(added_new_stocks!$F$6:$H$2155,MATCH($A221,added_new_stocks!$F$6:$F$2600,0),3),"")</f>
        <v>Large</v>
      </c>
      <c r="C221" s="39">
        <v>650.79999999999995</v>
      </c>
      <c r="D221" s="39">
        <v>68</v>
      </c>
      <c r="G221" s="39" t="s">
        <v>4562</v>
      </c>
      <c r="H221" s="39" t="s">
        <v>7327</v>
      </c>
      <c r="I221" s="39" t="s">
        <v>4624</v>
      </c>
      <c r="J221" s="39" t="s">
        <v>7328</v>
      </c>
      <c r="K221" s="39" t="s">
        <v>4615</v>
      </c>
      <c r="L221" s="39" t="s">
        <v>5008</v>
      </c>
      <c r="N221" s="39">
        <v>10</v>
      </c>
      <c r="O221" s="39">
        <v>0</v>
      </c>
      <c r="P221" s="39">
        <v>10</v>
      </c>
      <c r="Q221" s="39" t="s">
        <v>14</v>
      </c>
      <c r="R221" s="39">
        <v>-0.13</v>
      </c>
      <c r="S221" s="39">
        <v>-1.24</v>
      </c>
      <c r="T221" s="39">
        <v>3.82</v>
      </c>
      <c r="U221" s="39">
        <v>8.3000000000000007</v>
      </c>
      <c r="V221" s="39">
        <v>8.35</v>
      </c>
      <c r="W221" s="39">
        <v>-4.9400000000000004</v>
      </c>
      <c r="X221" s="39">
        <v>-3.38</v>
      </c>
      <c r="Y221" s="39" t="s">
        <v>4538</v>
      </c>
      <c r="Z221" s="39" t="s">
        <v>4538</v>
      </c>
      <c r="AA221" s="39" t="s">
        <v>4538</v>
      </c>
      <c r="AB221" s="39" t="s">
        <v>4538</v>
      </c>
      <c r="AC221" s="39" t="s">
        <v>4538</v>
      </c>
      <c r="AD221" s="39" t="s">
        <v>4606</v>
      </c>
      <c r="AE221" s="39" t="s">
        <v>134</v>
      </c>
      <c r="AF221" s="39">
        <v>18</v>
      </c>
      <c r="AG221" s="42">
        <v>5.7000000000000002E-3</v>
      </c>
      <c r="AH221" s="42">
        <v>43</v>
      </c>
      <c r="AI221" s="42">
        <v>8.0000000000000004E-4</v>
      </c>
      <c r="AJ221" s="42" t="s">
        <v>5061</v>
      </c>
      <c r="AK221" s="42">
        <v>0.96499999999999997</v>
      </c>
      <c r="AL221" s="42"/>
      <c r="AN221" s="42">
        <v>2.1700000000000001E-2</v>
      </c>
      <c r="AO221" s="41" t="s">
        <v>130</v>
      </c>
      <c r="AP221" s="39">
        <v>85</v>
      </c>
      <c r="AQ221" s="39">
        <v>37</v>
      </c>
      <c r="AS221" s="39" t="s">
        <v>4564</v>
      </c>
      <c r="BC221" s="39">
        <v>6</v>
      </c>
      <c r="BD221" s="39">
        <v>1</v>
      </c>
      <c r="BE221" s="39">
        <v>2</v>
      </c>
      <c r="BF221" s="39">
        <v>1.26</v>
      </c>
      <c r="BG221" s="39">
        <v>3</v>
      </c>
      <c r="BH221" s="39">
        <v>7.1</v>
      </c>
      <c r="BI221" s="39" t="s">
        <v>132</v>
      </c>
      <c r="BJ221" s="39" t="s">
        <v>132</v>
      </c>
    </row>
    <row r="222" spans="1:62" x14ac:dyDescent="0.35">
      <c r="A222" s="39" t="s">
        <v>438</v>
      </c>
      <c r="B222" s="39" t="str">
        <f>IFERROR(INDEX(added_new_stocks!$F$6:$H$2155,MATCH($A222,added_new_stocks!$F$6:$F$2600,0),3),"")</f>
        <v>Large</v>
      </c>
      <c r="C222" s="48">
        <v>6045.8</v>
      </c>
      <c r="D222" s="39">
        <v>71</v>
      </c>
      <c r="G222" s="39" t="s">
        <v>129</v>
      </c>
      <c r="H222" s="39" t="s">
        <v>7329</v>
      </c>
      <c r="I222" s="39" t="s">
        <v>4624</v>
      </c>
      <c r="J222" s="39" t="s">
        <v>7330</v>
      </c>
      <c r="K222" s="39" t="s">
        <v>133</v>
      </c>
      <c r="L222" s="39" t="s">
        <v>7331</v>
      </c>
      <c r="M222" s="39" t="s">
        <v>4959</v>
      </c>
      <c r="N222" s="39">
        <v>8</v>
      </c>
      <c r="O222" s="39">
        <v>-1</v>
      </c>
      <c r="P222" s="39">
        <v>7</v>
      </c>
      <c r="Q222" s="39" t="s">
        <v>14</v>
      </c>
      <c r="R222" s="39">
        <v>0.28999999999999998</v>
      </c>
      <c r="S222" s="39">
        <v>1.63</v>
      </c>
      <c r="T222" s="39">
        <v>27.88</v>
      </c>
      <c r="U222" s="39">
        <v>51.78</v>
      </c>
      <c r="V222" s="39">
        <v>62.42</v>
      </c>
      <c r="W222" s="39">
        <v>76.349999999999994</v>
      </c>
      <c r="X222" s="39">
        <v>76.510000000000005</v>
      </c>
      <c r="Y222" s="39">
        <v>158.05000000000001</v>
      </c>
      <c r="Z222" s="39">
        <v>705.57</v>
      </c>
      <c r="AA222" s="39">
        <v>1103.6199999999999</v>
      </c>
      <c r="AB222" s="39">
        <v>1398.34</v>
      </c>
      <c r="AC222" s="39">
        <v>2416.9899999999998</v>
      </c>
      <c r="AD222" s="39" t="s">
        <v>4606</v>
      </c>
      <c r="AE222" s="39" t="s">
        <v>134</v>
      </c>
      <c r="AF222" s="39">
        <v>20</v>
      </c>
      <c r="AG222" s="42">
        <v>7.2800000000000004E-2</v>
      </c>
      <c r="AH222" s="42">
        <v>143</v>
      </c>
      <c r="AI222" s="42">
        <v>2.8400000000000002E-2</v>
      </c>
      <c r="AJ222" s="42" t="s">
        <v>7332</v>
      </c>
      <c r="AK222" s="43">
        <v>0.75</v>
      </c>
      <c r="AL222" s="42" t="s">
        <v>7333</v>
      </c>
      <c r="AM222" s="42">
        <v>3.5299999999999998E-2</v>
      </c>
      <c r="AN222" s="42">
        <v>0.11559999999999999</v>
      </c>
      <c r="AO222" s="41">
        <v>65</v>
      </c>
      <c r="AP222" s="39">
        <v>7</v>
      </c>
      <c r="AQ222" s="39">
        <v>71</v>
      </c>
      <c r="AR222" s="45">
        <v>4133</v>
      </c>
      <c r="AS222" s="39">
        <v>-30</v>
      </c>
      <c r="AT222" s="39" t="s">
        <v>4633</v>
      </c>
      <c r="AU222" s="39">
        <v>2</v>
      </c>
      <c r="AV222" s="39" t="s">
        <v>6430</v>
      </c>
      <c r="AW222" s="39">
        <v>6034.47</v>
      </c>
      <c r="AX222" s="39">
        <v>6153.23</v>
      </c>
      <c r="AY222" s="39">
        <v>6331.97</v>
      </c>
      <c r="AZ222" s="39">
        <v>5736.97</v>
      </c>
      <c r="BA222" s="39">
        <v>5558.23</v>
      </c>
      <c r="BB222" s="39">
        <v>5439.47</v>
      </c>
      <c r="BC222" s="39">
        <v>4</v>
      </c>
      <c r="BD222" s="39">
        <v>5</v>
      </c>
      <c r="BE222" s="39" t="s">
        <v>130</v>
      </c>
      <c r="BF222" s="39">
        <v>2.0499999999999998</v>
      </c>
      <c r="BG222" s="39">
        <v>12</v>
      </c>
      <c r="BH222" s="39">
        <v>623.4</v>
      </c>
      <c r="BI222" s="39" t="s">
        <v>4651</v>
      </c>
      <c r="BJ222" s="39" t="s">
        <v>4651</v>
      </c>
    </row>
    <row r="223" spans="1:62" x14ac:dyDescent="0.35">
      <c r="A223" s="39" t="s">
        <v>373</v>
      </c>
      <c r="B223" s="39" t="str">
        <f>IFERROR(INDEX(added_new_stocks!$F$6:$H$2155,MATCH($A223,added_new_stocks!$F$6:$F$2600,0),3),"")</f>
        <v>Large</v>
      </c>
      <c r="C223" s="39">
        <v>668.85</v>
      </c>
      <c r="D223" s="48">
        <v>28</v>
      </c>
      <c r="G223" s="39" t="s">
        <v>4963</v>
      </c>
      <c r="H223" s="39" t="s">
        <v>7334</v>
      </c>
      <c r="I223" s="39" t="s">
        <v>4989</v>
      </c>
      <c r="J223" s="39" t="s">
        <v>7335</v>
      </c>
      <c r="K223" s="39" t="s">
        <v>4603</v>
      </c>
      <c r="L223" s="39" t="s">
        <v>5437</v>
      </c>
      <c r="M223" s="39" t="s">
        <v>4959</v>
      </c>
      <c r="N223" s="39">
        <v>7</v>
      </c>
      <c r="O223" s="39">
        <v>-16</v>
      </c>
      <c r="P223" s="39">
        <v>-9</v>
      </c>
      <c r="Q223" s="39" t="s">
        <v>4605</v>
      </c>
      <c r="R223" s="39">
        <v>-0.48</v>
      </c>
      <c r="S223" s="39">
        <v>-3.61</v>
      </c>
      <c r="T223" s="39">
        <v>-10.52</v>
      </c>
      <c r="U223" s="39">
        <v>27.08</v>
      </c>
      <c r="V223" s="39">
        <v>33.17</v>
      </c>
      <c r="W223" s="39">
        <v>22.56</v>
      </c>
      <c r="X223" s="39">
        <v>22.43</v>
      </c>
      <c r="Y223" s="39">
        <v>43.2</v>
      </c>
      <c r="Z223" s="39" t="s">
        <v>4538</v>
      </c>
      <c r="AA223" s="39" t="s">
        <v>4538</v>
      </c>
      <c r="AB223" s="39" t="s">
        <v>4538</v>
      </c>
      <c r="AC223" s="39" t="s">
        <v>4538</v>
      </c>
      <c r="AD223" s="39" t="s">
        <v>4606</v>
      </c>
      <c r="AE223" s="39" t="s">
        <v>134</v>
      </c>
      <c r="AF223" s="39">
        <v>12</v>
      </c>
      <c r="AG223" s="42">
        <v>9.9000000000000008E-3</v>
      </c>
      <c r="AH223" s="42">
        <v>254</v>
      </c>
      <c r="AI223" s="42">
        <v>0.1983</v>
      </c>
      <c r="AJ223" s="42" t="s">
        <v>5438</v>
      </c>
      <c r="AK223" s="42">
        <v>0.28349999999999997</v>
      </c>
      <c r="AL223" s="43" t="s">
        <v>5429</v>
      </c>
      <c r="AM223" s="42">
        <v>4.02E-2</v>
      </c>
      <c r="AN223" s="42">
        <v>7.4999999999999997E-3</v>
      </c>
      <c r="AO223" s="41">
        <v>65</v>
      </c>
      <c r="AP223" s="39">
        <v>16</v>
      </c>
      <c r="AQ223" s="39">
        <v>54</v>
      </c>
      <c r="AR223" s="39">
        <v>717</v>
      </c>
      <c r="AS223" s="39">
        <v>9</v>
      </c>
      <c r="AT223" s="39" t="s">
        <v>4562</v>
      </c>
      <c r="AU223" s="39">
        <v>16</v>
      </c>
      <c r="AV223" s="39" t="s">
        <v>6431</v>
      </c>
      <c r="AW223" s="39">
        <v>672.62</v>
      </c>
      <c r="AX223" s="39">
        <v>690.43</v>
      </c>
      <c r="AY223" s="39">
        <v>700.87</v>
      </c>
      <c r="AZ223" s="39">
        <v>644.37</v>
      </c>
      <c r="BA223" s="39">
        <v>633.92999999999995</v>
      </c>
      <c r="BB223" s="39">
        <v>616.12</v>
      </c>
      <c r="BC223" s="39">
        <v>4</v>
      </c>
      <c r="BD223" s="39">
        <v>7</v>
      </c>
      <c r="BE223" s="39">
        <v>3</v>
      </c>
      <c r="BF223" s="39" t="s">
        <v>130</v>
      </c>
      <c r="BG223" s="39">
        <v>110.2</v>
      </c>
      <c r="BH223" s="39">
        <v>0.2</v>
      </c>
      <c r="BI223" s="39" t="s">
        <v>4565</v>
      </c>
      <c r="BJ223" s="39" t="s">
        <v>132</v>
      </c>
    </row>
    <row r="224" spans="1:62" x14ac:dyDescent="0.35">
      <c r="A224" s="39" t="s">
        <v>204</v>
      </c>
      <c r="B224" s="39" t="str">
        <f>IFERROR(INDEX(added_new_stocks!$F$6:$H$2155,MATCH($A224,added_new_stocks!$F$6:$F$2600,0),3),"")</f>
        <v>Large</v>
      </c>
      <c r="K224" s="39"/>
      <c r="AH224" s="42"/>
      <c r="AJ224" s="42"/>
      <c r="AL224" s="42"/>
      <c r="AN224" s="42"/>
      <c r="AO224" s="41">
        <v>80</v>
      </c>
      <c r="AP224" s="39">
        <v>63</v>
      </c>
      <c r="AQ224" s="39">
        <v>65</v>
      </c>
      <c r="AR224" s="39">
        <v>120</v>
      </c>
      <c r="AS224" s="39">
        <v>-28</v>
      </c>
      <c r="AT224" s="39" t="s">
        <v>4633</v>
      </c>
      <c r="AU224" s="39">
        <v>1</v>
      </c>
      <c r="AV224" s="39" t="s">
        <v>6432</v>
      </c>
      <c r="AW224" s="39">
        <v>173.07</v>
      </c>
      <c r="AX224" s="39">
        <v>179.98</v>
      </c>
      <c r="AY224" s="39">
        <v>184.02</v>
      </c>
      <c r="AZ224" s="39">
        <v>162.12</v>
      </c>
      <c r="BA224" s="39">
        <v>158.08000000000001</v>
      </c>
      <c r="BB224" s="39">
        <v>151.16999999999999</v>
      </c>
      <c r="BC224" s="39">
        <v>12</v>
      </c>
      <c r="BD224" s="39">
        <v>3</v>
      </c>
      <c r="BE224" s="39">
        <v>3</v>
      </c>
      <c r="BF224" s="39" t="s">
        <v>130</v>
      </c>
      <c r="BG224" s="39">
        <v>153.30000000000001</v>
      </c>
      <c r="BH224" s="39">
        <v>0.9</v>
      </c>
      <c r="BI224" s="39" t="s">
        <v>4563</v>
      </c>
      <c r="BJ224" s="39" t="s">
        <v>131</v>
      </c>
    </row>
    <row r="225" spans="1:62" x14ac:dyDescent="0.35">
      <c r="A225" s="39" t="s">
        <v>233</v>
      </c>
      <c r="B225" s="39" t="str">
        <f>IFERROR(INDEX(added_new_stocks!$F$6:$H$2155,MATCH($A225,added_new_stocks!$F$6:$F$2600,0),3),"")</f>
        <v>Large</v>
      </c>
      <c r="C225" s="48">
        <v>5172.3</v>
      </c>
      <c r="D225" s="39">
        <v>72</v>
      </c>
      <c r="E225" s="39" t="s">
        <v>4987</v>
      </c>
      <c r="F225" s="39" t="s">
        <v>7336</v>
      </c>
      <c r="G225" s="39" t="s">
        <v>129</v>
      </c>
      <c r="H225" s="39" t="s">
        <v>7337</v>
      </c>
      <c r="I225" s="39" t="s">
        <v>4989</v>
      </c>
      <c r="J225" s="39" t="s">
        <v>7338</v>
      </c>
      <c r="K225" s="39" t="s">
        <v>4957</v>
      </c>
      <c r="L225" s="39" t="s">
        <v>5075</v>
      </c>
      <c r="M225" s="39" t="s">
        <v>4620</v>
      </c>
      <c r="N225" s="39">
        <v>14</v>
      </c>
      <c r="O225" s="39">
        <v>-2</v>
      </c>
      <c r="P225" s="39">
        <v>12</v>
      </c>
      <c r="Q225" s="39" t="s">
        <v>14</v>
      </c>
      <c r="R225" s="39">
        <v>0.65</v>
      </c>
      <c r="S225" s="39">
        <v>-0.02</v>
      </c>
      <c r="T225" s="39">
        <v>6.86</v>
      </c>
      <c r="U225" s="39">
        <v>3.67</v>
      </c>
      <c r="V225" s="39">
        <v>9.9700000000000006</v>
      </c>
      <c r="W225" s="39">
        <v>18.52</v>
      </c>
      <c r="X225" s="39">
        <v>11.42</v>
      </c>
      <c r="Y225" s="39">
        <v>-1.77</v>
      </c>
      <c r="Z225" s="39">
        <v>105.33</v>
      </c>
      <c r="AA225" s="39">
        <v>218.12</v>
      </c>
      <c r="AB225" s="39">
        <v>187.07</v>
      </c>
      <c r="AC225" s="39" t="s">
        <v>4538</v>
      </c>
      <c r="AD225" s="39" t="s">
        <v>4606</v>
      </c>
      <c r="AE225" s="39" t="s">
        <v>134</v>
      </c>
      <c r="AF225" s="39">
        <v>32</v>
      </c>
      <c r="AG225" s="42">
        <v>7.0099999999999996E-2</v>
      </c>
      <c r="AH225" s="39">
        <v>448</v>
      </c>
      <c r="AI225" s="42">
        <v>8.2100000000000006E-2</v>
      </c>
      <c r="AJ225" s="39" t="s">
        <v>7339</v>
      </c>
      <c r="AK225" s="42">
        <v>0.68659999999999999</v>
      </c>
      <c r="AL225" s="39" t="s">
        <v>136</v>
      </c>
      <c r="AM225" s="42">
        <v>3.3599999999999998E-2</v>
      </c>
      <c r="AN225" s="42">
        <v>7.7700000000000005E-2</v>
      </c>
      <c r="AO225" s="41">
        <v>55</v>
      </c>
      <c r="AP225" s="39">
        <v>24</v>
      </c>
      <c r="AQ225" s="39">
        <v>64</v>
      </c>
      <c r="AR225" s="45">
        <v>5162</v>
      </c>
      <c r="AS225" s="39">
        <v>1</v>
      </c>
      <c r="AT225" s="39" t="s">
        <v>4562</v>
      </c>
      <c r="AU225" s="39">
        <v>35</v>
      </c>
      <c r="AV225" s="39" t="s">
        <v>6433</v>
      </c>
      <c r="AW225" s="39">
        <v>5176.82</v>
      </c>
      <c r="AX225" s="39">
        <v>5226.2299999999996</v>
      </c>
      <c r="AY225" s="39">
        <v>5262.57</v>
      </c>
      <c r="AZ225" s="39">
        <v>5091.07</v>
      </c>
      <c r="BA225" s="39">
        <v>5054.7299999999996</v>
      </c>
      <c r="BB225" s="39">
        <v>5005.32</v>
      </c>
      <c r="BC225" s="39">
        <v>11</v>
      </c>
      <c r="BD225" s="39" t="s">
        <v>130</v>
      </c>
      <c r="BE225" s="39">
        <v>4</v>
      </c>
      <c r="BF225" s="39" t="s">
        <v>130</v>
      </c>
      <c r="BG225" s="48">
        <v>1377.7</v>
      </c>
      <c r="BH225" s="39">
        <v>0.3</v>
      </c>
      <c r="BI225" s="39" t="s">
        <v>4639</v>
      </c>
      <c r="BJ225" s="39" t="s">
        <v>4563</v>
      </c>
    </row>
    <row r="226" spans="1:62" x14ac:dyDescent="0.35">
      <c r="A226" s="39" t="s">
        <v>423</v>
      </c>
      <c r="B226" s="39" t="str">
        <f>IFERROR(INDEX(added_new_stocks!$F$6:$H$2155,MATCH($A226,added_new_stocks!$F$6:$F$2600,0),3),"")</f>
        <v>Large</v>
      </c>
      <c r="C226" s="48">
        <v>4385.3500000000004</v>
      </c>
      <c r="D226" s="48">
        <v>78</v>
      </c>
      <c r="E226" s="39" t="s">
        <v>4987</v>
      </c>
      <c r="F226" s="39" t="s">
        <v>7340</v>
      </c>
      <c r="G226" s="39" t="s">
        <v>129</v>
      </c>
      <c r="H226" s="39" t="s">
        <v>7341</v>
      </c>
      <c r="I226" s="39" t="s">
        <v>4624</v>
      </c>
      <c r="J226" s="39" t="s">
        <v>7342</v>
      </c>
      <c r="K226" s="39" t="s">
        <v>4957</v>
      </c>
      <c r="L226" s="39" t="s">
        <v>7343</v>
      </c>
      <c r="M226" s="39" t="s">
        <v>4959</v>
      </c>
      <c r="N226" s="39">
        <v>12</v>
      </c>
      <c r="O226" s="39">
        <v>0</v>
      </c>
      <c r="P226" s="39">
        <v>12</v>
      </c>
      <c r="Q226" s="39" t="s">
        <v>14</v>
      </c>
      <c r="R226" s="39">
        <v>0.91</v>
      </c>
      <c r="S226" s="39">
        <v>0.45</v>
      </c>
      <c r="T226" s="39">
        <v>9.1999999999999993</v>
      </c>
      <c r="U226" s="39">
        <v>13.22</v>
      </c>
      <c r="V226" s="39">
        <v>18.440000000000001</v>
      </c>
      <c r="W226" s="39">
        <v>19.02</v>
      </c>
      <c r="X226" s="39">
        <v>17.86</v>
      </c>
      <c r="Y226" s="39">
        <v>12.17</v>
      </c>
      <c r="Z226" s="39">
        <v>185.86</v>
      </c>
      <c r="AA226" s="39">
        <v>170.58</v>
      </c>
      <c r="AB226" s="39">
        <v>154.16</v>
      </c>
      <c r="AC226" s="39" t="s">
        <v>4538</v>
      </c>
      <c r="AD226" s="39" t="s">
        <v>4606</v>
      </c>
      <c r="AE226" s="39" t="s">
        <v>134</v>
      </c>
      <c r="AF226" s="39">
        <v>25</v>
      </c>
      <c r="AG226" s="42">
        <v>2.1600000000000001E-2</v>
      </c>
      <c r="AH226" s="42">
        <v>152</v>
      </c>
      <c r="AI226" s="42">
        <v>5.3100000000000001E-2</v>
      </c>
      <c r="AJ226" s="42" t="s">
        <v>7339</v>
      </c>
      <c r="AK226" s="42">
        <v>0.73799999999999999</v>
      </c>
      <c r="AL226" s="42" t="s">
        <v>136</v>
      </c>
      <c r="AM226" s="42">
        <v>5.7000000000000002E-2</v>
      </c>
      <c r="AN226" s="42">
        <v>8.2000000000000003E-2</v>
      </c>
      <c r="AO226" s="41">
        <v>70</v>
      </c>
      <c r="AP226" s="39">
        <v>22</v>
      </c>
      <c r="AQ226" s="39">
        <v>66</v>
      </c>
      <c r="AR226" s="45">
        <v>3680</v>
      </c>
      <c r="AS226" s="39">
        <v>-15</v>
      </c>
      <c r="AT226" s="39" t="s">
        <v>4625</v>
      </c>
      <c r="AU226" s="39">
        <v>23</v>
      </c>
      <c r="AV226" s="39" t="s">
        <v>6434</v>
      </c>
      <c r="AW226" s="39">
        <v>4378.53</v>
      </c>
      <c r="AX226" s="39">
        <v>4414.22</v>
      </c>
      <c r="AY226" s="39">
        <v>4448.43</v>
      </c>
      <c r="AZ226" s="39">
        <v>4308.63</v>
      </c>
      <c r="BA226" s="39">
        <v>4274.42</v>
      </c>
      <c r="BB226" s="39">
        <v>4238.7299999999996</v>
      </c>
      <c r="BC226" s="39">
        <v>15</v>
      </c>
      <c r="BD226" s="39">
        <v>1</v>
      </c>
      <c r="BE226" s="39">
        <v>4</v>
      </c>
      <c r="BF226" s="39" t="s">
        <v>130</v>
      </c>
      <c r="BG226" s="48">
        <v>1097.5999999999999</v>
      </c>
      <c r="BH226" s="39">
        <v>0.3</v>
      </c>
      <c r="BI226" s="39" t="s">
        <v>131</v>
      </c>
      <c r="BJ226" s="39" t="s">
        <v>4563</v>
      </c>
    </row>
    <row r="227" spans="1:62" x14ac:dyDescent="0.35">
      <c r="A227" s="39" t="s">
        <v>479</v>
      </c>
      <c r="B227" s="39" t="str">
        <f>IFERROR(INDEX(added_new_stocks!$F$6:$H$2155,MATCH($A227,added_new_stocks!$F$6:$F$2600,0),3),"")</f>
        <v>Large</v>
      </c>
      <c r="C227" s="48">
        <v>1100.55</v>
      </c>
      <c r="D227" s="48">
        <v>71</v>
      </c>
      <c r="G227" s="39" t="s">
        <v>129</v>
      </c>
      <c r="H227" s="39" t="s">
        <v>7344</v>
      </c>
      <c r="I227" s="39" t="s">
        <v>4624</v>
      </c>
      <c r="J227" s="39" t="s">
        <v>7345</v>
      </c>
      <c r="K227" s="39" t="s">
        <v>4615</v>
      </c>
      <c r="L227" s="39" t="s">
        <v>7346</v>
      </c>
      <c r="M227" s="39" t="s">
        <v>4620</v>
      </c>
      <c r="N227" s="39">
        <v>35</v>
      </c>
      <c r="O227" s="39">
        <v>-6</v>
      </c>
      <c r="P227" s="39">
        <v>29</v>
      </c>
      <c r="Q227" s="39" t="s">
        <v>5060</v>
      </c>
      <c r="R227" s="39">
        <v>0.32</v>
      </c>
      <c r="S227" s="39">
        <v>0.63</v>
      </c>
      <c r="T227" s="39">
        <v>13</v>
      </c>
      <c r="U227" s="39">
        <v>36.94</v>
      </c>
      <c r="V227" s="39">
        <v>66.83</v>
      </c>
      <c r="W227" s="39">
        <v>50.16</v>
      </c>
      <c r="X227" s="39">
        <v>64.48</v>
      </c>
      <c r="Y227" s="39">
        <v>15.5</v>
      </c>
      <c r="Z227" s="39">
        <v>12.7</v>
      </c>
      <c r="AA227" s="39">
        <v>48.67</v>
      </c>
      <c r="AB227" s="39">
        <v>23.15</v>
      </c>
      <c r="AC227" s="39">
        <v>37.53</v>
      </c>
      <c r="AD227" s="39" t="s">
        <v>4606</v>
      </c>
      <c r="AE227" s="39" t="s">
        <v>134</v>
      </c>
      <c r="AF227" s="39">
        <v>26</v>
      </c>
      <c r="AG227" s="42">
        <v>0.17</v>
      </c>
      <c r="AH227" s="42">
        <v>502</v>
      </c>
      <c r="AI227" s="42">
        <v>0.1394</v>
      </c>
      <c r="AJ227" s="42" t="s">
        <v>7347</v>
      </c>
      <c r="AK227" s="42">
        <v>0.45529999999999998</v>
      </c>
      <c r="AL227" s="42" t="s">
        <v>136</v>
      </c>
      <c r="AM227" s="42">
        <v>8.2400000000000001E-2</v>
      </c>
      <c r="AN227" s="42">
        <v>7.0599999999999996E-2</v>
      </c>
      <c r="AO227" s="41">
        <v>75</v>
      </c>
      <c r="AP227" s="39">
        <v>34</v>
      </c>
      <c r="AQ227" s="39">
        <v>63</v>
      </c>
      <c r="AR227" s="39">
        <v>931</v>
      </c>
      <c r="AS227" s="39">
        <v>-14</v>
      </c>
      <c r="AT227" s="39" t="s">
        <v>4625</v>
      </c>
      <c r="AU227" s="39">
        <v>37</v>
      </c>
      <c r="AV227" s="39" t="s">
        <v>6435</v>
      </c>
      <c r="AW227" s="39">
        <v>1089.7</v>
      </c>
      <c r="AX227" s="39">
        <v>1101.8</v>
      </c>
      <c r="AY227" s="39">
        <v>1110.55</v>
      </c>
      <c r="AZ227" s="39">
        <v>1068.8499999999999</v>
      </c>
      <c r="BA227" s="39">
        <v>1060.0999999999999</v>
      </c>
      <c r="BB227" s="39">
        <v>1048</v>
      </c>
      <c r="BC227" s="39">
        <v>14</v>
      </c>
      <c r="BD227" s="39" t="s">
        <v>130</v>
      </c>
      <c r="BE227" s="39">
        <v>4</v>
      </c>
      <c r="BF227" s="39">
        <v>2</v>
      </c>
      <c r="BG227" s="39">
        <v>363.8</v>
      </c>
      <c r="BH227" s="39">
        <v>0.3</v>
      </c>
      <c r="BI227" s="39" t="s">
        <v>4565</v>
      </c>
      <c r="BJ227" s="39" t="s">
        <v>4563</v>
      </c>
    </row>
    <row r="228" spans="1:62" x14ac:dyDescent="0.35">
      <c r="A228" s="39" t="s">
        <v>980</v>
      </c>
      <c r="B228" s="39" t="str">
        <f>IFERROR(INDEX(added_new_stocks!$F$6:$H$2155,MATCH($A228,added_new_stocks!$F$6:$F$2600,0),3),"")</f>
        <v>Mid</v>
      </c>
      <c r="C228" s="39">
        <v>303.55</v>
      </c>
      <c r="D228" s="48">
        <v>50</v>
      </c>
      <c r="G228" s="39" t="s">
        <v>4562</v>
      </c>
      <c r="H228" s="39" t="s">
        <v>7348</v>
      </c>
      <c r="I228" s="39" t="s">
        <v>4989</v>
      </c>
      <c r="J228" s="39" t="s">
        <v>7349</v>
      </c>
      <c r="K228" s="39" t="s">
        <v>133</v>
      </c>
      <c r="L228" s="39" t="s">
        <v>4998</v>
      </c>
      <c r="M228" s="39" t="s">
        <v>4959</v>
      </c>
      <c r="N228" s="39">
        <v>5</v>
      </c>
      <c r="O228" s="39">
        <v>-11</v>
      </c>
      <c r="P228" s="39">
        <v>-6</v>
      </c>
      <c r="Q228" s="39" t="s">
        <v>4605</v>
      </c>
      <c r="R228" s="39">
        <v>2.78</v>
      </c>
      <c r="S228" s="39">
        <v>18.32</v>
      </c>
      <c r="T228" s="39">
        <v>15.16</v>
      </c>
      <c r="U228" s="39">
        <v>17.79</v>
      </c>
      <c r="V228" s="39">
        <v>16.100000000000001</v>
      </c>
      <c r="W228" s="39">
        <v>2.21</v>
      </c>
      <c r="X228" s="39">
        <v>-8.57</v>
      </c>
      <c r="Y228" s="39">
        <v>-34.35</v>
      </c>
      <c r="Z228" s="39" t="s">
        <v>4538</v>
      </c>
      <c r="AA228" s="39" t="s">
        <v>4538</v>
      </c>
      <c r="AB228" s="39" t="s">
        <v>4538</v>
      </c>
      <c r="AC228" s="39" t="s">
        <v>4538</v>
      </c>
      <c r="AD228" s="39" t="s">
        <v>4606</v>
      </c>
      <c r="AE228" s="39" t="s">
        <v>134</v>
      </c>
      <c r="AF228" s="39">
        <v>9</v>
      </c>
      <c r="AG228" s="42">
        <v>1.4E-2</v>
      </c>
      <c r="AH228" s="42">
        <v>32</v>
      </c>
      <c r="AI228" s="42">
        <v>4.7999999999999996E-3</v>
      </c>
      <c r="AJ228" s="42" t="s">
        <v>7350</v>
      </c>
      <c r="AK228" s="42">
        <v>0.66639999999999999</v>
      </c>
      <c r="AL228" s="42" t="s">
        <v>7351</v>
      </c>
      <c r="AM228" s="42">
        <v>1.52E-2</v>
      </c>
      <c r="AN228" s="42">
        <v>0.21890000000000001</v>
      </c>
      <c r="AO228" s="41">
        <v>45</v>
      </c>
      <c r="AP228" s="39">
        <v>21</v>
      </c>
      <c r="AQ228" s="39">
        <v>37</v>
      </c>
      <c r="AR228" s="39">
        <v>259</v>
      </c>
      <c r="AS228" s="39">
        <v>-2</v>
      </c>
      <c r="AT228" s="39" t="s">
        <v>4625</v>
      </c>
      <c r="AU228" s="39">
        <v>3</v>
      </c>
      <c r="AV228" s="39" t="s">
        <v>6436</v>
      </c>
      <c r="AW228" s="39">
        <v>268.35000000000002</v>
      </c>
      <c r="AX228" s="39">
        <v>273.05</v>
      </c>
      <c r="AY228" s="39">
        <v>276.2</v>
      </c>
      <c r="AZ228" s="39">
        <v>260.5</v>
      </c>
      <c r="BA228" s="39">
        <v>257.35000000000002</v>
      </c>
      <c r="BB228" s="39">
        <v>252.65</v>
      </c>
      <c r="BC228" s="39">
        <v>6</v>
      </c>
      <c r="BD228" s="39">
        <v>8</v>
      </c>
      <c r="BE228" s="39">
        <v>1</v>
      </c>
      <c r="BF228" s="39" t="s">
        <v>130</v>
      </c>
      <c r="BG228" s="39">
        <v>66.599999999999994</v>
      </c>
      <c r="BH228" s="39">
        <v>0.3</v>
      </c>
      <c r="BI228" s="39" t="s">
        <v>4563</v>
      </c>
      <c r="BJ228" s="39" t="s">
        <v>132</v>
      </c>
    </row>
    <row r="229" spans="1:62" x14ac:dyDescent="0.35">
      <c r="A229" s="39" t="s">
        <v>231</v>
      </c>
      <c r="B229" s="39" t="str">
        <f>IFERROR(INDEX(added_new_stocks!$F$6:$H$2155,MATCH($A229,added_new_stocks!$F$6:$F$2600,0),3),"")</f>
        <v>Large</v>
      </c>
      <c r="C229" s="48">
        <v>1583.4</v>
      </c>
      <c r="D229" s="39">
        <v>77</v>
      </c>
      <c r="G229" s="39" t="s">
        <v>129</v>
      </c>
      <c r="H229" s="39" t="s">
        <v>5439</v>
      </c>
      <c r="I229" s="39" t="s">
        <v>4624</v>
      </c>
      <c r="J229" s="39" t="s">
        <v>5440</v>
      </c>
      <c r="K229" s="39" t="s">
        <v>4615</v>
      </c>
      <c r="L229" s="39" t="s">
        <v>5441</v>
      </c>
      <c r="M229" s="39" t="s">
        <v>5047</v>
      </c>
      <c r="N229" s="39">
        <v>23</v>
      </c>
      <c r="O229" s="39">
        <v>-3</v>
      </c>
      <c r="P229" s="39">
        <v>20</v>
      </c>
      <c r="Q229" s="39" t="s">
        <v>5060</v>
      </c>
      <c r="R229" s="39">
        <v>1.53</v>
      </c>
      <c r="S229" s="39">
        <v>2.67</v>
      </c>
      <c r="T229" s="39">
        <v>7.89</v>
      </c>
      <c r="U229" s="39">
        <v>19.21</v>
      </c>
      <c r="V229" s="39">
        <v>26.48</v>
      </c>
      <c r="W229" s="39">
        <v>26.74</v>
      </c>
      <c r="X229" s="39">
        <v>20.99</v>
      </c>
      <c r="Y229" s="39">
        <v>99.94</v>
      </c>
      <c r="Z229" s="39">
        <v>150.86000000000001</v>
      </c>
      <c r="AA229" s="39">
        <v>199.38</v>
      </c>
      <c r="AB229" s="39">
        <v>61.18</v>
      </c>
      <c r="AC229" s="39">
        <v>305.48</v>
      </c>
      <c r="AD229" s="39" t="s">
        <v>4974</v>
      </c>
      <c r="AE229" s="39">
        <v>0.06</v>
      </c>
      <c r="AF229" s="39">
        <v>37</v>
      </c>
      <c r="AG229" s="42">
        <v>0.1394</v>
      </c>
      <c r="AH229" s="42">
        <v>1100</v>
      </c>
      <c r="AI229" s="42">
        <v>0.40139999999999998</v>
      </c>
      <c r="AJ229" s="42"/>
      <c r="AL229" s="42" t="s">
        <v>5442</v>
      </c>
      <c r="AM229" s="42">
        <v>3.9E-2</v>
      </c>
      <c r="AN229" s="42">
        <v>8.0600000000000005E-2</v>
      </c>
      <c r="AO229" s="41">
        <v>55</v>
      </c>
      <c r="AP229" s="39">
        <v>43</v>
      </c>
      <c r="AQ229" s="39">
        <v>58</v>
      </c>
      <c r="AR229" s="45">
        <v>1691</v>
      </c>
      <c r="AS229" s="39">
        <v>11</v>
      </c>
      <c r="AT229" s="39" t="s">
        <v>129</v>
      </c>
      <c r="AU229" s="39">
        <v>37</v>
      </c>
      <c r="AV229" s="39" t="s">
        <v>6437</v>
      </c>
      <c r="AW229" s="39">
        <v>1542.13</v>
      </c>
      <c r="AX229" s="39">
        <v>1564.22</v>
      </c>
      <c r="AY229" s="39">
        <v>1581.18</v>
      </c>
      <c r="AZ229" s="39">
        <v>1503.08</v>
      </c>
      <c r="BA229" s="39">
        <v>1486.12</v>
      </c>
      <c r="BB229" s="39">
        <v>1464.03</v>
      </c>
      <c r="BC229" s="39">
        <v>16</v>
      </c>
      <c r="BD229" s="39">
        <v>3</v>
      </c>
      <c r="BE229" s="39">
        <v>5</v>
      </c>
      <c r="BF229" s="39">
        <v>1</v>
      </c>
      <c r="BG229" s="45">
        <v>1124</v>
      </c>
      <c r="BH229" s="39">
        <v>0.7</v>
      </c>
      <c r="BJ229" s="39" t="s">
        <v>4651</v>
      </c>
    </row>
    <row r="230" spans="1:62" x14ac:dyDescent="0.35">
      <c r="A230" s="39" t="s">
        <v>489</v>
      </c>
      <c r="B230" s="39" t="str">
        <f>IFERROR(INDEX(added_new_stocks!$F$6:$H$2155,MATCH($A230,added_new_stocks!$F$6:$F$2600,0),3),"")</f>
        <v>Large</v>
      </c>
      <c r="C230" s="39">
        <v>297.8</v>
      </c>
      <c r="D230" s="48">
        <v>57</v>
      </c>
      <c r="G230" s="39" t="s">
        <v>4562</v>
      </c>
      <c r="H230" s="39" t="s">
        <v>7352</v>
      </c>
      <c r="I230" s="39" t="s">
        <v>4989</v>
      </c>
      <c r="J230" s="39" t="s">
        <v>7353</v>
      </c>
      <c r="K230" s="39" t="s">
        <v>4615</v>
      </c>
      <c r="L230" s="39" t="s">
        <v>7354</v>
      </c>
      <c r="M230" s="39" t="s">
        <v>4959</v>
      </c>
      <c r="N230" s="39">
        <v>11</v>
      </c>
      <c r="O230" s="39">
        <v>-4</v>
      </c>
      <c r="P230" s="39">
        <v>7</v>
      </c>
      <c r="Q230" s="39" t="s">
        <v>14</v>
      </c>
      <c r="R230" s="39">
        <v>1.73</v>
      </c>
      <c r="S230" s="39">
        <v>-0.1</v>
      </c>
      <c r="T230" s="39">
        <v>-0.52</v>
      </c>
      <c r="U230" s="39">
        <v>4.1100000000000003</v>
      </c>
      <c r="V230" s="39">
        <v>17.940000000000001</v>
      </c>
      <c r="W230" s="39">
        <v>26.86</v>
      </c>
      <c r="X230" s="39">
        <v>44.77</v>
      </c>
      <c r="Y230" s="39">
        <v>86.71</v>
      </c>
      <c r="Z230" s="39">
        <v>107.31</v>
      </c>
      <c r="AA230" s="39">
        <v>-6.95</v>
      </c>
      <c r="AB230" s="39">
        <v>-39.53</v>
      </c>
      <c r="AC230" s="39">
        <v>17.850000000000001</v>
      </c>
      <c r="AD230" s="39" t="s">
        <v>4606</v>
      </c>
      <c r="AE230" s="39" t="s">
        <v>134</v>
      </c>
      <c r="AF230" s="39">
        <v>21</v>
      </c>
      <c r="AG230" s="42">
        <v>0.1409</v>
      </c>
      <c r="AH230" s="42">
        <v>259</v>
      </c>
      <c r="AI230" s="42">
        <v>0.13919999999999999</v>
      </c>
      <c r="AJ230" s="42" t="s">
        <v>7355</v>
      </c>
      <c r="AK230" s="42">
        <v>0.52159999999999995</v>
      </c>
      <c r="AL230" s="39" t="s">
        <v>7356</v>
      </c>
      <c r="AM230" s="42">
        <v>7.3300000000000004E-2</v>
      </c>
      <c r="AN230" s="42">
        <v>5.7000000000000002E-2</v>
      </c>
      <c r="AO230" s="41">
        <v>45</v>
      </c>
      <c r="AP230" s="39">
        <v>37</v>
      </c>
      <c r="AQ230" s="39">
        <v>56</v>
      </c>
      <c r="AR230" s="39">
        <v>317</v>
      </c>
      <c r="AS230" s="39">
        <v>8</v>
      </c>
      <c r="AT230" s="39" t="s">
        <v>4562</v>
      </c>
      <c r="AU230" s="39">
        <v>31</v>
      </c>
      <c r="AV230" s="39" t="s">
        <v>6438</v>
      </c>
      <c r="AW230" s="39">
        <v>301</v>
      </c>
      <c r="AX230" s="39">
        <v>307.75</v>
      </c>
      <c r="AY230" s="39">
        <v>311.64999999999998</v>
      </c>
      <c r="AZ230" s="39">
        <v>290.35000000000002</v>
      </c>
      <c r="BA230" s="39">
        <v>286.45</v>
      </c>
      <c r="BB230" s="39">
        <v>279.7</v>
      </c>
      <c r="BC230" s="39">
        <v>10</v>
      </c>
      <c r="BD230" s="39">
        <v>6</v>
      </c>
      <c r="BE230" s="39">
        <v>2</v>
      </c>
      <c r="BF230" s="39">
        <v>1</v>
      </c>
      <c r="BG230" s="39">
        <v>246</v>
      </c>
      <c r="BH230" s="39">
        <v>0.8</v>
      </c>
      <c r="BI230" s="39" t="s">
        <v>4563</v>
      </c>
      <c r="BJ230" s="39" t="s">
        <v>4563</v>
      </c>
    </row>
    <row r="231" spans="1:62" x14ac:dyDescent="0.35">
      <c r="A231" s="39" t="s">
        <v>694</v>
      </c>
      <c r="B231" s="39" t="str">
        <f>IFERROR(INDEX(added_new_stocks!$F$6:$H$2155,MATCH($A231,added_new_stocks!$F$6:$F$2600,0),3),"")</f>
        <v>Mid</v>
      </c>
      <c r="C231" s="39">
        <v>514.54999999999995</v>
      </c>
      <c r="D231" s="39">
        <v>58</v>
      </c>
      <c r="G231" s="39" t="s">
        <v>4562</v>
      </c>
      <c r="H231" s="39" t="s">
        <v>7357</v>
      </c>
      <c r="I231" s="39" t="s">
        <v>4989</v>
      </c>
      <c r="J231" s="39" t="s">
        <v>7358</v>
      </c>
      <c r="K231" s="39" t="s">
        <v>4615</v>
      </c>
      <c r="L231" s="39" t="s">
        <v>7359</v>
      </c>
      <c r="M231" s="39" t="s">
        <v>5047</v>
      </c>
      <c r="N231" s="39">
        <v>8</v>
      </c>
      <c r="O231" s="39">
        <v>-7</v>
      </c>
      <c r="P231" s="39">
        <v>1</v>
      </c>
      <c r="Q231" s="39" t="s">
        <v>4611</v>
      </c>
      <c r="R231" s="39">
        <v>1.62</v>
      </c>
      <c r="S231" s="39">
        <v>0.18</v>
      </c>
      <c r="T231" s="39">
        <v>8.61</v>
      </c>
      <c r="U231" s="39">
        <v>11.5</v>
      </c>
      <c r="V231" s="39">
        <v>22.06</v>
      </c>
      <c r="W231" s="39">
        <v>49.64</v>
      </c>
      <c r="X231" s="39">
        <v>86.77</v>
      </c>
      <c r="Y231" s="39">
        <v>130.16999999999999</v>
      </c>
      <c r="Z231" s="39">
        <v>258.82</v>
      </c>
      <c r="AA231" s="39">
        <v>234.45</v>
      </c>
      <c r="AB231" s="39">
        <v>97.11</v>
      </c>
      <c r="AC231" s="39">
        <v>703.98</v>
      </c>
      <c r="AD231" s="39" t="s">
        <v>4606</v>
      </c>
      <c r="AE231" s="39" t="s">
        <v>134</v>
      </c>
      <c r="AF231" s="39">
        <v>29</v>
      </c>
      <c r="AG231" s="42">
        <v>0.1363</v>
      </c>
      <c r="AH231" s="42">
        <v>173</v>
      </c>
      <c r="AI231" s="42">
        <v>7.5399999999999995E-2</v>
      </c>
      <c r="AJ231" s="42" t="s">
        <v>7360</v>
      </c>
      <c r="AK231" s="42">
        <v>0.65700000000000003</v>
      </c>
      <c r="AL231" s="42" t="s">
        <v>7361</v>
      </c>
      <c r="AM231" s="42">
        <v>3.2300000000000002E-2</v>
      </c>
      <c r="AN231" s="42">
        <v>7.9699999999999993E-2</v>
      </c>
    </row>
    <row r="232" spans="1:62" x14ac:dyDescent="0.35">
      <c r="A232" s="39" t="s">
        <v>1023</v>
      </c>
      <c r="B232" s="39" t="str">
        <f>IFERROR(INDEX(added_new_stocks!$F$6:$H$2155,MATCH($A232,added_new_stocks!$F$6:$F$2600,0),3),"")</f>
        <v>Mid</v>
      </c>
      <c r="C232" s="39">
        <v>560.04999999999995</v>
      </c>
      <c r="D232" s="39">
        <v>45</v>
      </c>
      <c r="G232" s="39" t="s">
        <v>4625</v>
      </c>
      <c r="H232" s="39" t="s">
        <v>7362</v>
      </c>
      <c r="I232" s="39" t="s">
        <v>4624</v>
      </c>
      <c r="J232" s="39" t="s">
        <v>7363</v>
      </c>
      <c r="K232" s="39" t="s">
        <v>4615</v>
      </c>
      <c r="L232" s="39" t="s">
        <v>7364</v>
      </c>
      <c r="N232" s="39">
        <v>11</v>
      </c>
      <c r="O232" s="39">
        <v>-25</v>
      </c>
      <c r="P232" s="39">
        <v>-14</v>
      </c>
      <c r="Q232" s="39" t="s">
        <v>4605</v>
      </c>
      <c r="R232" s="39">
        <v>4.24</v>
      </c>
      <c r="S232" s="39">
        <v>6.64</v>
      </c>
      <c r="T232" s="39">
        <v>9.81</v>
      </c>
      <c r="U232" s="39">
        <v>29.22</v>
      </c>
      <c r="V232" s="39">
        <v>54.22</v>
      </c>
      <c r="W232" s="39">
        <v>53.84</v>
      </c>
      <c r="X232" s="39">
        <v>7.87</v>
      </c>
      <c r="Y232" s="39">
        <v>119.81</v>
      </c>
      <c r="Z232" s="39">
        <v>501.6</v>
      </c>
      <c r="AA232" s="39">
        <v>360.86</v>
      </c>
      <c r="AB232" s="39">
        <v>264.38</v>
      </c>
      <c r="AC232" s="39">
        <v>352.3</v>
      </c>
      <c r="AD232" s="39" t="s">
        <v>4606</v>
      </c>
      <c r="AE232" s="39" t="s">
        <v>134</v>
      </c>
      <c r="AF232" s="39">
        <v>15</v>
      </c>
      <c r="AG232" s="42">
        <v>0.19239999999999999</v>
      </c>
      <c r="AH232" s="42">
        <v>110</v>
      </c>
      <c r="AI232" s="42">
        <v>0.11459999999999999</v>
      </c>
      <c r="AJ232" s="42" t="s">
        <v>7355</v>
      </c>
      <c r="AK232" s="42">
        <v>0.51280000000000003</v>
      </c>
      <c r="AL232" s="42" t="s">
        <v>7365</v>
      </c>
      <c r="AM232" s="42">
        <v>6.3399999999999998E-2</v>
      </c>
      <c r="AN232" s="42">
        <v>0.1285</v>
      </c>
      <c r="AO232" s="41">
        <v>40</v>
      </c>
      <c r="AP232" s="39">
        <v>7</v>
      </c>
      <c r="AQ232" s="39">
        <v>68</v>
      </c>
      <c r="AR232" s="39">
        <v>557</v>
      </c>
      <c r="AS232" s="39">
        <v>5</v>
      </c>
      <c r="AT232" s="39" t="s">
        <v>4633</v>
      </c>
      <c r="AU232" s="39">
        <v>7</v>
      </c>
      <c r="AV232" s="39" t="s">
        <v>6439</v>
      </c>
      <c r="AW232" s="39">
        <v>536.67999999999995</v>
      </c>
      <c r="AX232" s="39">
        <v>540.82000000000005</v>
      </c>
      <c r="AY232" s="39">
        <v>546.53</v>
      </c>
      <c r="AZ232" s="39">
        <v>526.83000000000004</v>
      </c>
      <c r="BA232" s="39">
        <v>521.12</v>
      </c>
      <c r="BB232" s="39">
        <v>516.98</v>
      </c>
      <c r="BC232" s="39">
        <v>10</v>
      </c>
      <c r="BD232" s="39">
        <v>8</v>
      </c>
      <c r="BE232" s="39">
        <v>5</v>
      </c>
      <c r="BF232" s="39" t="s">
        <v>130</v>
      </c>
      <c r="BG232" s="39">
        <v>60.6</v>
      </c>
      <c r="BH232" s="39">
        <v>0.1</v>
      </c>
      <c r="BI232" s="39" t="s">
        <v>4565</v>
      </c>
      <c r="BJ232" s="39" t="s">
        <v>132</v>
      </c>
    </row>
    <row r="233" spans="1:62" x14ac:dyDescent="0.35">
      <c r="A233" s="39" t="s">
        <v>1393</v>
      </c>
      <c r="B233" s="39" t="str">
        <f>IFERROR(INDEX(added_new_stocks!$F$6:$H$2155,MATCH($A233,added_new_stocks!$F$6:$F$2600,0),3),"")</f>
        <v>Small</v>
      </c>
      <c r="C233" s="39">
        <v>390</v>
      </c>
      <c r="D233" s="39">
        <v>26</v>
      </c>
      <c r="G233" s="39" t="s">
        <v>4963</v>
      </c>
      <c r="H233" s="39" t="s">
        <v>7366</v>
      </c>
      <c r="I233" s="39" t="s">
        <v>4976</v>
      </c>
      <c r="J233" s="39" t="s">
        <v>7367</v>
      </c>
      <c r="K233" s="39" t="s">
        <v>4615</v>
      </c>
      <c r="L233" s="39" t="s">
        <v>7368</v>
      </c>
      <c r="M233" s="39" t="s">
        <v>4620</v>
      </c>
      <c r="N233" s="39">
        <v>1</v>
      </c>
      <c r="O233" s="39">
        <v>-23</v>
      </c>
      <c r="P233" s="39">
        <v>-22</v>
      </c>
      <c r="Q233" s="39" t="s">
        <v>5026</v>
      </c>
      <c r="R233" s="39">
        <v>-0.13</v>
      </c>
      <c r="S233" s="39">
        <v>2.09</v>
      </c>
      <c r="T233" s="39">
        <v>7.75</v>
      </c>
      <c r="U233" s="39">
        <v>7.07</v>
      </c>
      <c r="V233" s="39">
        <v>6.97</v>
      </c>
      <c r="W233" s="39">
        <v>-22.05</v>
      </c>
      <c r="X233" s="39">
        <v>-18.850000000000001</v>
      </c>
      <c r="Y233" s="39">
        <v>-50.37</v>
      </c>
      <c r="Z233" s="39">
        <v>0.63</v>
      </c>
      <c r="AA233" s="39">
        <v>18.36</v>
      </c>
      <c r="AB233" s="39">
        <v>-32.200000000000003</v>
      </c>
      <c r="AC233" s="39" t="s">
        <v>4538</v>
      </c>
      <c r="AD233" s="39" t="s">
        <v>4606</v>
      </c>
      <c r="AE233" s="39" t="s">
        <v>134</v>
      </c>
      <c r="AF233" s="39">
        <v>12</v>
      </c>
      <c r="AG233" s="42">
        <v>0.11840000000000001</v>
      </c>
      <c r="AH233" s="42">
        <v>70</v>
      </c>
      <c r="AI233" s="42">
        <v>0.11509999999999999</v>
      </c>
      <c r="AJ233" s="42" t="s">
        <v>7369</v>
      </c>
      <c r="AK233" s="42">
        <v>0.58040000000000003</v>
      </c>
      <c r="AL233" s="42" t="s">
        <v>7370</v>
      </c>
      <c r="AM233" s="42">
        <v>7.0900000000000005E-2</v>
      </c>
      <c r="AN233" s="42">
        <v>0.1138</v>
      </c>
      <c r="AO233" s="41">
        <v>45</v>
      </c>
      <c r="AP233" s="39">
        <v>26</v>
      </c>
      <c r="AQ233" s="39">
        <v>51</v>
      </c>
      <c r="AR233" s="39">
        <v>411</v>
      </c>
      <c r="AS233" s="39">
        <v>7</v>
      </c>
      <c r="AT233" s="39" t="s">
        <v>4562</v>
      </c>
      <c r="AU233" s="39">
        <v>11</v>
      </c>
      <c r="AV233" s="39" t="s">
        <v>6440</v>
      </c>
      <c r="AW233" s="39">
        <v>392.93</v>
      </c>
      <c r="AX233" s="39">
        <v>401.87</v>
      </c>
      <c r="AY233" s="39">
        <v>408.73</v>
      </c>
      <c r="AZ233" s="39">
        <v>377.13</v>
      </c>
      <c r="BA233" s="39">
        <v>370.27</v>
      </c>
      <c r="BB233" s="39">
        <v>361.33</v>
      </c>
      <c r="BC233" s="39">
        <v>2</v>
      </c>
      <c r="BD233" s="39">
        <v>6</v>
      </c>
      <c r="BE233" s="39">
        <v>6</v>
      </c>
      <c r="BF233" s="39" t="s">
        <v>130</v>
      </c>
      <c r="BG233" s="39">
        <v>32</v>
      </c>
      <c r="BH233" s="39">
        <v>0.1</v>
      </c>
      <c r="BI233" s="39" t="s">
        <v>4563</v>
      </c>
    </row>
    <row r="234" spans="1:62" x14ac:dyDescent="0.35">
      <c r="A234" s="39" t="s">
        <v>2163</v>
      </c>
      <c r="B234" s="39" t="str">
        <f>IFERROR(INDEX(added_new_stocks!$F$6:$H$2155,MATCH($A234,added_new_stocks!$F$6:$F$2600,0),3),"")</f>
        <v>Small</v>
      </c>
      <c r="C234" s="39">
        <v>344.25</v>
      </c>
      <c r="D234" s="39">
        <v>58</v>
      </c>
      <c r="G234" s="39" t="s">
        <v>4562</v>
      </c>
      <c r="H234" s="39" t="s">
        <v>7371</v>
      </c>
      <c r="I234" s="39" t="s">
        <v>4989</v>
      </c>
      <c r="J234" s="39" t="s">
        <v>7372</v>
      </c>
      <c r="K234" s="39" t="s">
        <v>4615</v>
      </c>
      <c r="L234" s="39" t="s">
        <v>7373</v>
      </c>
      <c r="M234" s="39" t="s">
        <v>5047</v>
      </c>
      <c r="N234" s="39">
        <v>7</v>
      </c>
      <c r="O234" s="39">
        <v>-11</v>
      </c>
      <c r="P234" s="39">
        <v>-4</v>
      </c>
      <c r="Q234" s="39" t="s">
        <v>4611</v>
      </c>
      <c r="R234" s="39">
        <v>-0.19</v>
      </c>
      <c r="S234" s="39">
        <v>2.39</v>
      </c>
      <c r="T234" s="39">
        <v>16.12</v>
      </c>
      <c r="U234" s="39">
        <v>14.77</v>
      </c>
      <c r="V234" s="39">
        <v>32.97</v>
      </c>
      <c r="W234" s="39">
        <v>15.15</v>
      </c>
      <c r="X234" s="39">
        <v>0.1</v>
      </c>
      <c r="Y234" s="39">
        <v>-21.95</v>
      </c>
      <c r="Z234" s="39">
        <v>64.95</v>
      </c>
      <c r="AA234" s="39">
        <v>34.58</v>
      </c>
      <c r="AB234" s="39">
        <v>35.19</v>
      </c>
      <c r="AC234" s="39">
        <v>271.76</v>
      </c>
      <c r="AD234" s="39" t="s">
        <v>5015</v>
      </c>
      <c r="AE234" s="39" t="s">
        <v>134</v>
      </c>
      <c r="AF234" s="39">
        <v>1</v>
      </c>
      <c r="AG234" s="42">
        <v>2.5999999999999999E-2</v>
      </c>
      <c r="AH234" s="42">
        <v>31</v>
      </c>
      <c r="AI234" s="42">
        <v>6.7599999999999993E-2</v>
      </c>
      <c r="AJ234" s="42" t="s">
        <v>7374</v>
      </c>
      <c r="AK234" s="42">
        <v>0.12470000000000001</v>
      </c>
      <c r="AL234" s="42" t="s">
        <v>7375</v>
      </c>
      <c r="AM234" s="42">
        <v>3.7499999999999999E-2</v>
      </c>
      <c r="AN234" s="42">
        <v>0.29449999999999998</v>
      </c>
      <c r="AO234" s="41">
        <v>60</v>
      </c>
      <c r="AP234" s="39">
        <v>41</v>
      </c>
      <c r="AQ234" s="39">
        <v>58</v>
      </c>
      <c r="AR234" s="39">
        <v>410</v>
      </c>
      <c r="AS234" s="39">
        <v>23</v>
      </c>
      <c r="AT234" s="39" t="s">
        <v>4633</v>
      </c>
      <c r="AU234" s="39">
        <v>1</v>
      </c>
      <c r="AV234" s="39" t="s">
        <v>6441</v>
      </c>
      <c r="AW234" s="39">
        <v>343.2</v>
      </c>
      <c r="AX234" s="39">
        <v>352.6</v>
      </c>
      <c r="AY234" s="39">
        <v>358.2</v>
      </c>
      <c r="AZ234" s="39">
        <v>328.2</v>
      </c>
      <c r="BA234" s="39">
        <v>322.60000000000002</v>
      </c>
      <c r="BB234" s="39">
        <v>313.2</v>
      </c>
      <c r="BC234" s="39">
        <v>10</v>
      </c>
      <c r="BD234" s="39">
        <v>2</v>
      </c>
      <c r="BE234" s="39" t="s">
        <v>130</v>
      </c>
      <c r="BF234" s="39">
        <v>1.54</v>
      </c>
      <c r="BG234" s="39">
        <v>4</v>
      </c>
      <c r="BH234" s="39">
        <v>91.5</v>
      </c>
      <c r="BI234" s="39" t="s">
        <v>4563</v>
      </c>
      <c r="BJ234" s="39" t="s">
        <v>4563</v>
      </c>
    </row>
    <row r="235" spans="1:62" x14ac:dyDescent="0.35">
      <c r="A235" s="39" t="s">
        <v>1399</v>
      </c>
      <c r="B235" s="39" t="str">
        <f>IFERROR(INDEX(added_new_stocks!$F$6:$H$2155,MATCH($A235,added_new_stocks!$F$6:$F$2600,0),3),"")</f>
        <v>Small</v>
      </c>
      <c r="C235" s="39">
        <v>146.30000000000001</v>
      </c>
      <c r="D235" s="39">
        <v>80</v>
      </c>
      <c r="G235" s="39" t="s">
        <v>4633</v>
      </c>
      <c r="H235" s="39" t="s">
        <v>7376</v>
      </c>
      <c r="I235" s="39" t="s">
        <v>4624</v>
      </c>
      <c r="J235" s="39" t="s">
        <v>7377</v>
      </c>
      <c r="K235" s="39" t="s">
        <v>4615</v>
      </c>
      <c r="L235" s="39" t="s">
        <v>5008</v>
      </c>
      <c r="N235" s="39">
        <v>25</v>
      </c>
      <c r="O235" s="39">
        <v>0</v>
      </c>
      <c r="P235" s="39">
        <v>25</v>
      </c>
      <c r="Q235" s="39" t="s">
        <v>5060</v>
      </c>
      <c r="R235" s="39">
        <v>-1.28</v>
      </c>
      <c r="S235" s="39">
        <v>7.34</v>
      </c>
      <c r="T235" s="39">
        <v>20.309999999999999</v>
      </c>
      <c r="U235" s="39">
        <v>60.07</v>
      </c>
      <c r="V235" s="39">
        <v>87.42</v>
      </c>
      <c r="W235" s="39">
        <v>96.9</v>
      </c>
      <c r="X235" s="39">
        <v>60.33</v>
      </c>
      <c r="Y235" s="39">
        <v>226.46</v>
      </c>
      <c r="Z235" s="39">
        <v>697.36</v>
      </c>
      <c r="AA235" s="39">
        <v>943.14</v>
      </c>
      <c r="AB235" s="39">
        <v>372.13</v>
      </c>
      <c r="AC235" s="39">
        <v>693.65</v>
      </c>
      <c r="AD235" s="39" t="s">
        <v>4606</v>
      </c>
      <c r="AE235" s="39" t="s">
        <v>134</v>
      </c>
      <c r="AF235" s="39">
        <v>1</v>
      </c>
      <c r="AG235" s="42">
        <v>1.6199999999999999E-2</v>
      </c>
      <c r="AH235" s="42">
        <v>31</v>
      </c>
      <c r="AI235" s="42">
        <v>2.3900000000000001E-2</v>
      </c>
      <c r="AJ235" s="42" t="s">
        <v>7378</v>
      </c>
      <c r="AK235" s="42">
        <v>0.35399999999999998</v>
      </c>
      <c r="AL235" s="42" t="s">
        <v>7379</v>
      </c>
      <c r="AM235" s="42">
        <v>2.01E-2</v>
      </c>
      <c r="AN235" s="42">
        <v>0.23710000000000001</v>
      </c>
      <c r="AO235" s="41">
        <v>75</v>
      </c>
      <c r="AP235" s="39">
        <v>47</v>
      </c>
      <c r="AQ235" s="39">
        <v>67</v>
      </c>
      <c r="AS235" s="39" t="s">
        <v>4564</v>
      </c>
      <c r="AW235" s="39">
        <v>140.18</v>
      </c>
      <c r="AX235" s="39">
        <v>142.12</v>
      </c>
      <c r="AY235" s="39">
        <v>144.28</v>
      </c>
      <c r="AZ235" s="39">
        <v>136.08000000000001</v>
      </c>
      <c r="BA235" s="39">
        <v>133.91999999999999</v>
      </c>
      <c r="BB235" s="39">
        <v>131.97999999999999</v>
      </c>
      <c r="BC235" s="39">
        <v>1</v>
      </c>
      <c r="BD235" s="39">
        <v>6</v>
      </c>
      <c r="BE235" s="39" t="s">
        <v>130</v>
      </c>
      <c r="BF235" s="39">
        <v>-0.91</v>
      </c>
      <c r="BG235" s="39">
        <v>13</v>
      </c>
      <c r="BH235" s="39">
        <v>75.900000000000006</v>
      </c>
      <c r="BI235" s="39" t="s">
        <v>131</v>
      </c>
      <c r="BJ235" s="39" t="s">
        <v>4565</v>
      </c>
    </row>
    <row r="236" spans="1:62" x14ac:dyDescent="0.35">
      <c r="A236" s="39" t="s">
        <v>6236</v>
      </c>
      <c r="B236" s="39" t="str">
        <f>IFERROR(INDEX(added_new_stocks!$F$6:$H$2155,MATCH($A236,added_new_stocks!$F$6:$F$2600,0),3),"")</f>
        <v/>
      </c>
      <c r="C236" s="48">
        <v>1778.6</v>
      </c>
      <c r="D236" s="39">
        <v>48</v>
      </c>
      <c r="G236" s="39" t="s">
        <v>4625</v>
      </c>
      <c r="H236" s="39" t="s">
        <v>7380</v>
      </c>
      <c r="I236" s="39" t="s">
        <v>4996</v>
      </c>
      <c r="J236" s="39" t="s">
        <v>7381</v>
      </c>
      <c r="K236" s="39" t="s">
        <v>133</v>
      </c>
      <c r="L236" s="39" t="s">
        <v>4998</v>
      </c>
      <c r="M236" s="39" t="s">
        <v>4959</v>
      </c>
      <c r="N236" s="39">
        <v>11</v>
      </c>
      <c r="O236" s="39">
        <v>0</v>
      </c>
      <c r="P236" s="39">
        <v>11</v>
      </c>
      <c r="Q236" s="39" t="s">
        <v>14</v>
      </c>
      <c r="R236" s="39">
        <v>-0.24</v>
      </c>
      <c r="S236" s="39">
        <v>-3.05</v>
      </c>
      <c r="T236" s="39">
        <v>-1.98</v>
      </c>
      <c r="U236" s="39">
        <v>31.1</v>
      </c>
      <c r="V236" s="39" t="s">
        <v>4538</v>
      </c>
      <c r="W236" s="39" t="s">
        <v>4538</v>
      </c>
      <c r="X236" s="39" t="s">
        <v>4538</v>
      </c>
      <c r="Y236" s="39" t="s">
        <v>4538</v>
      </c>
      <c r="Z236" s="39" t="s">
        <v>4538</v>
      </c>
      <c r="AA236" s="39" t="s">
        <v>4538</v>
      </c>
      <c r="AB236" s="39" t="s">
        <v>4538</v>
      </c>
      <c r="AC236" s="39" t="s">
        <v>4538</v>
      </c>
      <c r="AD236" s="39" t="s">
        <v>4606</v>
      </c>
      <c r="AE236" s="39" t="s">
        <v>134</v>
      </c>
      <c r="AF236" s="39">
        <v>25</v>
      </c>
      <c r="AG236" s="42">
        <v>3.9199999999999999E-2</v>
      </c>
      <c r="AH236" s="42">
        <v>122</v>
      </c>
      <c r="AI236" s="42">
        <v>4.1799999999999997E-2</v>
      </c>
      <c r="AJ236" s="42" t="s">
        <v>7382</v>
      </c>
      <c r="AK236" s="39" t="s">
        <v>7383</v>
      </c>
      <c r="AL236" s="42" t="s">
        <v>7384</v>
      </c>
      <c r="AM236" s="42">
        <v>7.46E-2</v>
      </c>
      <c r="AN236" s="42">
        <v>1.0200000000000001E-2</v>
      </c>
      <c r="AO236" s="41" t="s">
        <v>130</v>
      </c>
      <c r="AP236" s="39">
        <v>5</v>
      </c>
      <c r="AQ236" s="39">
        <v>27</v>
      </c>
      <c r="AR236" s="45">
        <v>1838</v>
      </c>
      <c r="AS236" s="39">
        <v>3</v>
      </c>
      <c r="AT236" s="39" t="s">
        <v>129</v>
      </c>
      <c r="AU236" s="39">
        <v>10</v>
      </c>
      <c r="AV236" s="39" t="s">
        <v>6442</v>
      </c>
      <c r="AW236" s="39">
        <v>1815.37</v>
      </c>
      <c r="AX236" s="39">
        <v>1845.38</v>
      </c>
      <c r="AY236" s="39">
        <v>1863.07</v>
      </c>
      <c r="AZ236" s="39">
        <v>1767.67</v>
      </c>
      <c r="BA236" s="39">
        <v>1749.98</v>
      </c>
      <c r="BB236" s="39">
        <v>1719.97</v>
      </c>
      <c r="BC236" s="39">
        <v>-0.85</v>
      </c>
      <c r="BD236" s="45">
        <v>1242</v>
      </c>
      <c r="BE236" s="45">
        <v>1949</v>
      </c>
      <c r="BG236" s="39">
        <v>-2.61</v>
      </c>
      <c r="BI236" s="39" t="s">
        <v>4695</v>
      </c>
      <c r="BJ236" s="39" t="s">
        <v>132</v>
      </c>
    </row>
    <row r="237" spans="1:62" x14ac:dyDescent="0.35">
      <c r="A237" s="39" t="s">
        <v>4238</v>
      </c>
      <c r="B237" s="39" t="str">
        <f>IFERROR(INDEX(added_new_stocks!$F$6:$H$2155,MATCH($A237,added_new_stocks!$F$6:$F$2600,0),3),"")</f>
        <v>No Data</v>
      </c>
      <c r="C237" s="39">
        <v>146</v>
      </c>
      <c r="D237" s="48">
        <v>1778.6</v>
      </c>
      <c r="E237" s="39">
        <v>48</v>
      </c>
      <c r="H237" s="39" t="s">
        <v>4625</v>
      </c>
      <c r="I237" s="39" t="s">
        <v>7380</v>
      </c>
      <c r="J237" s="39" t="s">
        <v>4996</v>
      </c>
      <c r="K237" s="39" t="s">
        <v>7381</v>
      </c>
      <c r="L237" s="39" t="s">
        <v>133</v>
      </c>
      <c r="M237" s="39" t="s">
        <v>4998</v>
      </c>
      <c r="N237" s="39" t="s">
        <v>4959</v>
      </c>
      <c r="O237" s="39">
        <v>11</v>
      </c>
      <c r="P237" s="39">
        <v>0</v>
      </c>
      <c r="Q237" s="39">
        <v>11</v>
      </c>
      <c r="R237" s="39" t="s">
        <v>14</v>
      </c>
      <c r="S237" s="39">
        <v>-0.24</v>
      </c>
      <c r="T237" s="39">
        <v>-3.05</v>
      </c>
      <c r="U237" s="39">
        <v>-1.98</v>
      </c>
      <c r="V237" s="39">
        <v>31.1</v>
      </c>
      <c r="W237" s="39" t="s">
        <v>4538</v>
      </c>
      <c r="X237" s="39" t="s">
        <v>4538</v>
      </c>
      <c r="Y237" s="39" t="s">
        <v>4538</v>
      </c>
      <c r="Z237" s="39" t="s">
        <v>4538</v>
      </c>
      <c r="AA237" s="39" t="s">
        <v>4538</v>
      </c>
      <c r="AB237" s="39" t="s">
        <v>4538</v>
      </c>
      <c r="AC237" s="39" t="s">
        <v>4538</v>
      </c>
      <c r="AD237" s="39" t="s">
        <v>4538</v>
      </c>
      <c r="AE237" s="39" t="s">
        <v>4606</v>
      </c>
      <c r="AF237" s="39" t="s">
        <v>134</v>
      </c>
      <c r="AG237" s="39">
        <v>25</v>
      </c>
      <c r="AH237" s="42">
        <v>3.9199999999999999E-2</v>
      </c>
      <c r="AI237" s="39">
        <v>122</v>
      </c>
      <c r="AJ237" s="42">
        <v>4.1799999999999997E-2</v>
      </c>
      <c r="AK237" s="39" t="s">
        <v>7382</v>
      </c>
      <c r="AL237" s="39" t="s">
        <v>7383</v>
      </c>
      <c r="AM237" s="39" t="s">
        <v>7384</v>
      </c>
      <c r="AN237" s="42">
        <v>7.46E-2</v>
      </c>
    </row>
    <row r="238" spans="1:62" ht="13.5" customHeight="1" x14ac:dyDescent="0.35">
      <c r="A238" s="39" t="s">
        <v>497</v>
      </c>
      <c r="B238" s="39" t="str">
        <f>IFERROR(INDEX(added_new_stocks!$F$6:$H$2155,MATCH($A238,added_new_stocks!$F$6:$F$2600,0),3),"")</f>
        <v>Large</v>
      </c>
      <c r="C238" s="48">
        <v>1260.55</v>
      </c>
      <c r="D238" s="39">
        <v>41</v>
      </c>
      <c r="G238" s="39" t="s">
        <v>4625</v>
      </c>
      <c r="H238" s="39" t="s">
        <v>7385</v>
      </c>
      <c r="I238" s="39" t="s">
        <v>4976</v>
      </c>
      <c r="J238" s="39" t="s">
        <v>7386</v>
      </c>
      <c r="K238" s="39" t="s">
        <v>4957</v>
      </c>
      <c r="L238" s="39" t="s">
        <v>5075</v>
      </c>
      <c r="M238" s="39" t="s">
        <v>4959</v>
      </c>
      <c r="N238" s="39">
        <v>0</v>
      </c>
      <c r="O238" s="39">
        <v>-8</v>
      </c>
      <c r="P238" s="39">
        <v>-8</v>
      </c>
      <c r="Q238" s="39" t="s">
        <v>4605</v>
      </c>
      <c r="R238" s="39">
        <v>1.83</v>
      </c>
      <c r="S238" s="39">
        <v>1.86</v>
      </c>
      <c r="T238" s="39">
        <v>1.6</v>
      </c>
      <c r="U238" s="39">
        <v>-2.56</v>
      </c>
      <c r="V238" s="39">
        <v>5.01</v>
      </c>
      <c r="W238" s="39">
        <v>-5.61</v>
      </c>
      <c r="X238" s="39">
        <v>-2.17</v>
      </c>
      <c r="Y238" s="39" t="s">
        <v>4538</v>
      </c>
      <c r="Z238" s="39" t="s">
        <v>4538</v>
      </c>
      <c r="AA238" s="39" t="s">
        <v>4538</v>
      </c>
      <c r="AB238" s="39" t="s">
        <v>4538</v>
      </c>
      <c r="AC238" s="39" t="s">
        <v>4538</v>
      </c>
      <c r="AD238" s="39" t="s">
        <v>4606</v>
      </c>
      <c r="AE238" s="39" t="s">
        <v>134</v>
      </c>
      <c r="AF238" s="39">
        <v>22</v>
      </c>
      <c r="AG238" s="42">
        <v>0.12790000000000001</v>
      </c>
      <c r="AH238" s="39">
        <v>99</v>
      </c>
      <c r="AI238" s="42">
        <v>6.2700000000000006E-2</v>
      </c>
      <c r="AJ238" s="39" t="s">
        <v>7387</v>
      </c>
      <c r="AK238" s="39" t="s">
        <v>7388</v>
      </c>
      <c r="AL238" s="39" t="s">
        <v>5261</v>
      </c>
      <c r="AM238" s="42">
        <v>3.7999999999999999E-2</v>
      </c>
      <c r="AN238" s="42">
        <v>2.18E-2</v>
      </c>
      <c r="AO238" s="41">
        <v>65</v>
      </c>
      <c r="AP238" s="39">
        <v>8</v>
      </c>
      <c r="AQ238" s="39">
        <v>44</v>
      </c>
      <c r="AR238" s="45">
        <v>1341</v>
      </c>
      <c r="AS238" s="39">
        <v>10</v>
      </c>
      <c r="AT238" s="39" t="s">
        <v>129</v>
      </c>
      <c r="AU238" s="39">
        <v>9</v>
      </c>
      <c r="AV238" s="39" t="s">
        <v>6443</v>
      </c>
      <c r="AW238" s="39">
        <v>1245.18</v>
      </c>
      <c r="AX238" s="39">
        <v>1271.82</v>
      </c>
      <c r="AY238" s="39">
        <v>1295.6300000000001</v>
      </c>
      <c r="AZ238" s="39">
        <v>1194.73</v>
      </c>
      <c r="BA238" s="39">
        <v>1170.92</v>
      </c>
      <c r="BB238" s="39">
        <v>1144.28</v>
      </c>
      <c r="BC238" s="39">
        <v>7</v>
      </c>
      <c r="BD238" s="39">
        <v>7</v>
      </c>
      <c r="BE238" s="39">
        <v>1</v>
      </c>
      <c r="BF238" s="39" t="s">
        <v>130</v>
      </c>
      <c r="BG238" s="39">
        <v>149.80000000000001</v>
      </c>
      <c r="BH238" s="39">
        <v>0.1</v>
      </c>
      <c r="BI238" s="39" t="s">
        <v>4563</v>
      </c>
    </row>
    <row r="239" spans="1:62" x14ac:dyDescent="0.35">
      <c r="A239" s="39" t="s">
        <v>211</v>
      </c>
      <c r="B239" s="39" t="str">
        <f>IFERROR(INDEX(added_new_stocks!$F$6:$H$2155,MATCH($A239,added_new_stocks!$F$6:$F$2600,0),3),"")</f>
        <v>Large</v>
      </c>
      <c r="C239" s="48">
        <v>9764.4</v>
      </c>
      <c r="D239" s="39">
        <v>64</v>
      </c>
      <c r="G239" s="39" t="s">
        <v>4562</v>
      </c>
      <c r="H239" s="39" t="s">
        <v>7389</v>
      </c>
      <c r="I239" s="39" t="s">
        <v>4989</v>
      </c>
      <c r="J239" s="39" t="s">
        <v>7390</v>
      </c>
      <c r="K239" s="39" t="s">
        <v>133</v>
      </c>
      <c r="L239" s="39" t="s">
        <v>5455</v>
      </c>
      <c r="M239" s="39" t="s">
        <v>4959</v>
      </c>
      <c r="N239" s="39">
        <v>22</v>
      </c>
      <c r="O239" s="39">
        <v>-4</v>
      </c>
      <c r="P239" s="39">
        <v>18</v>
      </c>
      <c r="Q239" s="39" t="s">
        <v>14</v>
      </c>
      <c r="R239" s="39">
        <v>1.5</v>
      </c>
      <c r="S239" s="39">
        <v>1.74</v>
      </c>
      <c r="T239" s="39">
        <v>0.99</v>
      </c>
      <c r="U239" s="39">
        <v>4.09</v>
      </c>
      <c r="V239" s="39">
        <v>14.19</v>
      </c>
      <c r="W239" s="39">
        <v>16.21</v>
      </c>
      <c r="X239" s="39">
        <v>7.4</v>
      </c>
      <c r="Y239" s="39">
        <v>43.66</v>
      </c>
      <c r="Z239" s="39">
        <v>37.549999999999997</v>
      </c>
      <c r="AA239" s="39">
        <v>59.51</v>
      </c>
      <c r="AB239" s="39">
        <v>5.99</v>
      </c>
      <c r="AC239" s="39">
        <v>684.89</v>
      </c>
      <c r="AD239" s="39" t="s">
        <v>4606</v>
      </c>
      <c r="AE239" s="39" t="s">
        <v>134</v>
      </c>
      <c r="AF239" s="39">
        <v>37</v>
      </c>
      <c r="AG239" s="42">
        <v>0.1125</v>
      </c>
      <c r="AH239" s="39">
        <v>1060</v>
      </c>
      <c r="AI239" s="42">
        <v>0.21879999999999999</v>
      </c>
      <c r="AJ239" s="39" t="s">
        <v>5456</v>
      </c>
      <c r="AK239" s="42">
        <v>0.56479999999999997</v>
      </c>
      <c r="AL239" s="39" t="s">
        <v>5457</v>
      </c>
      <c r="AM239" s="42">
        <v>3.1E-2</v>
      </c>
      <c r="AN239" s="42">
        <v>2.92E-2</v>
      </c>
      <c r="AO239" s="41">
        <v>85</v>
      </c>
      <c r="AP239" s="39">
        <v>38</v>
      </c>
      <c r="AQ239" s="39">
        <v>56</v>
      </c>
      <c r="AR239" s="45">
        <v>10668</v>
      </c>
      <c r="AS239" s="39">
        <v>12</v>
      </c>
      <c r="AT239" s="39" t="s">
        <v>129</v>
      </c>
      <c r="AU239" s="39">
        <v>39</v>
      </c>
      <c r="AV239" s="39" t="s">
        <v>6444</v>
      </c>
      <c r="AW239" s="39">
        <v>9591.9699999999993</v>
      </c>
      <c r="AX239" s="39">
        <v>9678.23</v>
      </c>
      <c r="AY239" s="39">
        <v>9731.7199999999993</v>
      </c>
      <c r="AZ239" s="39">
        <v>9452.2199999999993</v>
      </c>
      <c r="BA239" s="39">
        <v>9398.73</v>
      </c>
      <c r="BB239" s="39">
        <v>9312.4699999999993</v>
      </c>
      <c r="BC239" s="39">
        <v>11</v>
      </c>
      <c r="BD239" s="39">
        <v>2</v>
      </c>
      <c r="BE239" s="39">
        <v>5</v>
      </c>
      <c r="BF239" s="39" t="s">
        <v>130</v>
      </c>
      <c r="BG239" s="48">
        <v>3845.3</v>
      </c>
      <c r="BH239" s="39">
        <v>0.4</v>
      </c>
      <c r="BI239" s="39" t="s">
        <v>4651</v>
      </c>
    </row>
    <row r="240" spans="1:62" x14ac:dyDescent="0.35">
      <c r="A240" s="39" t="s">
        <v>1141</v>
      </c>
      <c r="B240" s="39" t="str">
        <f>IFERROR(INDEX(added_new_stocks!$F$6:$H$2155,MATCH($A240,added_new_stocks!$F$6:$F$2600,0),3),"")</f>
        <v>Small</v>
      </c>
      <c r="C240" s="39">
        <v>814.2</v>
      </c>
      <c r="D240" s="39">
        <v>67</v>
      </c>
      <c r="G240" s="39" t="s">
        <v>4562</v>
      </c>
      <c r="H240" s="39" t="s">
        <v>7391</v>
      </c>
      <c r="I240" s="39" t="s">
        <v>4989</v>
      </c>
      <c r="J240" s="39" t="s">
        <v>7392</v>
      </c>
      <c r="K240" s="39" t="s">
        <v>4615</v>
      </c>
      <c r="L240" s="39" t="s">
        <v>7393</v>
      </c>
      <c r="M240" s="39" t="s">
        <v>135</v>
      </c>
      <c r="N240" s="39">
        <v>24</v>
      </c>
      <c r="O240" s="39">
        <v>-4</v>
      </c>
      <c r="P240" s="39">
        <v>20</v>
      </c>
      <c r="Q240" s="39" t="s">
        <v>5060</v>
      </c>
      <c r="R240" s="39">
        <v>-0.49</v>
      </c>
      <c r="S240" s="39">
        <v>-1.08</v>
      </c>
      <c r="T240" s="39">
        <v>2.31</v>
      </c>
      <c r="U240" s="39">
        <v>10.27</v>
      </c>
      <c r="V240" s="39">
        <v>1</v>
      </c>
      <c r="W240" s="39">
        <v>0.31</v>
      </c>
      <c r="X240" s="39">
        <v>8.2100000000000009</v>
      </c>
      <c r="Y240" s="39">
        <v>5.66</v>
      </c>
      <c r="Z240" s="39">
        <v>-5.39</v>
      </c>
      <c r="AA240" s="39">
        <v>37.619999999999997</v>
      </c>
      <c r="AB240" s="39">
        <v>35.130000000000003</v>
      </c>
      <c r="AC240" s="39" t="s">
        <v>4538</v>
      </c>
      <c r="AD240" s="39" t="s">
        <v>4606</v>
      </c>
      <c r="AE240" s="39" t="s">
        <v>134</v>
      </c>
      <c r="AF240" s="39">
        <v>6</v>
      </c>
      <c r="AG240" s="42">
        <v>9.9299999999999999E-2</v>
      </c>
      <c r="AH240" s="39">
        <v>61</v>
      </c>
      <c r="AI240" s="42">
        <v>1.5900000000000001E-2</v>
      </c>
      <c r="AJ240" s="39" t="s">
        <v>7394</v>
      </c>
      <c r="AK240" s="42">
        <v>0.2989</v>
      </c>
      <c r="AL240" s="39" t="s">
        <v>5034</v>
      </c>
      <c r="AM240" s="42">
        <v>4.8899999999999999E-2</v>
      </c>
      <c r="AN240" s="42">
        <v>5.1400000000000001E-2</v>
      </c>
      <c r="AO240" s="41">
        <v>50</v>
      </c>
      <c r="AP240" s="39">
        <v>33</v>
      </c>
      <c r="AQ240" s="39">
        <v>56</v>
      </c>
      <c r="AR240" s="39">
        <v>930</v>
      </c>
      <c r="AS240" s="39">
        <v>13</v>
      </c>
      <c r="AT240" s="39" t="s">
        <v>4633</v>
      </c>
      <c r="AU240" s="39">
        <v>2</v>
      </c>
      <c r="AV240" s="39" t="s">
        <v>6445</v>
      </c>
      <c r="AW240" s="39">
        <v>831.8</v>
      </c>
      <c r="AX240" s="39">
        <v>837.95</v>
      </c>
      <c r="AY240" s="39">
        <v>847.35</v>
      </c>
      <c r="AZ240" s="39">
        <v>816.25</v>
      </c>
      <c r="BA240" s="39">
        <v>806.85</v>
      </c>
      <c r="BB240" s="39">
        <v>800.7</v>
      </c>
      <c r="BC240" s="39">
        <v>10</v>
      </c>
      <c r="BD240" s="39">
        <v>2</v>
      </c>
      <c r="BE240" s="39">
        <v>4</v>
      </c>
      <c r="BF240" s="39" t="s">
        <v>130</v>
      </c>
      <c r="BG240" s="39">
        <v>500.4</v>
      </c>
      <c r="BH240" s="39">
        <v>0.6</v>
      </c>
      <c r="BI240" s="39" t="s">
        <v>131</v>
      </c>
      <c r="BJ240" s="39" t="s">
        <v>4563</v>
      </c>
    </row>
    <row r="241" spans="1:62" x14ac:dyDescent="0.35">
      <c r="A241" s="39" t="s">
        <v>1907</v>
      </c>
      <c r="B241" s="39" t="str">
        <f>IFERROR(INDEX(added_new_stocks!$F$6:$H$2155,MATCH($A241,added_new_stocks!$F$6:$F$2600,0),3),"")</f>
        <v>Small</v>
      </c>
      <c r="C241" s="39">
        <v>639.1</v>
      </c>
      <c r="D241" s="39">
        <v>65</v>
      </c>
      <c r="G241" s="39" t="s">
        <v>4562</v>
      </c>
      <c r="H241" s="39" t="s">
        <v>7395</v>
      </c>
      <c r="I241" s="39" t="s">
        <v>4989</v>
      </c>
      <c r="J241" s="39" t="s">
        <v>7396</v>
      </c>
      <c r="K241" s="39" t="s">
        <v>133</v>
      </c>
      <c r="L241" s="39" t="s">
        <v>7397</v>
      </c>
      <c r="M241" s="39" t="s">
        <v>5047</v>
      </c>
      <c r="N241" s="39">
        <v>9</v>
      </c>
      <c r="O241" s="39">
        <v>-4</v>
      </c>
      <c r="P241" s="39">
        <v>5</v>
      </c>
      <c r="Q241" s="39" t="s">
        <v>4611</v>
      </c>
      <c r="R241" s="39">
        <v>-0.26</v>
      </c>
      <c r="S241" s="39">
        <v>-2.35</v>
      </c>
      <c r="T241" s="39">
        <v>-1</v>
      </c>
      <c r="U241" s="39">
        <v>5.42</v>
      </c>
      <c r="V241" s="39">
        <v>21.69</v>
      </c>
      <c r="W241" s="39">
        <v>9.5</v>
      </c>
      <c r="X241" s="39">
        <v>-9.9700000000000006</v>
      </c>
      <c r="Y241" s="39">
        <v>-35.979999999999997</v>
      </c>
      <c r="Z241" s="39">
        <v>10.58</v>
      </c>
      <c r="AA241" s="39">
        <v>21.35</v>
      </c>
      <c r="AB241" s="39">
        <v>10.28</v>
      </c>
      <c r="AC241" s="39" t="s">
        <v>4538</v>
      </c>
      <c r="AD241" s="39" t="s">
        <v>4606</v>
      </c>
      <c r="AE241" s="39" t="s">
        <v>134</v>
      </c>
      <c r="AF241" s="39">
        <v>2</v>
      </c>
      <c r="AG241" s="42">
        <v>5.7599999999999998E-2</v>
      </c>
      <c r="AH241" s="39">
        <v>22</v>
      </c>
      <c r="AI241" s="42">
        <v>0.2601</v>
      </c>
      <c r="AJ241" s="39" t="s">
        <v>7398</v>
      </c>
      <c r="AK241" s="42">
        <v>0.51580000000000004</v>
      </c>
      <c r="AL241" s="39" t="s">
        <v>5244</v>
      </c>
      <c r="AM241" s="42">
        <v>9.9500000000000005E-2</v>
      </c>
      <c r="AN241" s="42">
        <v>6.3700000000000007E-2</v>
      </c>
      <c r="AO241" s="41">
        <v>50</v>
      </c>
      <c r="AP241" s="39">
        <v>28</v>
      </c>
      <c r="AQ241" s="39">
        <v>50</v>
      </c>
      <c r="AR241" s="39">
        <v>789</v>
      </c>
      <c r="AS241" s="39">
        <v>24</v>
      </c>
      <c r="AT241" s="39" t="s">
        <v>129</v>
      </c>
      <c r="AU241" s="39">
        <v>2</v>
      </c>
      <c r="AV241" s="39" t="s">
        <v>6446</v>
      </c>
      <c r="AW241" s="39">
        <v>644.98</v>
      </c>
      <c r="AX241" s="39">
        <v>652.72</v>
      </c>
      <c r="AY241" s="39">
        <v>657.43</v>
      </c>
      <c r="AZ241" s="39">
        <v>632.53</v>
      </c>
      <c r="BA241" s="39">
        <v>627.82000000000005</v>
      </c>
      <c r="BB241" s="39">
        <v>620.08000000000004</v>
      </c>
      <c r="BC241" s="39">
        <v>5</v>
      </c>
      <c r="BD241" s="39">
        <v>3</v>
      </c>
      <c r="BE241" s="39">
        <v>1</v>
      </c>
      <c r="BF241" s="39" t="s">
        <v>130</v>
      </c>
      <c r="BG241" s="39">
        <v>237</v>
      </c>
      <c r="BH241" s="39">
        <v>0.4</v>
      </c>
      <c r="BI241" s="39" t="s">
        <v>4563</v>
      </c>
      <c r="BJ241" s="39" t="s">
        <v>4563</v>
      </c>
    </row>
    <row r="242" spans="1:62" x14ac:dyDescent="0.35">
      <c r="A242" s="39" t="s">
        <v>382</v>
      </c>
      <c r="B242" s="39" t="str">
        <f>IFERROR(INDEX(added_new_stocks!$F$6:$H$2155,MATCH($A242,added_new_stocks!$F$6:$F$2600,0),3),"")</f>
        <v>Large</v>
      </c>
      <c r="C242" s="39">
        <v>575.29999999999995</v>
      </c>
      <c r="D242" s="39">
        <v>57</v>
      </c>
      <c r="G242" s="39" t="s">
        <v>4562</v>
      </c>
      <c r="H242" s="39" t="s">
        <v>7399</v>
      </c>
      <c r="I242" s="39" t="s">
        <v>4989</v>
      </c>
      <c r="J242" s="39" t="s">
        <v>7400</v>
      </c>
      <c r="K242" s="39" t="s">
        <v>4615</v>
      </c>
      <c r="L242" s="39" t="s">
        <v>5008</v>
      </c>
      <c r="M242" s="39" t="s">
        <v>4959</v>
      </c>
      <c r="N242" s="39">
        <v>20</v>
      </c>
      <c r="O242" s="39">
        <v>-3</v>
      </c>
      <c r="P242" s="39">
        <v>17</v>
      </c>
      <c r="Q242" s="39" t="s">
        <v>14</v>
      </c>
      <c r="R242" s="39">
        <v>2.25</v>
      </c>
      <c r="S242" s="39">
        <v>-0.98</v>
      </c>
      <c r="T242" s="39">
        <v>-5.1100000000000003</v>
      </c>
      <c r="U242" s="39">
        <v>7.36</v>
      </c>
      <c r="V242" s="39">
        <v>33.78</v>
      </c>
      <c r="W242" s="39">
        <v>31.06</v>
      </c>
      <c r="X242" s="39">
        <v>48.16</v>
      </c>
      <c r="Y242" s="39">
        <v>60.38</v>
      </c>
      <c r="Z242" s="39">
        <v>410.92</v>
      </c>
      <c r="AA242" s="39" t="s">
        <v>4538</v>
      </c>
      <c r="AB242" s="39" t="s">
        <v>4538</v>
      </c>
      <c r="AC242" s="39" t="s">
        <v>4538</v>
      </c>
      <c r="AD242" s="39" t="s">
        <v>4974</v>
      </c>
      <c r="AE242" s="39" t="s">
        <v>134</v>
      </c>
      <c r="AF242" s="39">
        <v>23</v>
      </c>
      <c r="AG242" s="42">
        <v>0.1132</v>
      </c>
      <c r="AH242" s="39">
        <v>703</v>
      </c>
      <c r="AI242" s="42">
        <v>0.5988</v>
      </c>
      <c r="AJ242" s="39" t="s">
        <v>7401</v>
      </c>
      <c r="AK242" s="42">
        <v>0.23760000000000001</v>
      </c>
      <c r="AL242" s="39" t="s">
        <v>5669</v>
      </c>
      <c r="AM242" s="42">
        <v>6.93E-2</v>
      </c>
      <c r="AN242" s="42">
        <v>3.5299999999999998E-2</v>
      </c>
      <c r="AO242" s="41">
        <v>75</v>
      </c>
      <c r="AP242" s="39">
        <v>20</v>
      </c>
      <c r="AQ242" s="39">
        <v>58</v>
      </c>
      <c r="AR242" s="39">
        <v>611</v>
      </c>
      <c r="AS242" s="39">
        <v>10</v>
      </c>
      <c r="AT242" s="39" t="s">
        <v>4562</v>
      </c>
      <c r="AU242" s="39">
        <v>13</v>
      </c>
      <c r="AV242" s="39" t="s">
        <v>6447</v>
      </c>
      <c r="AW242" s="39">
        <v>561.92999999999995</v>
      </c>
      <c r="AX242" s="39">
        <v>570.27</v>
      </c>
      <c r="AY242" s="39">
        <v>577.23</v>
      </c>
      <c r="AZ242" s="39">
        <v>546.63</v>
      </c>
      <c r="BA242" s="39">
        <v>539.66999999999996</v>
      </c>
      <c r="BB242" s="39">
        <v>531.33000000000004</v>
      </c>
      <c r="BC242" s="39">
        <v>13</v>
      </c>
      <c r="BD242" s="39">
        <v>2</v>
      </c>
      <c r="BE242" s="39">
        <v>2</v>
      </c>
      <c r="BF242" s="39" t="s">
        <v>130</v>
      </c>
      <c r="BG242" s="39">
        <v>143.80000000000001</v>
      </c>
      <c r="BH242" s="39">
        <v>0.3</v>
      </c>
      <c r="BI242" s="39" t="s">
        <v>4563</v>
      </c>
      <c r="BJ242" s="39" t="s">
        <v>4563</v>
      </c>
    </row>
    <row r="243" spans="1:62" x14ac:dyDescent="0.35">
      <c r="A243" s="39" t="s">
        <v>331</v>
      </c>
      <c r="B243" s="39" t="str">
        <f>IFERROR(INDEX(added_new_stocks!$F$6:$H$2155,MATCH($A243,added_new_stocks!$F$6:$F$2600,0),3),"")</f>
        <v>Large</v>
      </c>
      <c r="C243" s="48">
        <v>1012.8</v>
      </c>
      <c r="D243" s="39">
        <v>72</v>
      </c>
      <c r="G243" s="39" t="s">
        <v>129</v>
      </c>
      <c r="H243" s="39" t="s">
        <v>7402</v>
      </c>
      <c r="I243" s="39" t="s">
        <v>4624</v>
      </c>
      <c r="J243" s="39" t="s">
        <v>7403</v>
      </c>
      <c r="K243" s="39" t="s">
        <v>133</v>
      </c>
      <c r="L243" s="39" t="s">
        <v>7404</v>
      </c>
      <c r="M243" s="39" t="s">
        <v>4620</v>
      </c>
      <c r="N243" s="39">
        <v>12</v>
      </c>
      <c r="O243" s="39">
        <v>-6</v>
      </c>
      <c r="P243" s="39">
        <v>6</v>
      </c>
      <c r="Q243" s="39" t="s">
        <v>14</v>
      </c>
      <c r="R243" s="39">
        <v>0.98</v>
      </c>
      <c r="S243" s="39">
        <v>-0.05</v>
      </c>
      <c r="T243" s="39">
        <v>7.0000000000000007E-2</v>
      </c>
      <c r="U243" s="39">
        <v>16.8</v>
      </c>
      <c r="V243" s="39">
        <v>37.71</v>
      </c>
      <c r="W243" s="39">
        <v>15.45</v>
      </c>
      <c r="X243" s="39">
        <v>24.8</v>
      </c>
      <c r="Y243" s="39">
        <v>42.98</v>
      </c>
      <c r="Z243" s="39">
        <v>73.010000000000005</v>
      </c>
      <c r="AA243" s="39">
        <v>61.17</v>
      </c>
      <c r="AB243" s="39">
        <v>56.65</v>
      </c>
      <c r="AC243" s="39">
        <v>130.22999999999999</v>
      </c>
      <c r="AD243" s="39" t="s">
        <v>4606</v>
      </c>
      <c r="AE243" s="39">
        <v>1.19</v>
      </c>
      <c r="AF243" s="39">
        <v>198</v>
      </c>
      <c r="AG243" s="42">
        <v>0.1007</v>
      </c>
      <c r="AH243" s="39">
        <v>579</v>
      </c>
      <c r="AI243" s="42">
        <v>0.15920000000000001</v>
      </c>
      <c r="AJ243" s="39" t="s">
        <v>7405</v>
      </c>
      <c r="AK243" s="39" t="s">
        <v>7406</v>
      </c>
      <c r="AL243" s="39" t="s">
        <v>5126</v>
      </c>
      <c r="AM243" s="42">
        <v>2.1399999999999999E-2</v>
      </c>
      <c r="AN243" s="42">
        <v>9.0200000000000002E-2</v>
      </c>
      <c r="AO243" s="41">
        <v>50</v>
      </c>
      <c r="AP243" s="39">
        <v>15</v>
      </c>
      <c r="AQ243" s="39">
        <v>60</v>
      </c>
      <c r="AR243" s="45">
        <v>1024</v>
      </c>
      <c r="AS243" s="39">
        <v>2</v>
      </c>
      <c r="AT243" s="39" t="s">
        <v>4562</v>
      </c>
      <c r="AU243" s="39">
        <v>19</v>
      </c>
      <c r="AV243" s="39" t="s">
        <v>6448</v>
      </c>
      <c r="AW243" s="39">
        <v>1017.05</v>
      </c>
      <c r="AX243" s="39">
        <v>1025.95</v>
      </c>
      <c r="AY243" s="39">
        <v>1033.45</v>
      </c>
      <c r="AZ243" s="39">
        <v>1000.65</v>
      </c>
      <c r="BA243" s="39">
        <v>993.15</v>
      </c>
      <c r="BB243" s="39">
        <v>984.25</v>
      </c>
      <c r="BC243" s="39">
        <v>13</v>
      </c>
      <c r="BD243" s="39">
        <v>2</v>
      </c>
      <c r="BE243" s="39">
        <v>4</v>
      </c>
      <c r="BF243" s="39" t="s">
        <v>130</v>
      </c>
      <c r="BG243" s="39">
        <v>185.3</v>
      </c>
      <c r="BH243" s="39">
        <v>0.2</v>
      </c>
      <c r="BI243" s="39" t="s">
        <v>4563</v>
      </c>
      <c r="BJ243" s="39" t="s">
        <v>132</v>
      </c>
    </row>
    <row r="244" spans="1:62" x14ac:dyDescent="0.35">
      <c r="A244" s="39" t="s">
        <v>6237</v>
      </c>
      <c r="B244" s="39" t="str">
        <f>IFERROR(INDEX(added_new_stocks!$F$6:$H$2155,MATCH($A244,added_new_stocks!$F$6:$F$2600,0),3),"")</f>
        <v/>
      </c>
      <c r="C244" s="48">
        <v>1628.1</v>
      </c>
      <c r="D244" s="39">
        <v>57</v>
      </c>
      <c r="G244" s="39" t="s">
        <v>4562</v>
      </c>
      <c r="H244" s="39" t="s">
        <v>7407</v>
      </c>
      <c r="I244" s="39" t="s">
        <v>4624</v>
      </c>
      <c r="J244" s="39" t="s">
        <v>7408</v>
      </c>
      <c r="K244" s="39" t="s">
        <v>133</v>
      </c>
      <c r="L244" s="39" t="s">
        <v>7409</v>
      </c>
      <c r="M244" s="39" t="s">
        <v>4959</v>
      </c>
      <c r="N244" s="39">
        <v>5</v>
      </c>
      <c r="O244" s="39">
        <v>-13</v>
      </c>
      <c r="P244" s="39">
        <v>-8</v>
      </c>
      <c r="Q244" s="39" t="s">
        <v>4605</v>
      </c>
      <c r="R244" s="39">
        <v>1.24</v>
      </c>
      <c r="S244" s="39">
        <v>2.87</v>
      </c>
      <c r="T244" s="39">
        <v>-2.38</v>
      </c>
      <c r="U244" s="39">
        <v>12.48</v>
      </c>
      <c r="V244" s="39">
        <v>14.31</v>
      </c>
      <c r="W244" s="39">
        <v>4.83</v>
      </c>
      <c r="X244" s="39">
        <v>26.23</v>
      </c>
      <c r="Y244" s="39">
        <v>7.03</v>
      </c>
      <c r="Z244" s="39">
        <v>-3.78</v>
      </c>
      <c r="AA244" s="39">
        <v>66.61</v>
      </c>
      <c r="AB244" s="39">
        <v>97.53</v>
      </c>
      <c r="AC244" s="39">
        <v>336.55</v>
      </c>
      <c r="AD244" s="39" t="s">
        <v>5220</v>
      </c>
      <c r="AE244" s="39" t="s">
        <v>134</v>
      </c>
      <c r="AF244" s="39">
        <v>22</v>
      </c>
      <c r="AG244" s="42">
        <v>0.34439999999999998</v>
      </c>
      <c r="AH244" s="39">
        <v>133</v>
      </c>
      <c r="AI244" s="42">
        <v>0.24840000000000001</v>
      </c>
      <c r="AL244" s="39" t="s">
        <v>5925</v>
      </c>
      <c r="AM244" s="43">
        <v>0.15</v>
      </c>
      <c r="AN244" s="42">
        <v>0.1583</v>
      </c>
      <c r="AO244" s="41">
        <v>55</v>
      </c>
      <c r="AP244" s="39">
        <v>21</v>
      </c>
      <c r="AQ244" s="39">
        <v>49</v>
      </c>
      <c r="AR244" s="45">
        <v>1641</v>
      </c>
      <c r="AS244" s="39">
        <v>4</v>
      </c>
      <c r="AT244" s="39" t="s">
        <v>4562</v>
      </c>
      <c r="AU244" s="39">
        <v>9</v>
      </c>
      <c r="AV244" s="39" t="s">
        <v>6449</v>
      </c>
      <c r="AW244" s="39">
        <v>1604.88</v>
      </c>
      <c r="AX244" s="39">
        <v>1631.27</v>
      </c>
      <c r="AY244" s="39">
        <v>1646.18</v>
      </c>
      <c r="AZ244" s="39">
        <v>1563.58</v>
      </c>
      <c r="BA244" s="39">
        <v>1548.67</v>
      </c>
      <c r="BB244" s="39">
        <v>1522.28</v>
      </c>
      <c r="BC244" s="39">
        <v>3</v>
      </c>
      <c r="BD244" s="39">
        <v>4</v>
      </c>
      <c r="BE244" s="39">
        <v>3</v>
      </c>
      <c r="BF244" s="39">
        <v>1</v>
      </c>
      <c r="BG244" s="39">
        <v>477.1</v>
      </c>
      <c r="BH244" s="39">
        <v>0.3</v>
      </c>
      <c r="BI244" s="39" t="s">
        <v>4651</v>
      </c>
      <c r="BJ244" s="39" t="s">
        <v>4639</v>
      </c>
    </row>
    <row r="245" spans="1:62" x14ac:dyDescent="0.35">
      <c r="A245" s="39" t="s">
        <v>677</v>
      </c>
      <c r="B245" s="39" t="str">
        <f>IFERROR(INDEX(added_new_stocks!$F$6:$H$2155,MATCH($A245,added_new_stocks!$F$6:$F$2600,0),3),"")</f>
        <v>Mid</v>
      </c>
      <c r="C245" s="39">
        <v>702.65</v>
      </c>
      <c r="D245" s="39">
        <v>71</v>
      </c>
      <c r="G245" s="39" t="s">
        <v>129</v>
      </c>
      <c r="H245" s="39" t="s">
        <v>7410</v>
      </c>
      <c r="I245" s="39" t="s">
        <v>4989</v>
      </c>
      <c r="J245" s="39" t="s">
        <v>7411</v>
      </c>
      <c r="K245" s="39" t="s">
        <v>133</v>
      </c>
      <c r="L245" s="39" t="s">
        <v>4998</v>
      </c>
      <c r="M245" s="39" t="s">
        <v>4620</v>
      </c>
      <c r="N245" s="39">
        <v>23</v>
      </c>
      <c r="O245" s="39">
        <v>0</v>
      </c>
      <c r="P245" s="39">
        <v>23</v>
      </c>
      <c r="Q245" s="39" t="s">
        <v>5060</v>
      </c>
      <c r="R245" s="39">
        <v>0.45</v>
      </c>
      <c r="S245" s="39">
        <v>-0.9</v>
      </c>
      <c r="T245" s="39">
        <v>-0.22</v>
      </c>
      <c r="U245" s="39">
        <v>18.440000000000001</v>
      </c>
      <c r="V245" s="39">
        <v>40.11</v>
      </c>
      <c r="W245" s="39">
        <v>50.11</v>
      </c>
      <c r="X245" s="39" t="s">
        <v>4538</v>
      </c>
      <c r="Y245" s="39" t="s">
        <v>4538</v>
      </c>
      <c r="Z245" s="39" t="s">
        <v>4538</v>
      </c>
      <c r="AA245" s="39" t="s">
        <v>4538</v>
      </c>
      <c r="AB245" s="39" t="s">
        <v>4538</v>
      </c>
      <c r="AC245" s="39" t="s">
        <v>4538</v>
      </c>
      <c r="AD245" s="39" t="s">
        <v>5015</v>
      </c>
      <c r="AE245" s="39" t="s">
        <v>134</v>
      </c>
      <c r="AF245" s="39">
        <v>17</v>
      </c>
      <c r="AG245" s="42">
        <v>7.9899999999999999E-2</v>
      </c>
      <c r="AH245" s="39">
        <v>74</v>
      </c>
      <c r="AI245" s="42">
        <v>0.10580000000000001</v>
      </c>
      <c r="AJ245" s="39" t="s">
        <v>7412</v>
      </c>
      <c r="AK245" s="42">
        <v>0.33079999999999998</v>
      </c>
      <c r="AL245" s="39" t="s">
        <v>7413</v>
      </c>
      <c r="AM245" s="39" t="s">
        <v>7414</v>
      </c>
      <c r="AN245" s="42">
        <v>6.7900000000000002E-2</v>
      </c>
      <c r="AO245" s="41">
        <v>60</v>
      </c>
      <c r="AP245" s="39">
        <v>16</v>
      </c>
      <c r="AQ245" s="39">
        <v>52</v>
      </c>
      <c r="AR245" s="39">
        <v>757</v>
      </c>
      <c r="AS245" s="39">
        <v>8</v>
      </c>
      <c r="AT245" s="39" t="s">
        <v>129</v>
      </c>
      <c r="AU245" s="39">
        <v>5</v>
      </c>
      <c r="AV245" s="39" t="s">
        <v>6450</v>
      </c>
      <c r="AW245" s="39">
        <v>711.02</v>
      </c>
      <c r="AX245" s="39">
        <v>718.03</v>
      </c>
      <c r="AY245" s="39">
        <v>728.42</v>
      </c>
      <c r="AZ245" s="39">
        <v>693.62</v>
      </c>
      <c r="BA245" s="39">
        <v>683.23</v>
      </c>
      <c r="BB245" s="39">
        <v>676.22</v>
      </c>
      <c r="BC245" s="39">
        <v>1</v>
      </c>
      <c r="BD245" s="39">
        <v>4</v>
      </c>
      <c r="BE245" s="39" t="s">
        <v>130</v>
      </c>
      <c r="BF245" s="39">
        <v>0.93</v>
      </c>
      <c r="BG245" s="39">
        <v>13</v>
      </c>
      <c r="BH245" s="39">
        <v>167.4</v>
      </c>
      <c r="BI245" s="39" t="s">
        <v>131</v>
      </c>
      <c r="BJ245" s="39" t="s">
        <v>4563</v>
      </c>
    </row>
    <row r="246" spans="1:62" x14ac:dyDescent="0.35">
      <c r="A246" s="39" t="s">
        <v>549</v>
      </c>
      <c r="B246" s="39" t="str">
        <f>IFERROR(INDEX(added_new_stocks!$F$6:$H$2155,MATCH($A246,added_new_stocks!$F$6:$F$2600,0),3),"")</f>
        <v>Large</v>
      </c>
      <c r="C246" s="48">
        <v>1059.4000000000001</v>
      </c>
      <c r="D246" s="39">
        <v>65</v>
      </c>
      <c r="G246" s="39" t="s">
        <v>4562</v>
      </c>
      <c r="H246" s="39" t="s">
        <v>7415</v>
      </c>
      <c r="I246" s="39" t="s">
        <v>4624</v>
      </c>
      <c r="J246" s="39" t="s">
        <v>7416</v>
      </c>
      <c r="K246" s="39" t="s">
        <v>4957</v>
      </c>
      <c r="L246" s="39" t="s">
        <v>5075</v>
      </c>
      <c r="M246" s="39" t="s">
        <v>4959</v>
      </c>
      <c r="N246" s="39">
        <v>4</v>
      </c>
      <c r="O246" s="39">
        <v>-2</v>
      </c>
      <c r="P246" s="39">
        <v>2</v>
      </c>
      <c r="Q246" s="39" t="s">
        <v>4611</v>
      </c>
      <c r="R246" s="39">
        <v>1.22</v>
      </c>
      <c r="S246" s="39">
        <v>1.31</v>
      </c>
      <c r="T246" s="39">
        <v>1.45</v>
      </c>
      <c r="U246" s="39">
        <v>9.0500000000000007</v>
      </c>
      <c r="V246" s="39">
        <v>31.47</v>
      </c>
      <c r="W246" s="39">
        <v>19.760000000000002</v>
      </c>
      <c r="X246" s="39">
        <v>33.590000000000003</v>
      </c>
      <c r="Y246" s="39" t="s">
        <v>4538</v>
      </c>
      <c r="Z246" s="39" t="s">
        <v>4538</v>
      </c>
      <c r="AA246" s="39" t="s">
        <v>4538</v>
      </c>
      <c r="AB246" s="39" t="s">
        <v>4538</v>
      </c>
      <c r="AC246" s="39" t="s">
        <v>4538</v>
      </c>
      <c r="AD246" s="39" t="s">
        <v>4606</v>
      </c>
      <c r="AE246" s="39" t="s">
        <v>134</v>
      </c>
      <c r="AF246" s="39">
        <v>22</v>
      </c>
      <c r="AG246" s="42">
        <v>5.2200000000000003E-2</v>
      </c>
      <c r="AH246" s="39">
        <v>38</v>
      </c>
      <c r="AI246" s="42">
        <v>2.6100000000000002E-2</v>
      </c>
      <c r="AJ246" s="39" t="s">
        <v>5460</v>
      </c>
      <c r="AK246" s="39" t="s">
        <v>5461</v>
      </c>
      <c r="AL246" s="39" t="s">
        <v>5462</v>
      </c>
      <c r="AM246" s="42">
        <v>4.8000000000000001E-2</v>
      </c>
      <c r="AN246" s="42">
        <v>0.1694</v>
      </c>
      <c r="AO246" s="41">
        <v>55</v>
      </c>
      <c r="AP246" s="39">
        <v>9</v>
      </c>
      <c r="AQ246" s="39">
        <v>60</v>
      </c>
      <c r="AR246" s="45">
        <v>1094</v>
      </c>
      <c r="AS246" s="39">
        <v>7</v>
      </c>
      <c r="AT246" s="39" t="s">
        <v>4562</v>
      </c>
      <c r="AU246" s="39">
        <v>12</v>
      </c>
      <c r="AV246" s="39" t="s">
        <v>6451</v>
      </c>
      <c r="AW246" s="39">
        <v>1034.8800000000001</v>
      </c>
      <c r="AX246" s="39">
        <v>1044.6199999999999</v>
      </c>
      <c r="AY246" s="39">
        <v>1056.48</v>
      </c>
      <c r="AZ246" s="39">
        <v>1013.28</v>
      </c>
      <c r="BA246" s="39">
        <v>1001.42</v>
      </c>
      <c r="BB246" s="39">
        <v>991.68</v>
      </c>
      <c r="BC246" s="39">
        <v>10</v>
      </c>
      <c r="BD246" s="39">
        <v>3</v>
      </c>
      <c r="BE246" s="39">
        <v>4</v>
      </c>
      <c r="BF246" s="39" t="s">
        <v>130</v>
      </c>
      <c r="BG246" s="39">
        <v>129.5</v>
      </c>
      <c r="BH246" s="39">
        <v>0.1</v>
      </c>
      <c r="BI246" s="39" t="s">
        <v>4563</v>
      </c>
      <c r="BJ246" s="39" t="s">
        <v>132</v>
      </c>
    </row>
    <row r="247" spans="1:62" x14ac:dyDescent="0.35">
      <c r="A247" s="39" t="s">
        <v>547</v>
      </c>
      <c r="B247" s="39" t="str">
        <f>IFERROR(INDEX(added_new_stocks!$F$6:$H$2155,MATCH($A247,added_new_stocks!$F$6:$F$2600,0),3),"")</f>
        <v>Large</v>
      </c>
      <c r="C247" s="39">
        <v>935.65</v>
      </c>
      <c r="D247" s="39">
        <v>54</v>
      </c>
      <c r="G247" s="39" t="s">
        <v>4562</v>
      </c>
      <c r="H247" s="39" t="s">
        <v>7417</v>
      </c>
      <c r="I247" s="39" t="s">
        <v>4624</v>
      </c>
      <c r="J247" s="39" t="s">
        <v>7418</v>
      </c>
      <c r="K247" s="39" t="s">
        <v>4603</v>
      </c>
      <c r="L247" s="39" t="s">
        <v>7419</v>
      </c>
      <c r="N247" s="39">
        <v>19</v>
      </c>
      <c r="O247" s="39">
        <v>-4</v>
      </c>
      <c r="P247" s="39">
        <v>15</v>
      </c>
      <c r="Q247" s="39" t="s">
        <v>14</v>
      </c>
      <c r="R247" s="39">
        <v>0.7</v>
      </c>
      <c r="S247" s="39">
        <v>6.12</v>
      </c>
      <c r="T247" s="39">
        <v>14.91</v>
      </c>
      <c r="U247" s="39">
        <v>34.020000000000003</v>
      </c>
      <c r="V247" s="39">
        <v>36.270000000000003</v>
      </c>
      <c r="W247" s="39">
        <v>38.11</v>
      </c>
      <c r="X247" s="39">
        <v>13.56</v>
      </c>
      <c r="Y247" s="39">
        <v>-12.04</v>
      </c>
      <c r="Z247" s="39">
        <v>56.38</v>
      </c>
      <c r="AA247" s="39">
        <v>122.06</v>
      </c>
      <c r="AB247" s="39">
        <v>101.61</v>
      </c>
      <c r="AC247" s="39">
        <v>478.81</v>
      </c>
      <c r="AD247" s="39" t="s">
        <v>4974</v>
      </c>
      <c r="AE247" s="39">
        <v>93.31</v>
      </c>
      <c r="AF247" s="39">
        <v>29</v>
      </c>
      <c r="AG247" s="42">
        <v>0.3019</v>
      </c>
      <c r="AH247" s="39">
        <v>197</v>
      </c>
      <c r="AI247" s="42">
        <v>0.48459999999999998</v>
      </c>
      <c r="AJ247" s="39" t="s">
        <v>7420</v>
      </c>
      <c r="AK247" s="42">
        <v>0.1002</v>
      </c>
      <c r="AL247" s="39" t="s">
        <v>7421</v>
      </c>
      <c r="AM247" s="42">
        <v>0.21859999999999999</v>
      </c>
      <c r="AN247" s="42">
        <v>5.2299999999999999E-2</v>
      </c>
      <c r="AO247" s="41">
        <v>50</v>
      </c>
      <c r="AP247" s="39">
        <v>36</v>
      </c>
      <c r="AQ247" s="39">
        <v>67</v>
      </c>
      <c r="AR247" s="45">
        <v>1052</v>
      </c>
      <c r="AS247" s="39">
        <v>16</v>
      </c>
      <c r="AT247" s="39" t="s">
        <v>129</v>
      </c>
      <c r="AU247" s="39">
        <v>14</v>
      </c>
      <c r="AV247" s="39" t="s">
        <v>6452</v>
      </c>
      <c r="AW247" s="39">
        <v>920.53</v>
      </c>
      <c r="AX247" s="39">
        <v>934.57</v>
      </c>
      <c r="AY247" s="39">
        <v>947.18</v>
      </c>
      <c r="AZ247" s="39">
        <v>893.88</v>
      </c>
      <c r="BA247" s="39">
        <v>881.27</v>
      </c>
      <c r="BB247" s="39">
        <v>867.23</v>
      </c>
      <c r="BC247" s="39">
        <v>9</v>
      </c>
      <c r="BD247" s="39">
        <v>4</v>
      </c>
      <c r="BE247" s="39">
        <v>5</v>
      </c>
      <c r="BF247" s="39" t="s">
        <v>130</v>
      </c>
      <c r="BG247" s="39">
        <v>175.7</v>
      </c>
      <c r="BH247" s="39">
        <v>0.2</v>
      </c>
      <c r="BI247" s="39" t="s">
        <v>4563</v>
      </c>
      <c r="BJ247" s="39" t="s">
        <v>4639</v>
      </c>
    </row>
    <row r="248" spans="1:62" x14ac:dyDescent="0.35">
      <c r="A248" s="39" t="s">
        <v>1262</v>
      </c>
      <c r="B248" s="39" t="str">
        <f>IFERROR(INDEX(added_new_stocks!$F$6:$H$2155,MATCH($A248,added_new_stocks!$F$6:$F$2600,0),3),"")</f>
        <v>Small</v>
      </c>
      <c r="C248" s="39">
        <v>403.25</v>
      </c>
      <c r="D248" s="39">
        <v>57</v>
      </c>
      <c r="G248" s="39" t="s">
        <v>4562</v>
      </c>
      <c r="H248" s="39" t="s">
        <v>7422</v>
      </c>
      <c r="I248" s="39" t="s">
        <v>4624</v>
      </c>
      <c r="J248" s="39" t="s">
        <v>7423</v>
      </c>
      <c r="K248" s="39" t="s">
        <v>133</v>
      </c>
      <c r="L248" s="39" t="s">
        <v>7424</v>
      </c>
      <c r="M248" s="39" t="s">
        <v>4959</v>
      </c>
      <c r="N248" s="39">
        <v>4</v>
      </c>
      <c r="O248" s="39">
        <v>-10</v>
      </c>
      <c r="P248" s="39">
        <v>-6</v>
      </c>
      <c r="Q248" s="39" t="s">
        <v>4605</v>
      </c>
      <c r="R248" s="39">
        <v>-0.93</v>
      </c>
      <c r="S248" s="39">
        <v>-1.21</v>
      </c>
      <c r="T248" s="39">
        <v>27.67</v>
      </c>
      <c r="U248" s="39">
        <v>84.39</v>
      </c>
      <c r="V248" s="39">
        <v>101.12</v>
      </c>
      <c r="W248" s="39">
        <v>85.92</v>
      </c>
      <c r="X248" s="39">
        <v>102.59</v>
      </c>
      <c r="Y248" s="39">
        <v>121.26</v>
      </c>
      <c r="Z248" s="39">
        <v>81.849999999999994</v>
      </c>
      <c r="AA248" s="39">
        <v>240.15</v>
      </c>
      <c r="AB248" s="39">
        <v>185.99</v>
      </c>
      <c r="AC248" s="39" t="s">
        <v>4538</v>
      </c>
      <c r="AD248" s="39" t="s">
        <v>4606</v>
      </c>
      <c r="AE248" s="39" t="s">
        <v>134</v>
      </c>
      <c r="AF248" s="39">
        <v>5</v>
      </c>
      <c r="AG248" s="42">
        <v>0.1133</v>
      </c>
      <c r="AH248" s="39">
        <v>34</v>
      </c>
      <c r="AI248" s="42">
        <v>9.5999999999999992E-3</v>
      </c>
      <c r="AJ248" s="39" t="s">
        <v>5061</v>
      </c>
      <c r="AK248" s="43">
        <v>0.74</v>
      </c>
      <c r="AL248" s="39" t="s">
        <v>6696</v>
      </c>
      <c r="AM248" s="42">
        <v>8.9099999999999999E-2</v>
      </c>
      <c r="AN248" s="42">
        <v>9.9900000000000003E-2</v>
      </c>
      <c r="AO248" s="41">
        <v>50</v>
      </c>
      <c r="AP248" s="39">
        <v>15</v>
      </c>
      <c r="AQ248" s="39">
        <v>76</v>
      </c>
      <c r="AR248" s="39">
        <v>250</v>
      </c>
      <c r="AS248" s="39">
        <v>-38</v>
      </c>
      <c r="AT248" s="39" t="s">
        <v>129</v>
      </c>
      <c r="AU248" s="39">
        <v>2</v>
      </c>
      <c r="AV248" s="39" t="s">
        <v>6453</v>
      </c>
      <c r="AW248" s="39">
        <v>411.33</v>
      </c>
      <c r="AX248" s="39">
        <v>420.02</v>
      </c>
      <c r="AY248" s="39">
        <v>428.03</v>
      </c>
      <c r="AZ248" s="39">
        <v>394.63</v>
      </c>
      <c r="BA248" s="39">
        <v>386.62</v>
      </c>
      <c r="BB248" s="39">
        <v>377.93</v>
      </c>
      <c r="BC248" s="39">
        <v>8</v>
      </c>
      <c r="BD248" s="39">
        <v>5</v>
      </c>
      <c r="BE248" s="39">
        <v>6</v>
      </c>
      <c r="BF248" s="39" t="s">
        <v>130</v>
      </c>
      <c r="BG248" s="39">
        <v>113.8</v>
      </c>
      <c r="BH248" s="39">
        <v>0.3</v>
      </c>
      <c r="BI248" s="39" t="s">
        <v>4563</v>
      </c>
      <c r="BJ248" s="39" t="s">
        <v>132</v>
      </c>
    </row>
    <row r="249" spans="1:62" x14ac:dyDescent="0.35">
      <c r="A249" s="39" t="s">
        <v>1055</v>
      </c>
      <c r="B249" s="39" t="str">
        <f>IFERROR(INDEX(added_new_stocks!$F$6:$H$2155,MATCH($A249,added_new_stocks!$F$6:$F$2600,0),3),"")</f>
        <v>Mid</v>
      </c>
      <c r="C249" s="39">
        <v>325.64999999999998</v>
      </c>
      <c r="D249" s="39">
        <v>54</v>
      </c>
      <c r="G249" s="39" t="s">
        <v>4562</v>
      </c>
      <c r="H249" s="39" t="s">
        <v>7425</v>
      </c>
      <c r="I249" s="39" t="s">
        <v>4624</v>
      </c>
      <c r="J249" s="39" t="s">
        <v>7426</v>
      </c>
      <c r="K249" s="39" t="s">
        <v>4615</v>
      </c>
      <c r="L249" s="39" t="s">
        <v>7427</v>
      </c>
      <c r="M249" s="39" t="s">
        <v>135</v>
      </c>
      <c r="N249" s="39">
        <v>9</v>
      </c>
      <c r="O249" s="39">
        <v>-18</v>
      </c>
      <c r="P249" s="39">
        <v>-9</v>
      </c>
      <c r="Q249" s="39" t="s">
        <v>4605</v>
      </c>
      <c r="R249" s="39">
        <v>0.8</v>
      </c>
      <c r="S249" s="39">
        <v>3.45</v>
      </c>
      <c r="T249" s="39">
        <v>6.07</v>
      </c>
      <c r="U249" s="39">
        <v>16.53</v>
      </c>
      <c r="V249" s="39">
        <v>60.81</v>
      </c>
      <c r="W249" s="39">
        <v>59.2</v>
      </c>
      <c r="X249" s="39">
        <v>44.28</v>
      </c>
      <c r="Y249" s="39">
        <v>167.04</v>
      </c>
      <c r="Z249" s="39">
        <v>309.37</v>
      </c>
      <c r="AA249" s="39">
        <v>228.94</v>
      </c>
      <c r="AB249" s="39">
        <v>112.15</v>
      </c>
      <c r="AC249" s="39" t="s">
        <v>4538</v>
      </c>
      <c r="AD249" s="39" t="s">
        <v>4606</v>
      </c>
      <c r="AE249" s="39" t="s">
        <v>134</v>
      </c>
      <c r="AF249" s="39">
        <v>8</v>
      </c>
      <c r="AG249" s="42">
        <v>5.8900000000000001E-2</v>
      </c>
      <c r="AH249" s="39">
        <v>66</v>
      </c>
      <c r="AI249" s="42">
        <v>5.7299999999999997E-2</v>
      </c>
      <c r="AJ249" s="39" t="s">
        <v>5466</v>
      </c>
      <c r="AK249" s="42">
        <v>0.34079999999999999</v>
      </c>
      <c r="AL249" s="39" t="s">
        <v>5467</v>
      </c>
      <c r="AM249" s="42">
        <v>4.9599999999999998E-2</v>
      </c>
      <c r="AN249" s="42">
        <v>0.1181</v>
      </c>
      <c r="AO249" s="41">
        <v>70</v>
      </c>
      <c r="AP249" s="39">
        <v>38</v>
      </c>
      <c r="AQ249" s="39">
        <v>70</v>
      </c>
      <c r="AR249" s="39">
        <v>310</v>
      </c>
      <c r="AS249" s="39">
        <v>0</v>
      </c>
      <c r="AT249" s="39" t="s">
        <v>4562</v>
      </c>
      <c r="AU249" s="39">
        <v>6</v>
      </c>
      <c r="AV249" s="39" t="s">
        <v>6454</v>
      </c>
      <c r="AW249" s="39">
        <v>316.14999999999998</v>
      </c>
      <c r="AX249" s="39">
        <v>322.85000000000002</v>
      </c>
      <c r="AY249" s="39">
        <v>327.7</v>
      </c>
      <c r="AZ249" s="39">
        <v>304.60000000000002</v>
      </c>
      <c r="BA249" s="39">
        <v>299.75</v>
      </c>
      <c r="BB249" s="39">
        <v>293.05</v>
      </c>
      <c r="BC249" s="39">
        <v>14</v>
      </c>
      <c r="BD249" s="39">
        <v>3</v>
      </c>
      <c r="BE249" s="39">
        <v>4</v>
      </c>
      <c r="BF249" s="39" t="s">
        <v>130</v>
      </c>
      <c r="BG249" s="39">
        <v>131.6</v>
      </c>
      <c r="BH249" s="39">
        <v>0.4</v>
      </c>
      <c r="BI249" s="39" t="s">
        <v>4563</v>
      </c>
      <c r="BJ249" s="39" t="s">
        <v>4563</v>
      </c>
    </row>
    <row r="250" spans="1:62" x14ac:dyDescent="0.35">
      <c r="A250" s="39" t="s">
        <v>367</v>
      </c>
      <c r="B250" s="39" t="str">
        <f>IFERROR(INDEX(added_new_stocks!$F$6:$H$2155,MATCH($A250,added_new_stocks!$F$6:$F$2600,0),3),"")</f>
        <v>Large</v>
      </c>
      <c r="C250" s="39">
        <v>96.15</v>
      </c>
      <c r="D250" s="39">
        <v>71</v>
      </c>
      <c r="G250" s="39" t="s">
        <v>129</v>
      </c>
      <c r="H250" s="39" t="s">
        <v>7428</v>
      </c>
      <c r="I250" s="39" t="s">
        <v>4624</v>
      </c>
      <c r="J250" s="39" t="s">
        <v>7429</v>
      </c>
      <c r="K250" s="39" t="s">
        <v>4615</v>
      </c>
      <c r="L250" s="39" t="s">
        <v>7430</v>
      </c>
      <c r="M250" s="39" t="s">
        <v>5047</v>
      </c>
      <c r="N250" s="39">
        <v>23</v>
      </c>
      <c r="O250" s="39">
        <v>-9</v>
      </c>
      <c r="P250" s="39">
        <v>14</v>
      </c>
      <c r="Q250" s="39" t="s">
        <v>14</v>
      </c>
      <c r="R250" s="39">
        <v>-0.33</v>
      </c>
      <c r="S250" s="39">
        <v>1.66</v>
      </c>
      <c r="T250" s="39">
        <v>-1.34</v>
      </c>
      <c r="U250" s="39">
        <v>20.99</v>
      </c>
      <c r="V250" s="39">
        <v>19.04</v>
      </c>
      <c r="W250" s="39">
        <v>29.67</v>
      </c>
      <c r="X250" s="39">
        <v>18.489999999999998</v>
      </c>
      <c r="Y250" s="39">
        <v>-33.4</v>
      </c>
      <c r="Z250" s="39">
        <v>24.89</v>
      </c>
      <c r="AA250" s="39">
        <v>48.73</v>
      </c>
      <c r="AB250" s="39">
        <v>-29.47</v>
      </c>
      <c r="AC250" s="39">
        <v>278.7</v>
      </c>
      <c r="AD250" s="39" t="s">
        <v>4606</v>
      </c>
      <c r="AE250" s="39">
        <v>1.91</v>
      </c>
      <c r="AF250" s="39">
        <v>25</v>
      </c>
      <c r="AG250" s="42">
        <v>0.12</v>
      </c>
      <c r="AH250" s="39">
        <v>524</v>
      </c>
      <c r="AI250" s="42">
        <v>0.10829999999999999</v>
      </c>
      <c r="AJ250" s="39" t="s">
        <v>7431</v>
      </c>
      <c r="AK250" s="42">
        <v>0.14149999999999999</v>
      </c>
      <c r="AL250" s="39" t="s">
        <v>7432</v>
      </c>
      <c r="AM250" s="42">
        <v>3.95E-2</v>
      </c>
      <c r="AN250" s="42">
        <v>7.7399999999999997E-2</v>
      </c>
      <c r="AO250" s="41">
        <v>65</v>
      </c>
      <c r="AP250" s="39">
        <v>51</v>
      </c>
      <c r="AQ250" s="39">
        <v>59</v>
      </c>
      <c r="AR250" s="39">
        <v>110</v>
      </c>
      <c r="AS250" s="39">
        <v>15</v>
      </c>
      <c r="AT250" s="39" t="s">
        <v>129</v>
      </c>
      <c r="AU250" s="39">
        <v>18</v>
      </c>
      <c r="AV250" s="39" t="s">
        <v>6455</v>
      </c>
      <c r="AW250" s="39">
        <v>97.3</v>
      </c>
      <c r="AX250" s="39">
        <v>98.7</v>
      </c>
      <c r="AY250" s="39">
        <v>100.2</v>
      </c>
      <c r="AZ250" s="39">
        <v>94.4</v>
      </c>
      <c r="BA250" s="39">
        <v>92.9</v>
      </c>
      <c r="BB250" s="39">
        <v>91.5</v>
      </c>
      <c r="BC250" s="39">
        <v>4</v>
      </c>
      <c r="BD250" s="39">
        <v>5</v>
      </c>
      <c r="BE250" s="39">
        <v>6</v>
      </c>
      <c r="BF250" s="39" t="s">
        <v>130</v>
      </c>
      <c r="BG250" s="39">
        <v>48.3</v>
      </c>
      <c r="BH250" s="39">
        <v>0.5</v>
      </c>
      <c r="BI250" s="39" t="s">
        <v>132</v>
      </c>
      <c r="BJ250" s="39" t="s">
        <v>4563</v>
      </c>
    </row>
    <row r="251" spans="1:62" x14ac:dyDescent="0.35">
      <c r="A251" s="39" t="s">
        <v>448</v>
      </c>
      <c r="B251" s="39" t="str">
        <f>IFERROR(INDEX(added_new_stocks!$F$6:$H$2155,MATCH($A251,added_new_stocks!$F$6:$F$2600,0),3),"")</f>
        <v>Large</v>
      </c>
      <c r="C251" s="48">
        <v>2366</v>
      </c>
      <c r="D251" s="39">
        <v>58</v>
      </c>
      <c r="G251" s="39" t="s">
        <v>4562</v>
      </c>
      <c r="H251" s="39" t="s">
        <v>5473</v>
      </c>
      <c r="I251" s="39" t="s">
        <v>4989</v>
      </c>
      <c r="J251" s="39" t="s">
        <v>7433</v>
      </c>
      <c r="K251" s="39" t="s">
        <v>4957</v>
      </c>
      <c r="L251" s="39" t="s">
        <v>7434</v>
      </c>
      <c r="M251" s="39" t="s">
        <v>4620</v>
      </c>
      <c r="N251" s="39">
        <v>0</v>
      </c>
      <c r="O251" s="39">
        <v>-6</v>
      </c>
      <c r="P251" s="39">
        <v>-6</v>
      </c>
      <c r="Q251" s="39" t="s">
        <v>4605</v>
      </c>
      <c r="R251" s="39">
        <v>2.4</v>
      </c>
      <c r="S251" s="39">
        <v>0.49</v>
      </c>
      <c r="T251" s="39">
        <v>5.16</v>
      </c>
      <c r="U251" s="39">
        <v>19.920000000000002</v>
      </c>
      <c r="V251" s="39">
        <v>15.53</v>
      </c>
      <c r="W251" s="39">
        <v>19.78</v>
      </c>
      <c r="X251" s="39">
        <v>11.03</v>
      </c>
      <c r="Y251" s="39">
        <v>-17.48</v>
      </c>
      <c r="Z251" s="39">
        <v>103.17</v>
      </c>
      <c r="AA251" s="39">
        <v>142.53</v>
      </c>
      <c r="AB251" s="39">
        <v>87.64</v>
      </c>
      <c r="AC251" s="39">
        <v>458.15</v>
      </c>
      <c r="AD251" s="39" t="s">
        <v>4606</v>
      </c>
      <c r="AE251" s="39" t="s">
        <v>134</v>
      </c>
      <c r="AF251" s="39">
        <v>125</v>
      </c>
      <c r="AG251" s="42">
        <v>0.13039999999999999</v>
      </c>
      <c r="AH251" s="39">
        <v>528</v>
      </c>
      <c r="AI251" s="42">
        <v>0.1719</v>
      </c>
      <c r="AJ251" s="39" t="s">
        <v>5476</v>
      </c>
      <c r="AK251" s="42">
        <v>0.55579999999999996</v>
      </c>
      <c r="AL251" s="39" t="s">
        <v>136</v>
      </c>
      <c r="AM251" s="39" t="s">
        <v>5477</v>
      </c>
      <c r="AN251" s="42">
        <v>4.6300000000000001E-2</v>
      </c>
      <c r="AO251" s="41">
        <v>70</v>
      </c>
      <c r="AP251" s="39">
        <v>29</v>
      </c>
      <c r="AQ251" s="39">
        <v>57</v>
      </c>
      <c r="AR251" s="45">
        <v>2259</v>
      </c>
      <c r="AS251" s="39">
        <v>-6</v>
      </c>
      <c r="AT251" s="39" t="s">
        <v>4562</v>
      </c>
      <c r="AU251" s="39">
        <v>27</v>
      </c>
      <c r="AV251" s="39" t="s">
        <v>6456</v>
      </c>
      <c r="AW251" s="39">
        <v>2460.38</v>
      </c>
      <c r="AX251" s="39">
        <v>2528.67</v>
      </c>
      <c r="AY251" s="39">
        <v>2566.33</v>
      </c>
      <c r="AZ251" s="39">
        <v>2354.4299999999998</v>
      </c>
      <c r="BA251" s="39">
        <v>2316.77</v>
      </c>
      <c r="BB251" s="39">
        <v>2248.48</v>
      </c>
      <c r="BC251" s="39">
        <v>11</v>
      </c>
      <c r="BD251" s="39">
        <v>7</v>
      </c>
      <c r="BE251" s="39">
        <v>4</v>
      </c>
      <c r="BF251" s="39" t="s">
        <v>130</v>
      </c>
      <c r="BG251" s="39">
        <v>905.3</v>
      </c>
      <c r="BH251" s="39">
        <v>0.4</v>
      </c>
      <c r="BI251" s="39" t="s">
        <v>131</v>
      </c>
      <c r="BJ251" s="39" t="s">
        <v>4563</v>
      </c>
    </row>
    <row r="252" spans="1:62" x14ac:dyDescent="0.35">
      <c r="A252" s="39" t="s">
        <v>425</v>
      </c>
      <c r="B252" s="39" t="str">
        <f>IFERROR(INDEX(added_new_stocks!$F$6:$H$2155,MATCH($A252,added_new_stocks!$F$6:$F$2600,0),3),"")</f>
        <v>Large</v>
      </c>
      <c r="C252" s="48">
        <v>109501.65</v>
      </c>
      <c r="D252" s="39">
        <v>75</v>
      </c>
      <c r="G252" s="39" t="s">
        <v>129</v>
      </c>
      <c r="H252" s="39" t="s">
        <v>7435</v>
      </c>
      <c r="I252" s="39" t="s">
        <v>4624</v>
      </c>
      <c r="J252" s="39" t="s">
        <v>7436</v>
      </c>
      <c r="K252" s="39" t="s">
        <v>4615</v>
      </c>
      <c r="L252" s="39" t="s">
        <v>7437</v>
      </c>
      <c r="M252" s="39" t="s">
        <v>4959</v>
      </c>
      <c r="N252" s="39">
        <v>34</v>
      </c>
      <c r="O252" s="39">
        <v>-2</v>
      </c>
      <c r="P252" s="39">
        <v>32</v>
      </c>
      <c r="Q252" s="39" t="s">
        <v>5076</v>
      </c>
      <c r="R252" s="39">
        <v>0.64</v>
      </c>
      <c r="S252" s="39">
        <v>0.66</v>
      </c>
      <c r="T252" s="39">
        <v>6.8</v>
      </c>
      <c r="U252" s="39">
        <v>12.91</v>
      </c>
      <c r="V252" s="39">
        <v>26.15</v>
      </c>
      <c r="W252" s="39">
        <v>23.69</v>
      </c>
      <c r="X252" s="39">
        <v>28.36</v>
      </c>
      <c r="Y252" s="39">
        <v>40.020000000000003</v>
      </c>
      <c r="Z252" s="39">
        <v>83.69</v>
      </c>
      <c r="AA252" s="39">
        <v>86.96</v>
      </c>
      <c r="AB252" s="39">
        <v>49.25</v>
      </c>
      <c r="AC252" s="39">
        <v>749.58</v>
      </c>
      <c r="AD252" s="39" t="s">
        <v>5015</v>
      </c>
      <c r="AE252" s="39">
        <v>0.09</v>
      </c>
      <c r="AF252" s="39">
        <v>55</v>
      </c>
      <c r="AG252" s="42">
        <v>7.2800000000000004E-2</v>
      </c>
      <c r="AH252" s="39">
        <v>478</v>
      </c>
      <c r="AI252" s="42">
        <v>0.18770000000000001</v>
      </c>
      <c r="AJ252" s="39" t="s">
        <v>7438</v>
      </c>
      <c r="AK252" s="42">
        <v>0.1042</v>
      </c>
      <c r="AL252" s="39" t="s">
        <v>7439</v>
      </c>
      <c r="AM252" s="42">
        <v>0.1198</v>
      </c>
      <c r="AN252" s="42">
        <v>0.1236</v>
      </c>
      <c r="AO252" s="41">
        <v>65</v>
      </c>
      <c r="AP252" s="39">
        <v>41</v>
      </c>
      <c r="AQ252" s="39">
        <v>69</v>
      </c>
      <c r="AR252" s="45">
        <v>93279</v>
      </c>
      <c r="AS252" s="39">
        <v>-14</v>
      </c>
      <c r="AT252" s="39" t="s">
        <v>4963</v>
      </c>
      <c r="AU252" s="39">
        <v>9</v>
      </c>
      <c r="AV252" s="39" t="s">
        <v>6457</v>
      </c>
      <c r="AW252" s="39">
        <v>108958.28</v>
      </c>
      <c r="AX252" s="39">
        <v>109374.57</v>
      </c>
      <c r="AY252" s="39">
        <v>109853.43</v>
      </c>
      <c r="AZ252" s="39">
        <v>108063.13</v>
      </c>
      <c r="BA252" s="39">
        <v>107584.27</v>
      </c>
      <c r="BB252" s="39">
        <v>107167.98</v>
      </c>
      <c r="BC252" s="39">
        <v>11</v>
      </c>
      <c r="BD252" s="39">
        <v>2</v>
      </c>
      <c r="BE252" s="39">
        <v>4</v>
      </c>
      <c r="BF252" s="39" t="s">
        <v>130</v>
      </c>
      <c r="BG252" s="48">
        <v>47662.5</v>
      </c>
      <c r="BH252" s="39">
        <v>0.4</v>
      </c>
      <c r="BI252" s="39" t="s">
        <v>4651</v>
      </c>
      <c r="BJ252" s="39" t="s">
        <v>4563</v>
      </c>
    </row>
    <row r="253" spans="1:62" x14ac:dyDescent="0.35">
      <c r="A253" s="39" t="s">
        <v>551</v>
      </c>
      <c r="B253" s="39" t="str">
        <f>IFERROR(INDEX(added_new_stocks!$F$6:$H$2155,MATCH($A253,added_new_stocks!$F$6:$F$2600,0),3),"")</f>
        <v>Large</v>
      </c>
      <c r="C253" s="39">
        <v>59.48</v>
      </c>
      <c r="D253" s="39">
        <v>72</v>
      </c>
      <c r="G253" s="39" t="s">
        <v>129</v>
      </c>
      <c r="H253" s="39" t="s">
        <v>7440</v>
      </c>
      <c r="I253" s="39" t="s">
        <v>4989</v>
      </c>
      <c r="J253" s="39" t="s">
        <v>7441</v>
      </c>
      <c r="K253" s="39" t="s">
        <v>4957</v>
      </c>
      <c r="L253" s="39" t="s">
        <v>5075</v>
      </c>
      <c r="M253" s="39" t="s">
        <v>4959</v>
      </c>
      <c r="N253" s="39">
        <v>2</v>
      </c>
      <c r="O253" s="39">
        <v>-1</v>
      </c>
      <c r="P253" s="39">
        <v>1</v>
      </c>
      <c r="Q253" s="39" t="s">
        <v>4611</v>
      </c>
      <c r="R253" s="39">
        <v>0.51</v>
      </c>
      <c r="S253" s="39">
        <v>7.0000000000000007E-2</v>
      </c>
      <c r="T253" s="39">
        <v>1</v>
      </c>
      <c r="U253" s="39">
        <v>3.23</v>
      </c>
      <c r="V253" s="39">
        <v>18.34</v>
      </c>
      <c r="W253" s="39">
        <v>2.02</v>
      </c>
      <c r="X253" s="39">
        <v>2.73</v>
      </c>
      <c r="Y253" s="39" t="s">
        <v>4538</v>
      </c>
      <c r="Z253" s="39" t="s">
        <v>4538</v>
      </c>
      <c r="AA253" s="39" t="s">
        <v>4538</v>
      </c>
      <c r="AB253" s="39" t="s">
        <v>4538</v>
      </c>
      <c r="AC253" s="39" t="s">
        <v>4538</v>
      </c>
      <c r="AD253" s="39" t="s">
        <v>4606</v>
      </c>
      <c r="AE253" s="39" t="s">
        <v>134</v>
      </c>
      <c r="AF253" s="39">
        <v>24</v>
      </c>
      <c r="AG253" s="42">
        <v>0.14249999999999999</v>
      </c>
      <c r="AH253" s="39">
        <v>191</v>
      </c>
      <c r="AI253" s="42">
        <v>0.1091</v>
      </c>
      <c r="AJ253" s="39" t="s">
        <v>7442</v>
      </c>
      <c r="AK253" s="42">
        <v>0.33429999999999999</v>
      </c>
      <c r="AL253" s="39" t="s">
        <v>5589</v>
      </c>
      <c r="AM253" s="42">
        <v>4.3499999999999997E-2</v>
      </c>
      <c r="AN253" s="42">
        <v>8.09E-2</v>
      </c>
      <c r="AO253" s="41">
        <v>50</v>
      </c>
      <c r="AP253" s="39">
        <v>13</v>
      </c>
      <c r="AQ253" s="39">
        <v>58</v>
      </c>
      <c r="AR253" s="39">
        <v>65</v>
      </c>
      <c r="AS253" s="39">
        <v>8</v>
      </c>
      <c r="AT253" s="39" t="s">
        <v>129</v>
      </c>
      <c r="AU253" s="39">
        <v>10</v>
      </c>
      <c r="AV253" s="39" t="s">
        <v>6458</v>
      </c>
      <c r="AW253" s="39">
        <v>60.22</v>
      </c>
      <c r="AX253" s="39">
        <v>60.83</v>
      </c>
      <c r="AY253" s="39">
        <v>61.27</v>
      </c>
      <c r="AZ253" s="39">
        <v>59.17</v>
      </c>
      <c r="BA253" s="39">
        <v>58.73</v>
      </c>
      <c r="BB253" s="39">
        <v>58.12</v>
      </c>
      <c r="BC253" s="39">
        <v>5</v>
      </c>
      <c r="BD253" s="39">
        <v>6</v>
      </c>
      <c r="BE253" s="39">
        <v>1</v>
      </c>
      <c r="BF253" s="39" t="s">
        <v>130</v>
      </c>
      <c r="BG253" s="39">
        <v>8.6</v>
      </c>
      <c r="BH253" s="39">
        <v>0.1</v>
      </c>
      <c r="BI253" s="39" t="s">
        <v>132</v>
      </c>
      <c r="BJ253" s="39" t="s">
        <v>132</v>
      </c>
    </row>
    <row r="254" spans="1:62" x14ac:dyDescent="0.35">
      <c r="A254" s="39" t="s">
        <v>1077</v>
      </c>
      <c r="B254" s="39" t="str">
        <f>IFERROR(INDEX(added_new_stocks!$F$6:$H$2155,MATCH($A254,added_new_stocks!$F$6:$F$2600,0),3),"")</f>
        <v>Small</v>
      </c>
      <c r="C254" s="48">
        <v>2294.6</v>
      </c>
      <c r="D254" s="39">
        <v>65</v>
      </c>
      <c r="G254" s="39" t="s">
        <v>4562</v>
      </c>
      <c r="H254" s="39" t="s">
        <v>7443</v>
      </c>
      <c r="I254" s="39" t="s">
        <v>4624</v>
      </c>
      <c r="J254" s="39" t="s">
        <v>7444</v>
      </c>
      <c r="K254" s="39" t="s">
        <v>133</v>
      </c>
      <c r="L254" s="39" t="s">
        <v>4998</v>
      </c>
      <c r="M254" s="39" t="s">
        <v>4959</v>
      </c>
      <c r="N254" s="39">
        <v>18</v>
      </c>
      <c r="O254" s="39">
        <v>-20</v>
      </c>
      <c r="P254" s="39">
        <v>-2</v>
      </c>
      <c r="Q254" s="39" t="s">
        <v>4611</v>
      </c>
      <c r="R254" s="39">
        <v>2.99</v>
      </c>
      <c r="S254" s="39">
        <v>3.33</v>
      </c>
      <c r="T254" s="39">
        <v>8.0299999999999994</v>
      </c>
      <c r="U254" s="39">
        <v>19.89</v>
      </c>
      <c r="V254" s="39">
        <v>32.4</v>
      </c>
      <c r="W254" s="39">
        <v>42.12</v>
      </c>
      <c r="X254" s="39">
        <v>39.5</v>
      </c>
      <c r="Y254" s="39">
        <v>78.599999999999994</v>
      </c>
      <c r="Z254" s="39" t="s">
        <v>4538</v>
      </c>
      <c r="AA254" s="39" t="s">
        <v>4538</v>
      </c>
      <c r="AB254" s="39" t="s">
        <v>4538</v>
      </c>
      <c r="AC254" s="39" t="s">
        <v>4538</v>
      </c>
      <c r="AD254" s="39" t="s">
        <v>4606</v>
      </c>
      <c r="AE254" s="39">
        <v>6.65</v>
      </c>
      <c r="AF254" s="39">
        <v>19</v>
      </c>
      <c r="AG254" s="42">
        <v>0.25979999999999998</v>
      </c>
      <c r="AH254" s="39">
        <v>47</v>
      </c>
      <c r="AI254" s="42">
        <v>4.5199999999999997E-2</v>
      </c>
      <c r="AJ254" s="39" t="s">
        <v>7445</v>
      </c>
      <c r="AK254" s="42">
        <v>6.8000000000000005E-2</v>
      </c>
      <c r="AL254" s="39" t="s">
        <v>5528</v>
      </c>
      <c r="AM254" s="42">
        <v>7.0199999999999999E-2</v>
      </c>
      <c r="AN254" s="42">
        <v>0.20449999999999999</v>
      </c>
      <c r="AO254" s="41">
        <v>50</v>
      </c>
      <c r="AP254" s="39">
        <v>11</v>
      </c>
      <c r="AQ254" s="39">
        <v>60</v>
      </c>
      <c r="AR254" s="45">
        <v>2422</v>
      </c>
      <c r="AS254" s="39">
        <v>7</v>
      </c>
      <c r="AT254" s="39" t="s">
        <v>4633</v>
      </c>
      <c r="AU254" s="39">
        <v>6</v>
      </c>
      <c r="AV254" s="39" t="s">
        <v>6459</v>
      </c>
      <c r="AW254" s="39">
        <v>2326.5</v>
      </c>
      <c r="AX254" s="39">
        <v>2391.5500000000002</v>
      </c>
      <c r="AY254" s="39">
        <v>2438.1999999999998</v>
      </c>
      <c r="AZ254" s="39">
        <v>2214.8000000000002</v>
      </c>
      <c r="BA254" s="39">
        <v>2168.15</v>
      </c>
      <c r="BB254" s="39">
        <v>2103.1</v>
      </c>
      <c r="BC254" s="39">
        <v>13</v>
      </c>
      <c r="BD254" s="39">
        <v>3</v>
      </c>
      <c r="BE254" s="39">
        <v>3</v>
      </c>
      <c r="BF254" s="39" t="s">
        <v>130</v>
      </c>
      <c r="BG254" s="39">
        <v>398.2</v>
      </c>
      <c r="BH254" s="39">
        <v>0.2</v>
      </c>
      <c r="BI254" s="39" t="s">
        <v>4639</v>
      </c>
      <c r="BJ254" s="39" t="s">
        <v>4563</v>
      </c>
    </row>
    <row r="255" spans="1:62" x14ac:dyDescent="0.35">
      <c r="A255" s="39" t="s">
        <v>401</v>
      </c>
      <c r="B255" s="39" t="str">
        <f>IFERROR(INDEX(added_new_stocks!$F$6:$H$2155,MATCH($A255,added_new_stocks!$F$6:$F$2600,0),3),"")</f>
        <v>Large</v>
      </c>
      <c r="C255" s="48">
        <v>1288.95</v>
      </c>
      <c r="D255" s="39">
        <v>71</v>
      </c>
      <c r="G255" s="39" t="s">
        <v>129</v>
      </c>
      <c r="H255" s="39" t="s">
        <v>7446</v>
      </c>
      <c r="I255" s="39" t="s">
        <v>4624</v>
      </c>
      <c r="J255" s="39" t="s">
        <v>7447</v>
      </c>
      <c r="K255" s="39" t="s">
        <v>133</v>
      </c>
      <c r="L255" s="39" t="s">
        <v>4998</v>
      </c>
      <c r="M255" s="39" t="s">
        <v>4959</v>
      </c>
      <c r="N255" s="39">
        <v>12</v>
      </c>
      <c r="O255" s="39">
        <v>-1</v>
      </c>
      <c r="P255" s="39">
        <v>11</v>
      </c>
      <c r="Q255" s="39" t="s">
        <v>14</v>
      </c>
      <c r="R255" s="39">
        <v>-0.75</v>
      </c>
      <c r="S255" s="39">
        <v>2.02</v>
      </c>
      <c r="T255" s="39">
        <v>-3.17</v>
      </c>
      <c r="U255" s="39">
        <v>15.51</v>
      </c>
      <c r="V255" s="39">
        <v>35</v>
      </c>
      <c r="W255" s="39">
        <v>21.2</v>
      </c>
      <c r="X255" s="39">
        <v>22.14</v>
      </c>
      <c r="Y255" s="39">
        <v>-14.26</v>
      </c>
      <c r="Z255" s="39">
        <v>6.63</v>
      </c>
      <c r="AA255" s="39">
        <v>112.38</v>
      </c>
      <c r="AB255" s="39">
        <v>215.3</v>
      </c>
      <c r="AC255" s="39">
        <v>1027.2</v>
      </c>
      <c r="AD255" s="39" t="s">
        <v>4606</v>
      </c>
      <c r="AE255" s="39" t="s">
        <v>134</v>
      </c>
      <c r="AF255" s="39">
        <v>26</v>
      </c>
      <c r="AG255" s="42">
        <v>0.12509999999999999</v>
      </c>
      <c r="AH255" s="39">
        <v>449</v>
      </c>
      <c r="AI255" s="42">
        <v>8.6999999999999994E-2</v>
      </c>
      <c r="AJ255" s="39" t="s">
        <v>5480</v>
      </c>
      <c r="AK255" s="42">
        <v>0.1087</v>
      </c>
      <c r="AL255" s="39" t="s">
        <v>5261</v>
      </c>
      <c r="AM255" s="42">
        <v>7.1199999999999999E-2</v>
      </c>
      <c r="AN255" s="42">
        <v>3.6499999999999998E-2</v>
      </c>
      <c r="AO255" s="41">
        <v>30</v>
      </c>
      <c r="AP255" s="39">
        <v>36</v>
      </c>
      <c r="AQ255" s="39">
        <v>52</v>
      </c>
      <c r="AR255" s="45">
        <v>1356</v>
      </c>
      <c r="AS255" s="39">
        <v>8</v>
      </c>
      <c r="AT255" s="39" t="s">
        <v>4562</v>
      </c>
      <c r="AU255" s="39">
        <v>19</v>
      </c>
      <c r="AV255" s="39" t="s">
        <v>6460</v>
      </c>
      <c r="AW255" s="39">
        <v>1270.28</v>
      </c>
      <c r="AX255" s="39">
        <v>1281.1199999999999</v>
      </c>
      <c r="AY255" s="39">
        <v>1291.23</v>
      </c>
      <c r="AZ255" s="39">
        <v>1249.33</v>
      </c>
      <c r="BA255" s="39">
        <v>1239.22</v>
      </c>
      <c r="BB255" s="39">
        <v>1228.3800000000001</v>
      </c>
      <c r="BC255" s="39">
        <v>7</v>
      </c>
      <c r="BD255" s="39">
        <v>5</v>
      </c>
      <c r="BE255" s="39">
        <v>4</v>
      </c>
      <c r="BF255" s="39" t="s">
        <v>130</v>
      </c>
      <c r="BG255" s="48">
        <v>1086.3</v>
      </c>
      <c r="BH255" s="39">
        <v>0.9</v>
      </c>
      <c r="BI255" s="39" t="s">
        <v>131</v>
      </c>
      <c r="BJ255" s="39" t="s">
        <v>4563</v>
      </c>
    </row>
    <row r="256" spans="1:62" x14ac:dyDescent="0.35">
      <c r="A256" s="39" t="s">
        <v>4538</v>
      </c>
      <c r="B256" s="39" t="str">
        <f>IFERROR(INDEX(added_new_stocks!$F$6:$H$2155,MATCH($A256,added_new_stocks!$F$6:$F$2600,0),3),"")</f>
        <v/>
      </c>
      <c r="K256" s="39"/>
      <c r="AO256" s="41">
        <v>80</v>
      </c>
      <c r="AP256" s="39">
        <v>31</v>
      </c>
      <c r="AQ256" s="39">
        <v>74</v>
      </c>
      <c r="AS256" s="39" t="s">
        <v>4564</v>
      </c>
      <c r="AW256" s="39">
        <v>219.68</v>
      </c>
      <c r="AX256" s="39">
        <v>227.42</v>
      </c>
      <c r="AY256" s="39">
        <v>234.53</v>
      </c>
      <c r="AZ256" s="39">
        <v>204.83</v>
      </c>
      <c r="BA256" s="39">
        <v>197.72</v>
      </c>
      <c r="BB256" s="39">
        <v>189.98</v>
      </c>
      <c r="BC256" s="39">
        <v>1</v>
      </c>
      <c r="BD256" s="39">
        <v>8</v>
      </c>
      <c r="BE256" s="39" t="s">
        <v>130</v>
      </c>
      <c r="BF256" s="39">
        <v>1.75</v>
      </c>
      <c r="BG256" s="39">
        <v>17</v>
      </c>
      <c r="BH256" s="39">
        <v>104.8</v>
      </c>
      <c r="BI256" s="39" t="s">
        <v>4639</v>
      </c>
      <c r="BJ256" s="39" t="s">
        <v>4565</v>
      </c>
    </row>
    <row r="257" spans="1:62" x14ac:dyDescent="0.35">
      <c r="A257" s="39" t="s">
        <v>1680</v>
      </c>
      <c r="B257" s="39" t="str">
        <f>IFERROR(INDEX(added_new_stocks!$F$6:$H$2155,MATCH($A257,added_new_stocks!$F$6:$F$2600,0),3),"")</f>
        <v>Small</v>
      </c>
      <c r="C257" s="39">
        <v>81.62</v>
      </c>
      <c r="D257" s="39">
        <v>26</v>
      </c>
      <c r="G257" s="39" t="s">
        <v>4963</v>
      </c>
      <c r="H257" s="39" t="s">
        <v>7448</v>
      </c>
      <c r="I257" s="39" t="s">
        <v>5677</v>
      </c>
      <c r="J257" s="39" t="s">
        <v>7449</v>
      </c>
      <c r="K257" s="39" t="s">
        <v>4615</v>
      </c>
      <c r="L257" s="39" t="s">
        <v>7450</v>
      </c>
      <c r="M257" s="39" t="s">
        <v>5047</v>
      </c>
      <c r="N257" s="39">
        <v>0</v>
      </c>
      <c r="O257" s="39">
        <v>-29</v>
      </c>
      <c r="P257" s="39">
        <v>-29</v>
      </c>
      <c r="Q257" s="39" t="s">
        <v>5026</v>
      </c>
      <c r="R257" s="39">
        <v>-0.45</v>
      </c>
      <c r="S257" s="39">
        <v>2.73</v>
      </c>
      <c r="T257" s="39">
        <v>-2.0299999999999998</v>
      </c>
      <c r="U257" s="39">
        <v>-17.600000000000001</v>
      </c>
      <c r="V257" s="39">
        <v>-1.31</v>
      </c>
      <c r="W257" s="39">
        <v>-21.93</v>
      </c>
      <c r="X257" s="39">
        <v>7.18</v>
      </c>
      <c r="Y257" s="39">
        <v>20.65</v>
      </c>
      <c r="Z257" s="39">
        <v>74.03</v>
      </c>
      <c r="AA257" s="39">
        <v>203.42</v>
      </c>
      <c r="AB257" s="39">
        <v>132.19999999999999</v>
      </c>
      <c r="AC257" s="39">
        <v>2199.15</v>
      </c>
      <c r="AD257" s="39" t="s">
        <v>4606</v>
      </c>
      <c r="AE257" s="39" t="s">
        <v>134</v>
      </c>
      <c r="AF257" s="39">
        <v>1</v>
      </c>
      <c r="AG257" s="42">
        <v>8.0999999999999996E-3</v>
      </c>
      <c r="AH257" s="39">
        <v>4</v>
      </c>
      <c r="AI257" s="42">
        <v>1.1599999999999999E-2</v>
      </c>
      <c r="AJ257" s="39" t="s">
        <v>7451</v>
      </c>
      <c r="AK257" s="42">
        <v>0.57140000000000002</v>
      </c>
      <c r="AL257" s="39" t="s">
        <v>7452</v>
      </c>
      <c r="AM257" s="42">
        <v>7.8600000000000003E-2</v>
      </c>
      <c r="AN257" s="42">
        <v>0.216</v>
      </c>
      <c r="AO257" s="41">
        <v>35</v>
      </c>
      <c r="AP257" s="39">
        <v>30</v>
      </c>
      <c r="AQ257" s="39">
        <v>40</v>
      </c>
      <c r="AS257" s="39" t="s">
        <v>4564</v>
      </c>
      <c r="AW257" s="39">
        <v>81.38</v>
      </c>
      <c r="AX257" s="39">
        <v>82.92</v>
      </c>
      <c r="AY257" s="39">
        <v>83.93</v>
      </c>
      <c r="AZ257" s="39">
        <v>78.83</v>
      </c>
      <c r="BA257" s="39">
        <v>77.819999999999993</v>
      </c>
      <c r="BB257" s="39">
        <v>76.28</v>
      </c>
      <c r="BC257" s="39">
        <v>9</v>
      </c>
      <c r="BD257" s="39" t="s">
        <v>130</v>
      </c>
      <c r="BE257" s="39" t="s">
        <v>130</v>
      </c>
      <c r="BF257" s="39">
        <v>-2.06</v>
      </c>
      <c r="BG257" s="39">
        <v>5</v>
      </c>
      <c r="BH257" s="39">
        <v>37</v>
      </c>
      <c r="BI257" s="39" t="s">
        <v>4563</v>
      </c>
      <c r="BJ257" s="39" t="s">
        <v>132</v>
      </c>
    </row>
    <row r="258" spans="1:62" x14ac:dyDescent="0.35">
      <c r="A258" s="39" t="s">
        <v>2070</v>
      </c>
      <c r="B258" s="39" t="str">
        <f>IFERROR(INDEX(added_new_stocks!$F$6:$H$2155,MATCH($A258,added_new_stocks!$F$6:$F$2600,0),3),"")</f>
        <v>Small</v>
      </c>
      <c r="C258" s="39">
        <v>278.85000000000002</v>
      </c>
      <c r="D258" s="39">
        <v>17</v>
      </c>
      <c r="G258" s="39" t="s">
        <v>4963</v>
      </c>
      <c r="H258" s="39" t="s">
        <v>7453</v>
      </c>
      <c r="I258" s="39" t="s">
        <v>4976</v>
      </c>
      <c r="J258" s="39" t="s">
        <v>7454</v>
      </c>
      <c r="K258" s="39" t="s">
        <v>4603</v>
      </c>
      <c r="L258" s="39" t="s">
        <v>7455</v>
      </c>
      <c r="M258" s="39" t="s">
        <v>5047</v>
      </c>
      <c r="N258" s="39">
        <v>0</v>
      </c>
      <c r="O258" s="39">
        <v>-25</v>
      </c>
      <c r="P258" s="39">
        <v>-25</v>
      </c>
      <c r="Q258" s="39" t="s">
        <v>5026</v>
      </c>
      <c r="R258" s="39">
        <v>0.5</v>
      </c>
      <c r="S258" s="39">
        <v>4.32</v>
      </c>
      <c r="T258" s="39">
        <v>9.25</v>
      </c>
      <c r="U258" s="39">
        <v>1.94</v>
      </c>
      <c r="V258" s="39">
        <v>22.71</v>
      </c>
      <c r="W258" s="39">
        <v>-1.08</v>
      </c>
      <c r="X258" s="39">
        <v>-20.41</v>
      </c>
      <c r="Y258" s="39">
        <v>-29.73</v>
      </c>
      <c r="Z258" s="39">
        <v>577.64</v>
      </c>
      <c r="AA258" s="39">
        <v>471.41</v>
      </c>
      <c r="AB258" s="39">
        <v>196.65</v>
      </c>
      <c r="AC258" s="39">
        <v>298.36</v>
      </c>
      <c r="AD258" s="39" t="s">
        <v>4606</v>
      </c>
      <c r="AE258" s="39" t="s">
        <v>134</v>
      </c>
      <c r="AF258" s="39">
        <v>4</v>
      </c>
      <c r="AG258" s="42">
        <v>5.4999999999999997E-3</v>
      </c>
      <c r="AH258" s="39">
        <v>14</v>
      </c>
      <c r="AI258" s="42">
        <v>2.7000000000000001E-3</v>
      </c>
      <c r="AJ258" s="39" t="s">
        <v>7456</v>
      </c>
      <c r="AK258" s="42">
        <v>0.45490000000000003</v>
      </c>
      <c r="AL258" s="39" t="s">
        <v>7457</v>
      </c>
      <c r="AM258" s="42">
        <v>4.9599999999999998E-2</v>
      </c>
      <c r="AN258" s="42">
        <v>0.27560000000000001</v>
      </c>
      <c r="AO258" s="41">
        <v>50</v>
      </c>
      <c r="AP258" s="39">
        <v>59</v>
      </c>
      <c r="AQ258" s="39">
        <v>56</v>
      </c>
      <c r="AS258" s="39" t="s">
        <v>4564</v>
      </c>
      <c r="AW258" s="39">
        <v>281.37</v>
      </c>
      <c r="AX258" s="39">
        <v>287.08</v>
      </c>
      <c r="AY258" s="39">
        <v>296.17</v>
      </c>
      <c r="AZ258" s="39">
        <v>266.57</v>
      </c>
      <c r="BA258" s="39">
        <v>257.48</v>
      </c>
      <c r="BB258" s="39">
        <v>251.77</v>
      </c>
      <c r="BC258" s="39">
        <v>6</v>
      </c>
      <c r="BD258" s="39">
        <v>6</v>
      </c>
      <c r="BE258" s="39">
        <v>1</v>
      </c>
      <c r="BF258" s="39">
        <v>1</v>
      </c>
      <c r="BG258" s="39">
        <v>5</v>
      </c>
      <c r="BH258" s="39">
        <v>237.8</v>
      </c>
      <c r="BI258" s="39" t="s">
        <v>4565</v>
      </c>
      <c r="BJ258" s="39" t="s">
        <v>4563</v>
      </c>
    </row>
    <row r="259" spans="1:62" x14ac:dyDescent="0.35">
      <c r="A259" s="39" t="s">
        <v>776</v>
      </c>
      <c r="B259" s="39" t="str">
        <f>IFERROR(INDEX(added_new_stocks!$F$6:$H$2155,MATCH($A259,added_new_stocks!$F$6:$F$2600,0),3),"")</f>
        <v>Mid</v>
      </c>
      <c r="C259" s="39">
        <v>904.4</v>
      </c>
      <c r="D259" s="39">
        <v>87</v>
      </c>
      <c r="E259" s="39" t="s">
        <v>4987</v>
      </c>
      <c r="F259" s="39" t="s">
        <v>7458</v>
      </c>
      <c r="G259" s="39" t="s">
        <v>4633</v>
      </c>
      <c r="H259" s="39" t="s">
        <v>7459</v>
      </c>
      <c r="I259" s="39" t="s">
        <v>4624</v>
      </c>
      <c r="J259" s="39" t="s">
        <v>7460</v>
      </c>
      <c r="K259" s="39" t="s">
        <v>133</v>
      </c>
      <c r="L259" s="39" t="s">
        <v>7461</v>
      </c>
      <c r="M259" s="39" t="s">
        <v>135</v>
      </c>
      <c r="N259" s="39">
        <v>34</v>
      </c>
      <c r="O259" s="39">
        <v>0</v>
      </c>
      <c r="P259" s="39">
        <v>34</v>
      </c>
      <c r="Q259" s="39" t="s">
        <v>5076</v>
      </c>
      <c r="R259" s="39">
        <v>1.1499999999999999</v>
      </c>
      <c r="S259" s="39">
        <v>1.65</v>
      </c>
      <c r="T259" s="39">
        <v>9.43</v>
      </c>
      <c r="U259" s="39">
        <v>45.88</v>
      </c>
      <c r="V259" s="39">
        <v>63.37</v>
      </c>
      <c r="W259" s="39">
        <v>61.08</v>
      </c>
      <c r="X259" s="39">
        <v>46.87</v>
      </c>
      <c r="Y259" s="39">
        <v>-4.4400000000000004</v>
      </c>
      <c r="Z259" s="39">
        <v>13.04</v>
      </c>
      <c r="AA259" s="39">
        <v>67.14</v>
      </c>
      <c r="AB259" s="39">
        <v>17.399999999999999</v>
      </c>
      <c r="AC259" s="39">
        <v>676.91</v>
      </c>
      <c r="AD259" s="39" t="s">
        <v>4606</v>
      </c>
      <c r="AE259" s="39" t="s">
        <v>134</v>
      </c>
      <c r="AF259" s="39">
        <v>37</v>
      </c>
      <c r="AG259" s="42">
        <v>9.4500000000000001E-2</v>
      </c>
      <c r="AH259" s="39">
        <v>144</v>
      </c>
      <c r="AI259" s="42">
        <v>0.11020000000000001</v>
      </c>
      <c r="AJ259" s="39" t="s">
        <v>7462</v>
      </c>
      <c r="AK259" s="42">
        <v>0.15659999999999999</v>
      </c>
      <c r="AL259" s="39" t="s">
        <v>7463</v>
      </c>
      <c r="AM259" s="42">
        <v>4.1099999999999998E-2</v>
      </c>
      <c r="AN259" s="42">
        <v>0.2021</v>
      </c>
      <c r="AO259" s="41">
        <v>85</v>
      </c>
      <c r="AP259" s="39">
        <v>38</v>
      </c>
      <c r="AQ259" s="39">
        <v>63</v>
      </c>
      <c r="AR259" s="39">
        <v>790</v>
      </c>
      <c r="AS259" s="39">
        <v>-11</v>
      </c>
      <c r="AT259" s="39" t="s">
        <v>4562</v>
      </c>
      <c r="AU259" s="39">
        <v>13</v>
      </c>
      <c r="AV259" s="39" t="s">
        <v>6461</v>
      </c>
      <c r="AW259" s="39">
        <v>892</v>
      </c>
      <c r="AX259" s="39">
        <v>899.7</v>
      </c>
      <c r="AY259" s="39">
        <v>907.95</v>
      </c>
      <c r="AZ259" s="39">
        <v>876.05</v>
      </c>
      <c r="BA259" s="39">
        <v>867.8</v>
      </c>
      <c r="BB259" s="39">
        <v>860.1</v>
      </c>
      <c r="BC259" s="39">
        <v>12</v>
      </c>
      <c r="BD259" s="39" t="s">
        <v>130</v>
      </c>
      <c r="BE259" s="39">
        <v>7</v>
      </c>
      <c r="BF259" s="39" t="s">
        <v>130</v>
      </c>
      <c r="BG259" s="39">
        <v>528</v>
      </c>
      <c r="BH259" s="39">
        <v>0.6</v>
      </c>
      <c r="BI259" s="39" t="s">
        <v>131</v>
      </c>
      <c r="BJ259" s="39" t="s">
        <v>4563</v>
      </c>
    </row>
    <row r="260" spans="1:62" x14ac:dyDescent="0.35">
      <c r="A260" s="39" t="s">
        <v>667</v>
      </c>
      <c r="B260" s="39" t="str">
        <f>IFERROR(INDEX(added_new_stocks!$F$6:$H$2155,MATCH($A260,added_new_stocks!$F$6:$F$2600,0),3),"")</f>
        <v>Mid</v>
      </c>
      <c r="C260" s="39">
        <v>94.2</v>
      </c>
      <c r="D260" s="39">
        <v>57</v>
      </c>
      <c r="G260" s="39" t="s">
        <v>4562</v>
      </c>
      <c r="H260" s="39" t="s">
        <v>5481</v>
      </c>
      <c r="I260" s="39" t="s">
        <v>4624</v>
      </c>
      <c r="J260" s="39" t="s">
        <v>7464</v>
      </c>
      <c r="K260" s="39" t="s">
        <v>133</v>
      </c>
      <c r="L260" s="39" t="s">
        <v>5483</v>
      </c>
      <c r="M260" s="39" t="s">
        <v>4959</v>
      </c>
      <c r="N260" s="39">
        <v>0</v>
      </c>
      <c r="O260" s="39">
        <v>-10</v>
      </c>
      <c r="P260" s="39">
        <v>-10</v>
      </c>
      <c r="Q260" s="39" t="s">
        <v>4605</v>
      </c>
      <c r="R260" s="39">
        <v>1.56</v>
      </c>
      <c r="S260" s="39">
        <v>4.67</v>
      </c>
      <c r="T260" s="39">
        <v>-1.21</v>
      </c>
      <c r="U260" s="39">
        <v>11.88</v>
      </c>
      <c r="V260" s="39">
        <v>14.67</v>
      </c>
      <c r="W260" s="39">
        <v>17.16</v>
      </c>
      <c r="X260" s="39">
        <v>17.02</v>
      </c>
      <c r="Y260" s="39">
        <v>7.11</v>
      </c>
      <c r="Z260" s="39">
        <v>150.87</v>
      </c>
      <c r="AA260" s="39">
        <v>126.17</v>
      </c>
      <c r="AB260" s="39">
        <v>23.62</v>
      </c>
      <c r="AC260" s="39">
        <v>179.11</v>
      </c>
      <c r="AD260" s="39" t="s">
        <v>4606</v>
      </c>
      <c r="AE260" s="39" t="s">
        <v>134</v>
      </c>
      <c r="AF260" s="39">
        <v>26</v>
      </c>
      <c r="AG260" s="42">
        <v>9.5200000000000007E-2</v>
      </c>
      <c r="AH260" s="39">
        <v>205</v>
      </c>
      <c r="AI260" s="42">
        <v>0.14960000000000001</v>
      </c>
      <c r="AJ260" s="39" t="s">
        <v>5061</v>
      </c>
      <c r="AK260" s="42">
        <v>0.51280000000000003</v>
      </c>
      <c r="AL260" s="39" t="s">
        <v>5484</v>
      </c>
      <c r="AM260" s="42">
        <v>4.2799999999999998E-2</v>
      </c>
      <c r="AN260" s="42">
        <v>0.1552</v>
      </c>
      <c r="AO260" s="41">
        <v>50</v>
      </c>
      <c r="AP260" s="39">
        <v>61</v>
      </c>
      <c r="AQ260" s="39">
        <v>50</v>
      </c>
      <c r="AR260" s="39">
        <v>103</v>
      </c>
      <c r="AS260" s="39">
        <v>16</v>
      </c>
      <c r="AT260" s="39" t="s">
        <v>129</v>
      </c>
      <c r="AU260" s="39">
        <v>9</v>
      </c>
      <c r="AV260" s="39" t="s">
        <v>6462</v>
      </c>
      <c r="AW260" s="39">
        <v>89.4</v>
      </c>
      <c r="AX260" s="39">
        <v>90.55</v>
      </c>
      <c r="AY260" s="39">
        <v>91.35</v>
      </c>
      <c r="AZ260" s="39">
        <v>87.45</v>
      </c>
      <c r="BA260" s="39">
        <v>86.65</v>
      </c>
      <c r="BB260" s="39">
        <v>85.5</v>
      </c>
      <c r="BC260" s="39">
        <v>4</v>
      </c>
      <c r="BD260" s="39">
        <v>5</v>
      </c>
      <c r="BE260" s="39">
        <v>3</v>
      </c>
      <c r="BF260" s="39" t="s">
        <v>130</v>
      </c>
      <c r="BG260" s="39">
        <v>102.9</v>
      </c>
      <c r="BH260" s="39">
        <v>1.2</v>
      </c>
      <c r="BI260" s="39" t="s">
        <v>4563</v>
      </c>
      <c r="BJ260" s="39" t="s">
        <v>4565</v>
      </c>
    </row>
    <row r="261" spans="1:62" x14ac:dyDescent="0.35">
      <c r="A261" s="39" t="s">
        <v>352</v>
      </c>
      <c r="B261" s="39" t="str">
        <f>IFERROR(INDEX(added_new_stocks!$F$6:$H$2155,MATCH($A261,added_new_stocks!$F$6:$F$2600,0),3),"")</f>
        <v>Large</v>
      </c>
      <c r="C261" s="48">
        <v>4369.8999999999996</v>
      </c>
      <c r="D261" s="39">
        <v>57</v>
      </c>
      <c r="G261" s="39" t="s">
        <v>4562</v>
      </c>
      <c r="H261" s="39" t="s">
        <v>5485</v>
      </c>
      <c r="I261" s="39" t="s">
        <v>4989</v>
      </c>
      <c r="J261" s="39" t="s">
        <v>5486</v>
      </c>
      <c r="K261" s="39" t="s">
        <v>4615</v>
      </c>
      <c r="L261" s="39" t="s">
        <v>7465</v>
      </c>
      <c r="N261" s="39">
        <v>15</v>
      </c>
      <c r="O261" s="39">
        <v>-2</v>
      </c>
      <c r="P261" s="39">
        <v>13</v>
      </c>
      <c r="Q261" s="39" t="s">
        <v>14</v>
      </c>
      <c r="R261" s="39">
        <v>2.5499999999999998</v>
      </c>
      <c r="S261" s="39">
        <v>5.23</v>
      </c>
      <c r="T261" s="39">
        <v>-4.5199999999999996</v>
      </c>
      <c r="U261" s="39">
        <v>7.52</v>
      </c>
      <c r="V261" s="39">
        <v>24.75</v>
      </c>
      <c r="W261" s="39">
        <v>10.98</v>
      </c>
      <c r="X261" s="39">
        <v>0.64</v>
      </c>
      <c r="Y261" s="39">
        <v>-27.9</v>
      </c>
      <c r="Z261" s="39">
        <v>28.95</v>
      </c>
      <c r="AA261" s="39">
        <v>115.6</v>
      </c>
      <c r="AB261" s="39">
        <v>180.54</v>
      </c>
      <c r="AC261" s="39">
        <v>1361.02</v>
      </c>
      <c r="AD261" s="39" t="s">
        <v>4606</v>
      </c>
      <c r="AE261" s="39" t="s">
        <v>134</v>
      </c>
      <c r="AF261" s="39">
        <v>24</v>
      </c>
      <c r="AG261" s="42">
        <v>0.10340000000000001</v>
      </c>
      <c r="AH261" s="39">
        <v>719</v>
      </c>
      <c r="AI261" s="42">
        <v>0.31540000000000001</v>
      </c>
      <c r="AJ261" s="39" t="s">
        <v>5488</v>
      </c>
      <c r="AK261" s="42">
        <v>0.24310000000000001</v>
      </c>
      <c r="AL261" s="39" t="s">
        <v>5034</v>
      </c>
      <c r="AM261" s="43">
        <v>7.0000000000000007E-2</v>
      </c>
      <c r="AN261" s="42">
        <v>8.7900000000000006E-2</v>
      </c>
      <c r="AO261" s="41">
        <v>40</v>
      </c>
      <c r="AP261" s="39">
        <v>9</v>
      </c>
      <c r="AQ261" s="39">
        <v>52</v>
      </c>
      <c r="AR261" s="45">
        <v>4482</v>
      </c>
      <c r="AS261" s="39">
        <v>7</v>
      </c>
      <c r="AT261" s="39" t="s">
        <v>4562</v>
      </c>
      <c r="AU261" s="39">
        <v>21</v>
      </c>
      <c r="AV261" s="39" t="s">
        <v>6463</v>
      </c>
      <c r="AW261" s="39">
        <v>4240.13</v>
      </c>
      <c r="AX261" s="39">
        <v>4273.47</v>
      </c>
      <c r="AY261" s="39">
        <v>4307.38</v>
      </c>
      <c r="AZ261" s="39">
        <v>4172.88</v>
      </c>
      <c r="BA261" s="39">
        <v>4138.97</v>
      </c>
      <c r="BB261" s="39">
        <v>4105.63</v>
      </c>
      <c r="BC261" s="39">
        <v>4</v>
      </c>
      <c r="BD261" s="39" t="s">
        <v>130</v>
      </c>
      <c r="BE261" s="39">
        <v>0.3</v>
      </c>
      <c r="BF261" s="39">
        <v>1.89</v>
      </c>
      <c r="BG261" s="39">
        <v>4</v>
      </c>
      <c r="BH261" s="39">
        <v>5</v>
      </c>
      <c r="BI261" s="39" t="s">
        <v>4563</v>
      </c>
      <c r="BJ261" s="39" t="s">
        <v>4563</v>
      </c>
    </row>
    <row r="262" spans="1:62" x14ac:dyDescent="0.35">
      <c r="A262" s="39" t="s">
        <v>557</v>
      </c>
      <c r="B262" s="39" t="str">
        <f>IFERROR(INDEX(added_new_stocks!$F$6:$H$2155,MATCH($A262,added_new_stocks!$F$6:$F$2600,0),3),"")</f>
        <v>Large</v>
      </c>
      <c r="C262" s="48">
        <v>4627.7</v>
      </c>
      <c r="D262" s="39">
        <v>50</v>
      </c>
      <c r="G262" s="39" t="s">
        <v>4562</v>
      </c>
      <c r="H262" s="39" t="s">
        <v>7466</v>
      </c>
      <c r="I262" s="39" t="s">
        <v>4989</v>
      </c>
      <c r="J262" s="39" t="s">
        <v>7467</v>
      </c>
      <c r="K262" s="39" t="s">
        <v>133</v>
      </c>
      <c r="L262" s="39" t="s">
        <v>7468</v>
      </c>
      <c r="M262" s="39" t="s">
        <v>4959</v>
      </c>
      <c r="N262" s="39">
        <v>14</v>
      </c>
      <c r="O262" s="39">
        <v>-27</v>
      </c>
      <c r="P262" s="39">
        <v>-13</v>
      </c>
      <c r="Q262" s="39" t="s">
        <v>4605</v>
      </c>
      <c r="R262" s="39">
        <v>7.0000000000000007E-2</v>
      </c>
      <c r="S262" s="39">
        <v>2.5299999999999998</v>
      </c>
      <c r="T262" s="39">
        <v>8.23</v>
      </c>
      <c r="U262" s="39">
        <v>-1</v>
      </c>
      <c r="V262" s="39">
        <v>10.84</v>
      </c>
      <c r="W262" s="39">
        <v>13.75</v>
      </c>
      <c r="X262" s="39">
        <v>8.35</v>
      </c>
      <c r="Y262" s="39">
        <v>17.89</v>
      </c>
      <c r="Z262" s="39">
        <v>117</v>
      </c>
      <c r="AA262" s="39">
        <v>533.84</v>
      </c>
      <c r="AB262" s="39">
        <v>592.72</v>
      </c>
      <c r="AC262" s="39">
        <v>13668.82</v>
      </c>
      <c r="AD262" s="39" t="s">
        <v>4606</v>
      </c>
      <c r="AE262" s="39">
        <v>3.15</v>
      </c>
      <c r="AF262" s="39">
        <v>29</v>
      </c>
      <c r="AG262" s="42">
        <v>0.20419999999999999</v>
      </c>
      <c r="AH262" s="39">
        <v>182</v>
      </c>
      <c r="AI262" s="42">
        <v>0.185</v>
      </c>
      <c r="AJ262" s="39" t="s">
        <v>7469</v>
      </c>
      <c r="AK262" s="39" t="s">
        <v>7470</v>
      </c>
      <c r="AL262" s="39" t="s">
        <v>7471</v>
      </c>
      <c r="AM262" s="42">
        <v>3.8800000000000001E-2</v>
      </c>
      <c r="AN262" s="42">
        <v>0.21049999999999999</v>
      </c>
      <c r="AO262" s="41">
        <v>40</v>
      </c>
      <c r="AP262" s="39">
        <v>10</v>
      </c>
      <c r="AQ262" s="39">
        <v>63</v>
      </c>
      <c r="AR262" s="45">
        <v>5056</v>
      </c>
      <c r="AS262" s="39">
        <v>12</v>
      </c>
      <c r="AT262" s="39" t="s">
        <v>129</v>
      </c>
      <c r="AU262" s="39">
        <v>20</v>
      </c>
      <c r="AV262" s="39" t="s">
        <v>6464</v>
      </c>
      <c r="AW262" s="39">
        <v>4539.45</v>
      </c>
      <c r="AX262" s="39">
        <v>4571.45</v>
      </c>
      <c r="AY262" s="39">
        <v>4592.8999999999996</v>
      </c>
      <c r="AZ262" s="39">
        <v>4486</v>
      </c>
      <c r="BA262" s="39">
        <v>4464.55</v>
      </c>
      <c r="BB262" s="39">
        <v>4432.55</v>
      </c>
      <c r="BC262" s="39">
        <v>4</v>
      </c>
      <c r="BD262" s="39">
        <v>7</v>
      </c>
      <c r="BE262" s="39">
        <v>3</v>
      </c>
      <c r="BF262" s="39" t="s">
        <v>130</v>
      </c>
      <c r="BG262" s="39">
        <v>851.7</v>
      </c>
      <c r="BH262" s="39">
        <v>0.2</v>
      </c>
      <c r="BI262" s="39" t="s">
        <v>131</v>
      </c>
      <c r="BJ262" s="39" t="s">
        <v>132</v>
      </c>
    </row>
    <row r="263" spans="1:62" x14ac:dyDescent="0.35">
      <c r="A263" s="39" t="s">
        <v>1270</v>
      </c>
      <c r="B263" s="39" t="str">
        <f>IFERROR(INDEX(added_new_stocks!$F$6:$H$2155,MATCH($A263,added_new_stocks!$F$6:$F$2600,0),3),"")</f>
        <v>Small</v>
      </c>
      <c r="C263" s="39">
        <v>751.75</v>
      </c>
      <c r="D263" s="39">
        <v>70</v>
      </c>
      <c r="G263" s="39" t="s">
        <v>129</v>
      </c>
      <c r="H263" s="39" t="s">
        <v>7472</v>
      </c>
      <c r="I263" s="39" t="s">
        <v>4624</v>
      </c>
      <c r="J263" s="39" t="s">
        <v>7473</v>
      </c>
      <c r="K263" s="39" t="s">
        <v>4615</v>
      </c>
      <c r="L263" s="39" t="s">
        <v>5008</v>
      </c>
      <c r="M263" s="39" t="s">
        <v>4959</v>
      </c>
      <c r="N263" s="39">
        <v>22</v>
      </c>
      <c r="O263" s="39">
        <v>-2</v>
      </c>
      <c r="P263" s="39">
        <v>20</v>
      </c>
      <c r="Q263" s="39" t="s">
        <v>5060</v>
      </c>
      <c r="R263" s="39">
        <v>-0.8</v>
      </c>
      <c r="S263" s="39">
        <v>6.28</v>
      </c>
      <c r="T263" s="39">
        <v>13.12</v>
      </c>
      <c r="U263" s="39">
        <v>19.97</v>
      </c>
      <c r="V263" s="39">
        <v>44.8</v>
      </c>
      <c r="W263" s="39">
        <v>29.6</v>
      </c>
      <c r="X263" s="39">
        <v>14.09</v>
      </c>
      <c r="Y263" s="39">
        <v>-17.23</v>
      </c>
      <c r="Z263" s="39" t="s">
        <v>4538</v>
      </c>
      <c r="AA263" s="39" t="s">
        <v>4538</v>
      </c>
      <c r="AB263" s="39" t="s">
        <v>4538</v>
      </c>
      <c r="AC263" s="39" t="s">
        <v>4538</v>
      </c>
      <c r="AD263" s="39" t="s">
        <v>5015</v>
      </c>
      <c r="AE263" s="39" t="s">
        <v>134</v>
      </c>
      <c r="AF263" s="39">
        <v>7</v>
      </c>
      <c r="AG263" s="42">
        <v>7.9899999999999999E-2</v>
      </c>
      <c r="AH263" s="39">
        <v>53</v>
      </c>
      <c r="AI263" s="42">
        <v>8.5800000000000001E-2</v>
      </c>
      <c r="AJ263" s="39" t="s">
        <v>7474</v>
      </c>
      <c r="AK263" s="42">
        <v>0.15909999999999999</v>
      </c>
      <c r="AL263" s="39" t="s">
        <v>7475</v>
      </c>
      <c r="AM263" s="42">
        <v>0.1042</v>
      </c>
      <c r="AN263" s="42">
        <v>0.32900000000000001</v>
      </c>
      <c r="AO263" s="41">
        <v>55</v>
      </c>
      <c r="AP263" s="39">
        <v>20</v>
      </c>
      <c r="AQ263" s="39">
        <v>67</v>
      </c>
      <c r="AR263" s="39">
        <v>779</v>
      </c>
      <c r="AS263" s="39">
        <v>10</v>
      </c>
      <c r="AT263" s="39" t="s">
        <v>129</v>
      </c>
      <c r="AU263" s="39">
        <v>10</v>
      </c>
      <c r="AV263" s="39" t="s">
        <v>6465</v>
      </c>
      <c r="AW263" s="39">
        <v>717.15</v>
      </c>
      <c r="AX263" s="39">
        <v>727.1</v>
      </c>
      <c r="AY263" s="39">
        <v>737.4</v>
      </c>
      <c r="AZ263" s="39">
        <v>696.9</v>
      </c>
      <c r="BA263" s="39">
        <v>686.6</v>
      </c>
      <c r="BB263" s="39">
        <v>676.65</v>
      </c>
      <c r="BC263" s="39">
        <v>12</v>
      </c>
      <c r="BD263" s="39">
        <v>1</v>
      </c>
      <c r="BE263" s="39">
        <v>5</v>
      </c>
      <c r="BF263" s="39" t="s">
        <v>130</v>
      </c>
      <c r="BG263" s="39">
        <v>184.7</v>
      </c>
      <c r="BH263" s="39">
        <v>0.3</v>
      </c>
      <c r="BI263" s="39" t="s">
        <v>4563</v>
      </c>
      <c r="BJ263" s="39" t="s">
        <v>4563</v>
      </c>
    </row>
    <row r="264" spans="1:62" x14ac:dyDescent="0.35">
      <c r="A264" s="39" t="s">
        <v>938</v>
      </c>
      <c r="B264" s="39" t="str">
        <f>IFERROR(INDEX(added_new_stocks!$F$6:$H$2155,MATCH($A264,added_new_stocks!$F$6:$F$2600,0),3),"")</f>
        <v>Mid</v>
      </c>
      <c r="C264" s="39">
        <v>153.9</v>
      </c>
      <c r="D264" s="39">
        <v>77</v>
      </c>
      <c r="G264" s="39" t="s">
        <v>129</v>
      </c>
      <c r="H264" s="39" t="s">
        <v>7476</v>
      </c>
      <c r="I264" s="39" t="s">
        <v>4624</v>
      </c>
      <c r="J264" s="39" t="s">
        <v>7477</v>
      </c>
      <c r="K264" s="39" t="s">
        <v>4615</v>
      </c>
      <c r="L264" s="39" t="s">
        <v>7478</v>
      </c>
      <c r="M264" s="39" t="s">
        <v>5047</v>
      </c>
      <c r="N264" s="39">
        <v>22</v>
      </c>
      <c r="O264" s="39">
        <v>0</v>
      </c>
      <c r="P264" s="39">
        <v>22</v>
      </c>
      <c r="Q264" s="39" t="s">
        <v>5060</v>
      </c>
      <c r="R264" s="39">
        <v>0.85</v>
      </c>
      <c r="S264" s="39">
        <v>0.23</v>
      </c>
      <c r="T264" s="39">
        <v>3.32</v>
      </c>
      <c r="U264" s="39">
        <v>34.47</v>
      </c>
      <c r="V264" s="39">
        <v>68.58</v>
      </c>
      <c r="W264" s="39">
        <v>83</v>
      </c>
      <c r="X264" s="39">
        <v>119.7</v>
      </c>
      <c r="Y264" s="39">
        <v>98.32</v>
      </c>
      <c r="Z264" s="39">
        <v>322.8</v>
      </c>
      <c r="AA264" s="39">
        <v>180.33</v>
      </c>
      <c r="AB264" s="39">
        <v>56.64</v>
      </c>
      <c r="AC264" s="39">
        <v>1213.07</v>
      </c>
      <c r="AD264" s="39" t="s">
        <v>5015</v>
      </c>
      <c r="AE264" s="39" t="s">
        <v>134</v>
      </c>
      <c r="AF264" s="39">
        <v>19</v>
      </c>
      <c r="AG264" s="42">
        <v>9.4100000000000003E-2</v>
      </c>
      <c r="AH264" s="39">
        <v>208</v>
      </c>
      <c r="AI264" s="42">
        <v>0.22459999999999999</v>
      </c>
      <c r="AJ264" s="39" t="s">
        <v>7479</v>
      </c>
      <c r="AK264" s="42">
        <v>0.1061</v>
      </c>
      <c r="AL264" s="39" t="s">
        <v>5462</v>
      </c>
      <c r="AM264" s="42">
        <v>0.1124</v>
      </c>
      <c r="AN264" s="42">
        <v>0.35620000000000002</v>
      </c>
      <c r="AO264" s="41">
        <v>65</v>
      </c>
      <c r="AP264" s="39">
        <v>64</v>
      </c>
      <c r="AQ264" s="39">
        <v>65</v>
      </c>
      <c r="AR264" s="39">
        <v>174</v>
      </c>
      <c r="AS264" s="39">
        <v>14</v>
      </c>
      <c r="AT264" s="39" t="s">
        <v>129</v>
      </c>
      <c r="AU264" s="39">
        <v>12</v>
      </c>
      <c r="AV264" s="39" t="s">
        <v>6466</v>
      </c>
      <c r="AW264" s="39">
        <v>155.88</v>
      </c>
      <c r="AX264" s="39">
        <v>159.77000000000001</v>
      </c>
      <c r="AY264" s="39">
        <v>161.88</v>
      </c>
      <c r="AZ264" s="39">
        <v>149.88</v>
      </c>
      <c r="BA264" s="39">
        <v>147.77000000000001</v>
      </c>
      <c r="BB264" s="39">
        <v>143.88</v>
      </c>
      <c r="BC264" s="39">
        <v>13</v>
      </c>
      <c r="BD264" s="39">
        <v>2</v>
      </c>
      <c r="BE264" s="39">
        <v>5</v>
      </c>
      <c r="BF264" s="39" t="s">
        <v>130</v>
      </c>
      <c r="BG264" s="39">
        <v>155.5</v>
      </c>
      <c r="BH264" s="39">
        <v>1</v>
      </c>
      <c r="BI264" s="39" t="s">
        <v>4565</v>
      </c>
      <c r="BJ264" s="39" t="s">
        <v>4565</v>
      </c>
    </row>
    <row r="265" spans="1:62" x14ac:dyDescent="0.35">
      <c r="A265" s="39" t="s">
        <v>1297</v>
      </c>
      <c r="B265" s="39" t="str">
        <f>IFERROR(INDEX(added_new_stocks!$F$6:$H$2155,MATCH($A265,added_new_stocks!$F$6:$F$2600,0),3),"")</f>
        <v>Small</v>
      </c>
      <c r="C265" s="48">
        <v>1732.05</v>
      </c>
      <c r="D265" s="39">
        <v>50</v>
      </c>
      <c r="G265" s="39" t="s">
        <v>4562</v>
      </c>
      <c r="H265" s="39" t="s">
        <v>7480</v>
      </c>
      <c r="I265" s="39" t="s">
        <v>4989</v>
      </c>
      <c r="J265" s="39" t="s">
        <v>7481</v>
      </c>
      <c r="K265" s="39" t="s">
        <v>133</v>
      </c>
      <c r="L265" s="39" t="s">
        <v>7482</v>
      </c>
      <c r="M265" s="39" t="s">
        <v>4959</v>
      </c>
      <c r="N265" s="39">
        <v>4</v>
      </c>
      <c r="O265" s="39">
        <v>-17</v>
      </c>
      <c r="P265" s="39">
        <v>-13</v>
      </c>
      <c r="Q265" s="39" t="s">
        <v>4605</v>
      </c>
      <c r="R265" s="39">
        <v>8.41</v>
      </c>
      <c r="S265" s="39">
        <v>10.96</v>
      </c>
      <c r="T265" s="39">
        <v>10.55</v>
      </c>
      <c r="U265" s="39">
        <v>9.99</v>
      </c>
      <c r="V265" s="39">
        <v>31.86</v>
      </c>
      <c r="W265" s="39">
        <v>38.6</v>
      </c>
      <c r="X265" s="39">
        <v>16.03</v>
      </c>
      <c r="Y265" s="39">
        <v>76.42</v>
      </c>
      <c r="Z265" s="39">
        <v>140.80000000000001</v>
      </c>
      <c r="AA265" s="39">
        <v>458.64</v>
      </c>
      <c r="AB265" s="39" t="s">
        <v>4538</v>
      </c>
      <c r="AC265" s="39" t="s">
        <v>4538</v>
      </c>
      <c r="AD265" s="39" t="s">
        <v>4606</v>
      </c>
      <c r="AE265" s="39" t="s">
        <v>134</v>
      </c>
      <c r="AF265" s="39">
        <v>8</v>
      </c>
      <c r="AG265" s="42">
        <v>0.18629999999999999</v>
      </c>
      <c r="AH265" s="39">
        <v>37</v>
      </c>
      <c r="AI265" s="42">
        <v>4.2999999999999997E-2</v>
      </c>
      <c r="AJ265" s="39" t="s">
        <v>7483</v>
      </c>
      <c r="AK265" s="42">
        <v>0.47720000000000001</v>
      </c>
      <c r="AL265" s="39" t="s">
        <v>5118</v>
      </c>
      <c r="AM265" s="42">
        <v>7.0699999999999999E-2</v>
      </c>
      <c r="AN265" s="42">
        <v>0.11559999999999999</v>
      </c>
      <c r="AO265" s="41">
        <v>50</v>
      </c>
      <c r="AP265" s="39">
        <v>10</v>
      </c>
      <c r="AQ265" s="39">
        <v>60</v>
      </c>
      <c r="AR265" s="45">
        <v>1710</v>
      </c>
      <c r="AS265" s="39">
        <v>-1</v>
      </c>
      <c r="AT265" s="39" t="s">
        <v>4562</v>
      </c>
      <c r="AU265" s="39">
        <v>5</v>
      </c>
      <c r="AV265" s="39" t="s">
        <v>6469</v>
      </c>
      <c r="AZ265" s="39">
        <v>1611.1</v>
      </c>
      <c r="BA265" s="39">
        <v>1627.55</v>
      </c>
      <c r="BB265" s="39">
        <v>1650.1</v>
      </c>
      <c r="BC265" s="39">
        <v>7</v>
      </c>
      <c r="BD265" s="39">
        <v>5</v>
      </c>
      <c r="BE265" s="39">
        <v>8</v>
      </c>
      <c r="BF265" s="39" t="s">
        <v>130</v>
      </c>
      <c r="BG265" s="39">
        <v>291.3</v>
      </c>
      <c r="BH265" s="39">
        <v>0.2</v>
      </c>
      <c r="BI265" s="39" t="s">
        <v>4565</v>
      </c>
      <c r="BJ265" s="39" t="s">
        <v>132</v>
      </c>
    </row>
    <row r="266" spans="1:62" x14ac:dyDescent="0.35">
      <c r="A266" s="39" t="s">
        <v>1448</v>
      </c>
      <c r="B266" s="39" t="str">
        <f>IFERROR(INDEX(added_new_stocks!$F$6:$H$2155,MATCH($A266,added_new_stocks!$F$6:$F$2600,0),3),"")</f>
        <v>Small</v>
      </c>
      <c r="C266" s="48">
        <v>3809.75</v>
      </c>
      <c r="D266" s="39">
        <v>71</v>
      </c>
      <c r="G266" s="39" t="s">
        <v>129</v>
      </c>
      <c r="H266" s="39" t="s">
        <v>7484</v>
      </c>
      <c r="I266" s="39" t="s">
        <v>4624</v>
      </c>
      <c r="J266" s="39" t="s">
        <v>7485</v>
      </c>
      <c r="K266" s="39" t="s">
        <v>4615</v>
      </c>
      <c r="L266" s="39" t="s">
        <v>7486</v>
      </c>
      <c r="M266" s="39" t="s">
        <v>4620</v>
      </c>
      <c r="N266" s="39">
        <v>30</v>
      </c>
      <c r="O266" s="39">
        <v>-2</v>
      </c>
      <c r="P266" s="39">
        <v>28</v>
      </c>
      <c r="Q266" s="39" t="s">
        <v>5060</v>
      </c>
      <c r="R266" s="39">
        <v>-0.1</v>
      </c>
      <c r="S266" s="39">
        <v>-3.88</v>
      </c>
      <c r="T266" s="39">
        <v>11.74</v>
      </c>
      <c r="U266" s="39">
        <v>38.92</v>
      </c>
      <c r="V266" s="39">
        <v>135.80000000000001</v>
      </c>
      <c r="W266" s="39">
        <v>128.33000000000001</v>
      </c>
      <c r="X266" s="39">
        <v>200.19</v>
      </c>
      <c r="Y266" s="39">
        <v>126.69</v>
      </c>
      <c r="Z266" s="39">
        <v>295.88</v>
      </c>
      <c r="AA266" s="39">
        <v>725.87</v>
      </c>
      <c r="AB266" s="39">
        <v>394</v>
      </c>
      <c r="AC266" s="39">
        <v>1743.74</v>
      </c>
      <c r="AD266" s="39" t="s">
        <v>5015</v>
      </c>
      <c r="AE266" s="39" t="s">
        <v>134</v>
      </c>
      <c r="AF266" s="39">
        <v>2</v>
      </c>
      <c r="AG266" s="42">
        <v>1.5699999999999999E-2</v>
      </c>
      <c r="AH266" s="39">
        <v>66</v>
      </c>
      <c r="AI266" s="42">
        <v>0.2019</v>
      </c>
      <c r="AJ266" s="39" t="s">
        <v>7487</v>
      </c>
      <c r="AK266" s="42">
        <v>0.24970000000000001</v>
      </c>
      <c r="AL266" s="39" t="s">
        <v>7351</v>
      </c>
      <c r="AM266" s="42">
        <v>9.9500000000000005E-2</v>
      </c>
      <c r="AN266" s="42">
        <v>0.29010000000000002</v>
      </c>
      <c r="AO266" s="41">
        <v>50</v>
      </c>
      <c r="AP266" s="39">
        <v>10</v>
      </c>
      <c r="AQ266" s="39">
        <v>60</v>
      </c>
      <c r="AR266" s="45">
        <v>1710</v>
      </c>
      <c r="AS266" s="39">
        <v>-1</v>
      </c>
      <c r="AT266" s="39" t="s">
        <v>4562</v>
      </c>
      <c r="AU266" s="39">
        <v>5</v>
      </c>
      <c r="AV266" s="39" t="s">
        <v>6469</v>
      </c>
      <c r="AZ266" s="39">
        <v>1611.1</v>
      </c>
      <c r="BA266" s="39">
        <v>1627.55</v>
      </c>
      <c r="BB266" s="39">
        <v>1650.1</v>
      </c>
      <c r="BC266" s="39">
        <v>7</v>
      </c>
      <c r="BD266" s="39">
        <v>5</v>
      </c>
      <c r="BE266" s="39">
        <v>8</v>
      </c>
      <c r="BF266" s="39" t="s">
        <v>130</v>
      </c>
      <c r="BG266" s="39">
        <v>291.3</v>
      </c>
      <c r="BH266" s="39">
        <v>0.2</v>
      </c>
      <c r="BI266" s="39" t="s">
        <v>4565</v>
      </c>
      <c r="BJ266" s="39" t="s">
        <v>132</v>
      </c>
    </row>
    <row r="267" spans="1:62" x14ac:dyDescent="0.35">
      <c r="A267" s="39" t="s">
        <v>638</v>
      </c>
      <c r="B267" s="39" t="str">
        <f>IFERROR(INDEX(added_new_stocks!$F$6:$H$2155,MATCH($A267,added_new_stocks!$F$6:$F$2600,0),3),"")</f>
        <v>Mid</v>
      </c>
      <c r="K267" s="39"/>
      <c r="AO267" s="41">
        <v>90</v>
      </c>
      <c r="AP267" s="39">
        <v>43</v>
      </c>
      <c r="AQ267" s="39">
        <v>70</v>
      </c>
      <c r="AR267" s="45">
        <v>3800</v>
      </c>
      <c r="AS267" s="39">
        <v>0</v>
      </c>
      <c r="AT267" s="39" t="s">
        <v>4633</v>
      </c>
      <c r="AU267" s="39">
        <v>1</v>
      </c>
      <c r="AV267" s="39" t="s">
        <v>6470</v>
      </c>
      <c r="AW267" s="39">
        <v>3884.28</v>
      </c>
      <c r="AX267" s="39">
        <v>3954.12</v>
      </c>
      <c r="AY267" s="39">
        <v>4008.23</v>
      </c>
      <c r="AZ267" s="39">
        <v>3760.33</v>
      </c>
      <c r="BA267" s="39">
        <v>3706.22</v>
      </c>
      <c r="BB267" s="39">
        <v>3636.38</v>
      </c>
      <c r="BC267" s="39">
        <v>1</v>
      </c>
      <c r="BD267" s="39">
        <v>7</v>
      </c>
      <c r="BE267" s="39" t="s">
        <v>130</v>
      </c>
      <c r="BF267" s="39">
        <v>2.81</v>
      </c>
      <c r="BG267" s="39">
        <v>12</v>
      </c>
      <c r="BH267" s="48">
        <v>1700.9</v>
      </c>
      <c r="BI267" s="39" t="s">
        <v>131</v>
      </c>
      <c r="BJ267" s="39" t="s">
        <v>131</v>
      </c>
    </row>
    <row r="268" spans="1:62" x14ac:dyDescent="0.35">
      <c r="A268" s="39" t="s">
        <v>393</v>
      </c>
      <c r="B268" s="39" t="str">
        <f>IFERROR(INDEX(added_new_stocks!$F$6:$H$2155,MATCH($A268,added_new_stocks!$F$6:$F$2600,0),3),"")</f>
        <v>Large</v>
      </c>
      <c r="C268" s="39">
        <v>51</v>
      </c>
      <c r="D268" s="39">
        <v>58</v>
      </c>
      <c r="G268" s="39" t="s">
        <v>4562</v>
      </c>
      <c r="H268" s="39" t="s">
        <v>5491</v>
      </c>
      <c r="I268" s="39" t="s">
        <v>4624</v>
      </c>
      <c r="J268" s="39" t="s">
        <v>5492</v>
      </c>
      <c r="K268" s="39" t="s">
        <v>4615</v>
      </c>
      <c r="L268" s="39" t="s">
        <v>5493</v>
      </c>
      <c r="M268" s="39" t="s">
        <v>4959</v>
      </c>
      <c r="N268" s="39">
        <v>2</v>
      </c>
      <c r="O268" s="39">
        <v>-2</v>
      </c>
      <c r="P268" s="39">
        <v>0</v>
      </c>
      <c r="Q268" s="39" t="s">
        <v>4611</v>
      </c>
      <c r="R268" s="39">
        <v>-0.12</v>
      </c>
      <c r="S268" s="39">
        <v>0.93</v>
      </c>
      <c r="T268" s="39">
        <v>1.55</v>
      </c>
      <c r="U268" s="39">
        <v>16.489999999999998</v>
      </c>
      <c r="V268" s="39">
        <v>26.96</v>
      </c>
      <c r="W268" s="39">
        <v>28.46</v>
      </c>
      <c r="X268" s="39">
        <v>32.81</v>
      </c>
      <c r="Y268" s="39">
        <v>91.37</v>
      </c>
      <c r="Z268" s="39">
        <v>124.67</v>
      </c>
      <c r="AA268" s="39">
        <v>119.35</v>
      </c>
      <c r="AB268" s="39">
        <v>104.41</v>
      </c>
      <c r="AC268" s="39">
        <v>218.75</v>
      </c>
      <c r="AD268" s="39" t="s">
        <v>4606</v>
      </c>
      <c r="AE268" s="39" t="s">
        <v>134</v>
      </c>
      <c r="AF268" s="39">
        <v>19</v>
      </c>
      <c r="AG268" s="42">
        <v>9.3700000000000006E-2</v>
      </c>
      <c r="AH268" s="39">
        <v>244</v>
      </c>
      <c r="AI268" s="42">
        <v>7.5800000000000006E-2</v>
      </c>
      <c r="AJ268" s="39" t="s">
        <v>5061</v>
      </c>
      <c r="AK268" s="42">
        <v>0.70950000000000002</v>
      </c>
      <c r="AL268" s="39" t="s">
        <v>136</v>
      </c>
      <c r="AM268" s="42">
        <v>3.4799999999999998E-2</v>
      </c>
      <c r="AN268" s="42">
        <v>4.9000000000000002E-2</v>
      </c>
      <c r="AO268" s="41">
        <v>60</v>
      </c>
      <c r="AP268" s="39">
        <v>54</v>
      </c>
      <c r="AQ268" s="39">
        <v>59</v>
      </c>
      <c r="AR268" s="39">
        <v>54</v>
      </c>
      <c r="AS268" s="39">
        <v>6</v>
      </c>
      <c r="AT268" s="39" t="s">
        <v>129</v>
      </c>
      <c r="AU268" s="39">
        <v>8</v>
      </c>
      <c r="AV268" s="39" t="s">
        <v>6471</v>
      </c>
      <c r="AW268" s="39">
        <v>51.37</v>
      </c>
      <c r="AX268" s="39">
        <v>51.68</v>
      </c>
      <c r="AY268" s="39">
        <v>52.07</v>
      </c>
      <c r="AZ268" s="39">
        <v>50.67</v>
      </c>
      <c r="BA268" s="39">
        <v>50.28</v>
      </c>
      <c r="BB268" s="39">
        <v>49.97</v>
      </c>
      <c r="BC268" s="39">
        <v>10</v>
      </c>
      <c r="BD268" s="39">
        <v>4</v>
      </c>
      <c r="BE268" s="39">
        <v>4</v>
      </c>
      <c r="BF268" s="39" t="s">
        <v>130</v>
      </c>
      <c r="BG268" s="39">
        <v>60.1</v>
      </c>
      <c r="BH268" s="39">
        <v>1.2</v>
      </c>
      <c r="BI268" s="39" t="s">
        <v>4563</v>
      </c>
      <c r="BJ268" s="39" t="s">
        <v>4563</v>
      </c>
    </row>
    <row r="269" spans="1:62" x14ac:dyDescent="0.35">
      <c r="A269" s="39" t="s">
        <v>1137</v>
      </c>
      <c r="B269" s="39" t="str">
        <f>IFERROR(INDEX(added_new_stocks!$F$6:$H$2155,MATCH($A269,added_new_stocks!$F$6:$F$2600,0),3),"")</f>
        <v>Small</v>
      </c>
      <c r="C269" s="39">
        <v>80.05</v>
      </c>
      <c r="D269" s="39">
        <v>23</v>
      </c>
      <c r="G269" s="39" t="s">
        <v>4963</v>
      </c>
      <c r="H269" s="39" t="s">
        <v>7488</v>
      </c>
      <c r="I269" s="39" t="s">
        <v>5677</v>
      </c>
      <c r="J269" s="39" t="s">
        <v>7489</v>
      </c>
      <c r="K269" s="39" t="s">
        <v>4615</v>
      </c>
      <c r="L269" s="39" t="s">
        <v>7490</v>
      </c>
      <c r="M269" s="39" t="s">
        <v>4620</v>
      </c>
      <c r="N269" s="39">
        <v>4</v>
      </c>
      <c r="O269" s="39">
        <v>-19</v>
      </c>
      <c r="P269" s="39">
        <v>-15</v>
      </c>
      <c r="Q269" s="39" t="s">
        <v>4605</v>
      </c>
      <c r="R269" s="39">
        <v>-0.28999999999999998</v>
      </c>
      <c r="S269" s="39">
        <v>-0.04</v>
      </c>
      <c r="T269" s="39">
        <v>-2.19</v>
      </c>
      <c r="U269" s="39">
        <v>-14.73</v>
      </c>
      <c r="V269" s="39">
        <v>-2.14</v>
      </c>
      <c r="W269" s="39">
        <v>5.51</v>
      </c>
      <c r="X269" s="39">
        <v>-5.46</v>
      </c>
      <c r="Y269" s="39">
        <v>4.6900000000000004</v>
      </c>
      <c r="Z269" s="39">
        <v>157.76</v>
      </c>
      <c r="AA269" s="39">
        <v>260.07</v>
      </c>
      <c r="AB269" s="39">
        <v>252.18</v>
      </c>
      <c r="AC269" s="39">
        <v>1656.2</v>
      </c>
      <c r="AD269" s="39" t="s">
        <v>4606</v>
      </c>
      <c r="AE269" s="39" t="s">
        <v>134</v>
      </c>
      <c r="AF269" s="39">
        <v>3</v>
      </c>
      <c r="AG269" s="42">
        <v>8.6999999999999994E-2</v>
      </c>
      <c r="AH269" s="39">
        <v>122</v>
      </c>
      <c r="AI269" s="42">
        <v>0.2109</v>
      </c>
      <c r="AJ269" s="39" t="s">
        <v>7491</v>
      </c>
      <c r="AK269" s="42">
        <v>0.17080000000000001</v>
      </c>
      <c r="AL269" s="39" t="s">
        <v>7492</v>
      </c>
      <c r="AM269" s="42">
        <v>8.2500000000000004E-2</v>
      </c>
      <c r="AN269" s="42">
        <v>0.22739999999999999</v>
      </c>
      <c r="AO269" s="41">
        <v>60</v>
      </c>
      <c r="AP269" s="39">
        <v>54</v>
      </c>
      <c r="AQ269" s="39">
        <v>59</v>
      </c>
      <c r="AR269" s="39">
        <v>54</v>
      </c>
      <c r="AS269" s="39">
        <v>6</v>
      </c>
      <c r="AT269" s="39" t="s">
        <v>129</v>
      </c>
      <c r="AU269" s="39">
        <v>8</v>
      </c>
      <c r="AV269" s="39" t="s">
        <v>6471</v>
      </c>
      <c r="AW269" s="39">
        <v>51.37</v>
      </c>
      <c r="AX269" s="39">
        <v>51.68</v>
      </c>
      <c r="AY269" s="39">
        <v>52.07</v>
      </c>
      <c r="AZ269" s="39">
        <v>50.67</v>
      </c>
      <c r="BA269" s="39">
        <v>50.28</v>
      </c>
      <c r="BB269" s="39">
        <v>49.97</v>
      </c>
      <c r="BC269" s="39">
        <v>10</v>
      </c>
      <c r="BD269" s="39">
        <v>4</v>
      </c>
      <c r="BE269" s="39">
        <v>4</v>
      </c>
      <c r="BF269" s="39" t="s">
        <v>130</v>
      </c>
      <c r="BG269" s="39">
        <v>60.1</v>
      </c>
      <c r="BH269" s="39">
        <v>1.2</v>
      </c>
      <c r="BI269" s="39" t="s">
        <v>4563</v>
      </c>
      <c r="BJ269" s="39" t="s">
        <v>4563</v>
      </c>
    </row>
    <row r="270" spans="1:62" x14ac:dyDescent="0.35">
      <c r="A270" s="39" t="s">
        <v>6238</v>
      </c>
      <c r="B270" s="39" t="str">
        <f>IFERROR(INDEX(added_new_stocks!$F$6:$H$2155,MATCH($A270,added_new_stocks!$F$6:$F$2600,0),3),"")</f>
        <v/>
      </c>
      <c r="C270" s="39">
        <v>388.6</v>
      </c>
      <c r="G270" s="39" t="s">
        <v>5349</v>
      </c>
      <c r="I270" s="39" t="s">
        <v>4996</v>
      </c>
      <c r="J270" s="39" t="s">
        <v>7493</v>
      </c>
      <c r="K270" s="39"/>
      <c r="M270" s="39" t="s">
        <v>135</v>
      </c>
      <c r="R270" s="39">
        <v>4.96</v>
      </c>
      <c r="S270" s="39">
        <v>1.18</v>
      </c>
      <c r="T270" s="39" t="s">
        <v>4538</v>
      </c>
      <c r="U270" s="39" t="s">
        <v>4538</v>
      </c>
      <c r="V270" s="39" t="s">
        <v>4538</v>
      </c>
      <c r="W270" s="39" t="s">
        <v>4538</v>
      </c>
      <c r="X270" s="39" t="s">
        <v>4538</v>
      </c>
      <c r="Y270" s="39" t="s">
        <v>4538</v>
      </c>
      <c r="Z270" s="39" t="s">
        <v>4538</v>
      </c>
      <c r="AA270" s="39" t="s">
        <v>4538</v>
      </c>
      <c r="AB270" s="39" t="s">
        <v>4538</v>
      </c>
      <c r="AC270" s="39" t="s">
        <v>4538</v>
      </c>
      <c r="AD270" s="39" t="s">
        <v>5015</v>
      </c>
      <c r="AE270" s="39" t="s">
        <v>134</v>
      </c>
      <c r="AF270" s="39">
        <v>0</v>
      </c>
      <c r="AG270" s="43">
        <v>0</v>
      </c>
      <c r="AH270" s="39">
        <v>0</v>
      </c>
      <c r="AI270" s="43">
        <v>0</v>
      </c>
      <c r="AO270" s="41">
        <v>50</v>
      </c>
      <c r="AP270" s="39">
        <v>64</v>
      </c>
      <c r="AQ270" s="39">
        <v>27</v>
      </c>
      <c r="AR270" s="39">
        <v>425</v>
      </c>
      <c r="AS270" s="39">
        <v>430</v>
      </c>
      <c r="AT270" s="39" t="s">
        <v>129</v>
      </c>
      <c r="AU270" s="39">
        <v>2</v>
      </c>
      <c r="AV270" s="39" t="s">
        <v>6472</v>
      </c>
      <c r="AW270" s="39">
        <v>80.7</v>
      </c>
      <c r="AX270" s="39">
        <v>81.2</v>
      </c>
      <c r="AY270" s="39">
        <v>81.75</v>
      </c>
      <c r="AZ270" s="39">
        <v>79.650000000000006</v>
      </c>
      <c r="BA270" s="39">
        <v>79.099999999999994</v>
      </c>
      <c r="BB270" s="39">
        <v>78.599999999999994</v>
      </c>
      <c r="BC270" s="39">
        <v>11</v>
      </c>
      <c r="BD270" s="39">
        <v>3</v>
      </c>
      <c r="BE270" s="39" t="s">
        <v>130</v>
      </c>
      <c r="BF270" s="39">
        <v>0.04</v>
      </c>
      <c r="BG270" s="39">
        <v>4</v>
      </c>
      <c r="BH270" s="39">
        <v>104.2</v>
      </c>
      <c r="BI270" s="39" t="s">
        <v>4563</v>
      </c>
      <c r="BJ270" s="39" t="s">
        <v>4639</v>
      </c>
    </row>
    <row r="271" spans="1:62" x14ac:dyDescent="0.35">
      <c r="A271" s="39" t="s">
        <v>1831</v>
      </c>
      <c r="B271" s="39" t="str">
        <f>IFERROR(INDEX(added_new_stocks!$F$6:$H$2155,MATCH($A271,added_new_stocks!$F$6:$F$2600,0),3),"")</f>
        <v>Small</v>
      </c>
      <c r="C271" s="39">
        <v>327.14999999999998</v>
      </c>
      <c r="D271" s="39">
        <v>48</v>
      </c>
      <c r="G271" s="39" t="s">
        <v>4625</v>
      </c>
      <c r="H271" s="39" t="s">
        <v>7494</v>
      </c>
      <c r="I271" s="39" t="s">
        <v>4624</v>
      </c>
      <c r="J271" s="39" t="s">
        <v>7495</v>
      </c>
      <c r="K271" s="39" t="s">
        <v>4615</v>
      </c>
      <c r="L271" s="39" t="s">
        <v>7496</v>
      </c>
      <c r="M271" s="39" t="s">
        <v>4620</v>
      </c>
      <c r="N271" s="39">
        <v>0</v>
      </c>
      <c r="O271" s="39">
        <v>-25</v>
      </c>
      <c r="P271" s="39">
        <v>-25</v>
      </c>
      <c r="Q271" s="39" t="s">
        <v>5026</v>
      </c>
      <c r="R271" s="39">
        <v>4.1399999999999997</v>
      </c>
      <c r="S271" s="39">
        <v>17.010000000000002</v>
      </c>
      <c r="T271" s="39">
        <v>40.35</v>
      </c>
      <c r="U271" s="39">
        <v>24.68</v>
      </c>
      <c r="V271" s="39">
        <v>58.58</v>
      </c>
      <c r="W271" s="39">
        <v>60.72</v>
      </c>
      <c r="X271" s="39">
        <v>47.43</v>
      </c>
      <c r="Y271" s="39">
        <v>57.09</v>
      </c>
      <c r="Z271" s="39">
        <v>693.09</v>
      </c>
      <c r="AA271" s="39">
        <v>581.55999999999995</v>
      </c>
      <c r="AB271" s="39">
        <v>256.18</v>
      </c>
      <c r="AC271" s="39">
        <v>3276.16</v>
      </c>
      <c r="AD271" s="39" t="s">
        <v>4606</v>
      </c>
      <c r="AE271" s="39" t="s">
        <v>134</v>
      </c>
      <c r="AF271" s="39">
        <v>5</v>
      </c>
      <c r="AG271" s="42">
        <v>8.4400000000000003E-2</v>
      </c>
      <c r="AH271" s="39">
        <v>22</v>
      </c>
      <c r="AI271" s="42">
        <v>2.2100000000000002E-2</v>
      </c>
      <c r="AJ271" s="39" t="s">
        <v>7497</v>
      </c>
      <c r="AK271" s="42">
        <v>0.31969999999999998</v>
      </c>
      <c r="AL271" s="39" t="s">
        <v>7498</v>
      </c>
      <c r="AM271" s="42">
        <v>4.8599999999999997E-2</v>
      </c>
      <c r="AN271" s="42">
        <v>0.26719999999999999</v>
      </c>
      <c r="AO271" s="41" t="s">
        <v>130</v>
      </c>
      <c r="AP271" s="39">
        <v>9</v>
      </c>
      <c r="AQ271" s="39">
        <v>10</v>
      </c>
      <c r="AR271" s="39">
        <v>423</v>
      </c>
      <c r="AS271" s="39">
        <v>8</v>
      </c>
      <c r="AT271" s="39" t="s">
        <v>4633</v>
      </c>
      <c r="AU271" s="39">
        <v>2</v>
      </c>
      <c r="AV271" s="39" t="s">
        <v>6473</v>
      </c>
      <c r="AZ271" s="39">
        <v>375.2</v>
      </c>
      <c r="BA271" s="39">
        <v>380.1</v>
      </c>
      <c r="BB271" s="39">
        <v>385.6</v>
      </c>
      <c r="BC271" s="39">
        <v>397</v>
      </c>
      <c r="BG271" s="39">
        <v>349.7</v>
      </c>
      <c r="BI271" s="39" t="s">
        <v>6474</v>
      </c>
      <c r="BJ271" s="39" t="s">
        <v>4639</v>
      </c>
    </row>
    <row r="272" spans="1:62" x14ac:dyDescent="0.35">
      <c r="A272" s="39" t="s">
        <v>760</v>
      </c>
      <c r="B272" s="39" t="str">
        <f>IFERROR(INDEX(added_new_stocks!$F$6:$H$2155,MATCH($A272,added_new_stocks!$F$6:$F$2600,0),3),"")</f>
        <v>Mid</v>
      </c>
      <c r="C272" s="39">
        <v>128.6</v>
      </c>
      <c r="D272" s="39">
        <v>71</v>
      </c>
      <c r="G272" s="39" t="s">
        <v>129</v>
      </c>
      <c r="H272" s="39" t="s">
        <v>5498</v>
      </c>
      <c r="I272" s="39" t="s">
        <v>4624</v>
      </c>
      <c r="J272" s="39" t="s">
        <v>5499</v>
      </c>
      <c r="K272" s="39" t="s">
        <v>4615</v>
      </c>
      <c r="L272" s="39" t="s">
        <v>5500</v>
      </c>
      <c r="M272" s="39" t="s">
        <v>5047</v>
      </c>
      <c r="N272" s="39">
        <v>15</v>
      </c>
      <c r="O272" s="39">
        <v>-8</v>
      </c>
      <c r="P272" s="39">
        <v>7</v>
      </c>
      <c r="Q272" s="39" t="s">
        <v>14</v>
      </c>
      <c r="R272" s="39">
        <v>-1.1499999999999999</v>
      </c>
      <c r="S272" s="39">
        <v>-2.72</v>
      </c>
      <c r="T272" s="39">
        <v>8.1999999999999993</v>
      </c>
      <c r="U272" s="39">
        <v>42.26</v>
      </c>
      <c r="V272" s="39">
        <v>63.16</v>
      </c>
      <c r="W272" s="39">
        <v>49.36</v>
      </c>
      <c r="X272" s="39">
        <v>67.45</v>
      </c>
      <c r="Y272" s="39">
        <v>149.71</v>
      </c>
      <c r="Z272" s="39">
        <v>135.96</v>
      </c>
      <c r="AA272" s="39">
        <v>137.05000000000001</v>
      </c>
      <c r="AB272" s="39">
        <v>66.47</v>
      </c>
      <c r="AC272" s="39">
        <v>134.66999999999999</v>
      </c>
      <c r="AD272" s="39" t="s">
        <v>4606</v>
      </c>
      <c r="AE272" s="39" t="s">
        <v>134</v>
      </c>
      <c r="AF272" s="39">
        <v>11</v>
      </c>
      <c r="AG272" s="42">
        <v>5.0900000000000001E-2</v>
      </c>
      <c r="AH272" s="39">
        <v>45</v>
      </c>
      <c r="AI272" s="42">
        <v>8.0999999999999996E-3</v>
      </c>
      <c r="AJ272" s="39" t="s">
        <v>5061</v>
      </c>
      <c r="AK272" s="42">
        <v>0.79200000000000004</v>
      </c>
      <c r="AL272" s="39" t="s">
        <v>5501</v>
      </c>
      <c r="AM272" s="39" t="s">
        <v>5502</v>
      </c>
      <c r="AN272" s="42">
        <v>6.2399999999999997E-2</v>
      </c>
      <c r="AO272" s="41">
        <v>45</v>
      </c>
      <c r="AP272" s="39">
        <v>60</v>
      </c>
      <c r="AQ272" s="39">
        <v>68</v>
      </c>
      <c r="AR272" s="39">
        <v>362</v>
      </c>
      <c r="AS272" s="39">
        <v>15</v>
      </c>
      <c r="AT272" s="39" t="s">
        <v>4633</v>
      </c>
      <c r="AU272" s="39">
        <v>4</v>
      </c>
      <c r="AV272" s="39" t="s">
        <v>6475</v>
      </c>
      <c r="AW272" s="39">
        <v>323.89999999999998</v>
      </c>
      <c r="AX272" s="39">
        <v>333.75</v>
      </c>
      <c r="AY272" s="39">
        <v>350.7</v>
      </c>
      <c r="AZ272" s="39">
        <v>297.10000000000002</v>
      </c>
      <c r="BA272" s="39">
        <v>280.14999999999998</v>
      </c>
      <c r="BB272" s="39">
        <v>270.3</v>
      </c>
      <c r="BC272" s="39">
        <v>8</v>
      </c>
      <c r="BD272" s="39">
        <v>5</v>
      </c>
      <c r="BE272" s="39">
        <v>4</v>
      </c>
      <c r="BF272" s="39" t="s">
        <v>130</v>
      </c>
      <c r="BG272" s="39">
        <v>306.3</v>
      </c>
      <c r="BH272" s="39">
        <v>1</v>
      </c>
      <c r="BI272" s="39" t="s">
        <v>131</v>
      </c>
      <c r="BJ272" s="39" t="s">
        <v>4563</v>
      </c>
    </row>
    <row r="273" spans="1:62" x14ac:dyDescent="0.35">
      <c r="A273" s="39" t="s">
        <v>456</v>
      </c>
      <c r="B273" s="39" t="str">
        <f>IFERROR(INDEX(added_new_stocks!$F$6:$H$2155,MATCH($A273,added_new_stocks!$F$6:$F$2600,0),3),"")</f>
        <v>Large</v>
      </c>
      <c r="C273" s="39">
        <v>123.55</v>
      </c>
      <c r="D273" s="39">
        <v>60</v>
      </c>
      <c r="G273" s="39" t="s">
        <v>4562</v>
      </c>
      <c r="H273" s="39" t="s">
        <v>7499</v>
      </c>
      <c r="I273" s="39" t="s">
        <v>4989</v>
      </c>
      <c r="J273" s="39" t="s">
        <v>7500</v>
      </c>
      <c r="K273" s="39" t="s">
        <v>133</v>
      </c>
      <c r="L273" s="39" t="s">
        <v>7501</v>
      </c>
      <c r="M273" s="39" t="s">
        <v>4620</v>
      </c>
      <c r="N273" s="39">
        <v>4</v>
      </c>
      <c r="O273" s="39">
        <v>-3</v>
      </c>
      <c r="P273" s="39">
        <v>1</v>
      </c>
      <c r="Q273" s="39" t="s">
        <v>4611</v>
      </c>
      <c r="R273" s="39">
        <v>0.53</v>
      </c>
      <c r="S273" s="39">
        <v>0.98</v>
      </c>
      <c r="T273" s="39">
        <v>9.82</v>
      </c>
      <c r="U273" s="39">
        <v>15.25</v>
      </c>
      <c r="V273" s="39">
        <v>8.42</v>
      </c>
      <c r="W273" s="39">
        <v>0.37</v>
      </c>
      <c r="X273" s="39">
        <v>1.06</v>
      </c>
      <c r="Y273" s="39">
        <v>-20.55</v>
      </c>
      <c r="Z273" s="39">
        <v>14.93</v>
      </c>
      <c r="AA273" s="39">
        <v>48.68</v>
      </c>
      <c r="AB273" s="39">
        <v>12.83</v>
      </c>
      <c r="AC273" s="39">
        <v>3.91</v>
      </c>
      <c r="AD273" s="39" t="s">
        <v>4606</v>
      </c>
      <c r="AE273" s="39" t="s">
        <v>134</v>
      </c>
      <c r="AF273" s="39">
        <v>29</v>
      </c>
      <c r="AG273" s="42">
        <v>6.7000000000000004E-2</v>
      </c>
      <c r="AH273" s="39">
        <v>246</v>
      </c>
      <c r="AI273" s="42">
        <v>6.9800000000000001E-2</v>
      </c>
      <c r="AJ273" s="39" t="s">
        <v>5061</v>
      </c>
      <c r="AK273" s="42">
        <v>0.6079</v>
      </c>
      <c r="AL273" s="39" t="s">
        <v>7502</v>
      </c>
      <c r="AM273" s="42">
        <v>9.2200000000000004E-2</v>
      </c>
      <c r="AN273" s="42">
        <v>0.11559999999999999</v>
      </c>
      <c r="AQ273" s="39">
        <v>64</v>
      </c>
      <c r="AS273" s="39" t="s">
        <v>4564</v>
      </c>
      <c r="AW273" s="39">
        <v>131.44999999999999</v>
      </c>
      <c r="AX273" s="39">
        <v>132.85</v>
      </c>
      <c r="AY273" s="39">
        <v>134</v>
      </c>
      <c r="AZ273" s="39">
        <v>128.9</v>
      </c>
      <c r="BA273" s="39">
        <v>127.75</v>
      </c>
      <c r="BB273" s="39">
        <v>126.35</v>
      </c>
      <c r="BC273" s="39">
        <v>1.26</v>
      </c>
      <c r="BD273" s="39">
        <v>61.2</v>
      </c>
      <c r="BE273" s="39">
        <v>69.099999999999994</v>
      </c>
      <c r="BF273" s="39">
        <v>3.9</v>
      </c>
      <c r="BG273" s="39">
        <v>404.71</v>
      </c>
      <c r="BH273" s="48">
        <v>3316.49</v>
      </c>
      <c r="BI273" s="39" t="s">
        <v>6476</v>
      </c>
      <c r="BJ273" s="39" t="s">
        <v>6477</v>
      </c>
    </row>
    <row r="274" spans="1:62" x14ac:dyDescent="0.35">
      <c r="A274" s="39" t="s">
        <v>825</v>
      </c>
      <c r="B274" s="39" t="str">
        <f>IFERROR(INDEX(added_new_stocks!$F$6:$H$2155,MATCH($A274,added_new_stocks!$F$6:$F$2600,0),3),"")</f>
        <v>Mid</v>
      </c>
      <c r="C274" s="39">
        <v>54.81</v>
      </c>
      <c r="G274" s="39" t="s">
        <v>5349</v>
      </c>
      <c r="I274" s="39" t="s">
        <v>4989</v>
      </c>
      <c r="J274" s="39" t="s">
        <v>7503</v>
      </c>
      <c r="K274" s="39"/>
      <c r="R274" s="39">
        <v>2.0699999999999998</v>
      </c>
      <c r="S274" s="39">
        <v>1.65</v>
      </c>
      <c r="T274" s="39">
        <v>15.9</v>
      </c>
      <c r="U274" s="39">
        <v>35.47</v>
      </c>
      <c r="V274" s="39">
        <v>48.86</v>
      </c>
      <c r="W274" s="39" t="s">
        <v>4538</v>
      </c>
      <c r="X274" s="39" t="s">
        <v>4538</v>
      </c>
      <c r="Y274" s="39" t="s">
        <v>4538</v>
      </c>
      <c r="Z274" s="39" t="s">
        <v>4538</v>
      </c>
      <c r="AA274" s="39" t="s">
        <v>4538</v>
      </c>
      <c r="AB274" s="39" t="s">
        <v>4538</v>
      </c>
      <c r="AC274" s="39" t="s">
        <v>4538</v>
      </c>
      <c r="AD274" s="39" t="s">
        <v>4606</v>
      </c>
      <c r="AE274" s="39" t="s">
        <v>134</v>
      </c>
      <c r="AF274" s="39">
        <v>12</v>
      </c>
      <c r="AG274" s="42">
        <v>4.4600000000000001E-2</v>
      </c>
      <c r="AH274" s="39">
        <v>106</v>
      </c>
      <c r="AI274" s="42">
        <v>3.2899999999999999E-2</v>
      </c>
      <c r="AJ274" s="39" t="s">
        <v>5061</v>
      </c>
      <c r="AK274" s="42">
        <v>0.6079</v>
      </c>
      <c r="AL274" s="39" t="s">
        <v>136</v>
      </c>
      <c r="AM274" s="42">
        <v>0.1416</v>
      </c>
      <c r="AN274" s="42">
        <v>0.125</v>
      </c>
      <c r="AO274" s="41">
        <v>60</v>
      </c>
      <c r="AP274" s="39">
        <v>57</v>
      </c>
      <c r="AQ274" s="39">
        <v>56</v>
      </c>
      <c r="AR274" s="39">
        <v>136</v>
      </c>
      <c r="AS274" s="39">
        <v>10</v>
      </c>
      <c r="AT274" s="39" t="s">
        <v>129</v>
      </c>
      <c r="AU274" s="39">
        <v>20</v>
      </c>
      <c r="AV274" s="39" t="s">
        <v>6478</v>
      </c>
      <c r="AX274" s="39">
        <v>124.83</v>
      </c>
      <c r="AY274" s="39">
        <v>125.47</v>
      </c>
      <c r="AZ274" s="39">
        <v>123.82</v>
      </c>
      <c r="BA274" s="39">
        <v>121.53</v>
      </c>
      <c r="BB274" s="39">
        <v>120.52</v>
      </c>
      <c r="BC274" s="39">
        <v>3</v>
      </c>
      <c r="BD274" s="39">
        <v>2</v>
      </c>
      <c r="BE274" s="39">
        <v>5</v>
      </c>
      <c r="BF274" s="39" t="s">
        <v>130</v>
      </c>
      <c r="BG274" s="39">
        <v>185.6</v>
      </c>
      <c r="BH274" s="39">
        <v>1.5</v>
      </c>
      <c r="BI274" s="39" t="s">
        <v>4563</v>
      </c>
      <c r="BJ274" s="39" t="s">
        <v>4639</v>
      </c>
    </row>
    <row r="275" spans="1:62" x14ac:dyDescent="0.35">
      <c r="A275" s="39" t="s">
        <v>227</v>
      </c>
      <c r="B275" s="39" t="str">
        <f>IFERROR(INDEX(added_new_stocks!$F$6:$H$2155,MATCH($A275,added_new_stocks!$F$6:$F$2600,0),3),"")</f>
        <v>Large</v>
      </c>
      <c r="C275" s="39">
        <v>220.35</v>
      </c>
      <c r="D275" s="39">
        <v>71</v>
      </c>
      <c r="G275" s="39" t="s">
        <v>129</v>
      </c>
      <c r="H275" s="39" t="s">
        <v>5503</v>
      </c>
      <c r="I275" s="39" t="s">
        <v>4624</v>
      </c>
      <c r="J275" s="39" t="s">
        <v>5504</v>
      </c>
      <c r="K275" s="39" t="s">
        <v>4615</v>
      </c>
      <c r="L275" s="39" t="s">
        <v>5505</v>
      </c>
      <c r="M275" s="39" t="s">
        <v>5047</v>
      </c>
      <c r="N275" s="39">
        <v>8</v>
      </c>
      <c r="O275" s="39">
        <v>-2</v>
      </c>
      <c r="P275" s="39">
        <v>6</v>
      </c>
      <c r="Q275" s="39" t="s">
        <v>14</v>
      </c>
      <c r="R275" s="39">
        <v>-0.36</v>
      </c>
      <c r="S275" s="39">
        <v>-0.52</v>
      </c>
      <c r="T275" s="39">
        <v>4.93</v>
      </c>
      <c r="U275" s="39">
        <v>24.7</v>
      </c>
      <c r="V275" s="39">
        <v>29.16</v>
      </c>
      <c r="W275" s="39">
        <v>32.46</v>
      </c>
      <c r="X275" s="39">
        <v>34.479999999999997</v>
      </c>
      <c r="Y275" s="39">
        <v>91.61</v>
      </c>
      <c r="Z275" s="39">
        <v>117.09</v>
      </c>
      <c r="AA275" s="39">
        <v>81.06</v>
      </c>
      <c r="AB275" s="39">
        <v>56.28</v>
      </c>
      <c r="AC275" s="39">
        <v>102.23</v>
      </c>
      <c r="AD275" s="39" t="s">
        <v>4606</v>
      </c>
      <c r="AE275" s="39" t="s">
        <v>134</v>
      </c>
      <c r="AF275" s="39">
        <v>35</v>
      </c>
      <c r="AG275" s="42">
        <v>0.20100000000000001</v>
      </c>
      <c r="AH275" s="39">
        <v>619</v>
      </c>
      <c r="AI275" s="42">
        <v>0.15770000000000001</v>
      </c>
      <c r="AJ275" s="39" t="s">
        <v>5061</v>
      </c>
      <c r="AK275" s="42">
        <v>0.51100000000000001</v>
      </c>
      <c r="AL275" s="39" t="s">
        <v>5506</v>
      </c>
      <c r="AM275" s="42">
        <v>5.7000000000000002E-2</v>
      </c>
      <c r="AN275" s="42">
        <v>2.1100000000000001E-2</v>
      </c>
      <c r="AO275" s="41" t="s">
        <v>130</v>
      </c>
      <c r="AP275" s="39">
        <v>24</v>
      </c>
      <c r="AQ275" s="39">
        <v>48</v>
      </c>
      <c r="AS275" s="39" t="s">
        <v>4564</v>
      </c>
      <c r="AW275" s="39">
        <v>55.68</v>
      </c>
      <c r="AX275" s="39">
        <v>57.67</v>
      </c>
      <c r="AY275" s="39">
        <v>59.18</v>
      </c>
      <c r="AZ275" s="39">
        <v>52.18</v>
      </c>
      <c r="BA275" s="39">
        <v>50.67</v>
      </c>
      <c r="BB275" s="39">
        <v>48.68</v>
      </c>
      <c r="BC275" s="39">
        <v>0.25</v>
      </c>
      <c r="BD275" s="39">
        <v>29.8</v>
      </c>
      <c r="BE275" s="39">
        <v>55.2</v>
      </c>
      <c r="BG275" s="39">
        <v>2.54</v>
      </c>
      <c r="BI275" s="39" t="s">
        <v>6479</v>
      </c>
      <c r="BJ275" s="39" t="s">
        <v>4563</v>
      </c>
    </row>
    <row r="276" spans="1:62" x14ac:dyDescent="0.35">
      <c r="A276" s="39" t="s">
        <v>717</v>
      </c>
      <c r="B276" s="39" t="str">
        <f>IFERROR(INDEX(added_new_stocks!$F$6:$H$2155,MATCH($A276,added_new_stocks!$F$6:$F$2600,0),3),"")</f>
        <v>Mid</v>
      </c>
      <c r="C276" s="39">
        <v>339.75</v>
      </c>
      <c r="D276" s="39">
        <v>31</v>
      </c>
      <c r="G276" s="39" t="s">
        <v>4625</v>
      </c>
      <c r="H276" s="39" t="s">
        <v>7504</v>
      </c>
      <c r="I276" s="39" t="s">
        <v>4976</v>
      </c>
      <c r="J276" s="39" t="s">
        <v>7505</v>
      </c>
      <c r="K276" s="39" t="s">
        <v>4603</v>
      </c>
      <c r="L276" s="39" t="s">
        <v>5437</v>
      </c>
      <c r="N276" s="39">
        <v>20</v>
      </c>
      <c r="O276" s="39">
        <v>-1</v>
      </c>
      <c r="P276" s="39">
        <v>19</v>
      </c>
      <c r="Q276" s="39" t="s">
        <v>14</v>
      </c>
      <c r="R276" s="39">
        <v>-0.1</v>
      </c>
      <c r="S276" s="39">
        <v>-0.48</v>
      </c>
      <c r="T276" s="39">
        <v>-7.56</v>
      </c>
      <c r="U276" s="39">
        <v>0.38</v>
      </c>
      <c r="V276" s="39">
        <v>-2.57</v>
      </c>
      <c r="W276" s="39">
        <v>-6.98</v>
      </c>
      <c r="X276" s="39">
        <v>-5.38</v>
      </c>
      <c r="Y276" s="39">
        <v>-37.42</v>
      </c>
      <c r="Z276" s="39" t="s">
        <v>4538</v>
      </c>
      <c r="AA276" s="39" t="s">
        <v>4538</v>
      </c>
      <c r="AB276" s="39" t="s">
        <v>4538</v>
      </c>
      <c r="AC276" s="39" t="s">
        <v>4538</v>
      </c>
      <c r="AD276" s="39" t="s">
        <v>4606</v>
      </c>
      <c r="AE276" s="39" t="s">
        <v>134</v>
      </c>
      <c r="AF276" s="39">
        <v>9</v>
      </c>
      <c r="AG276" s="42">
        <v>0.1497</v>
      </c>
      <c r="AH276" s="39">
        <v>62</v>
      </c>
      <c r="AI276" s="42">
        <v>2.76E-2</v>
      </c>
      <c r="AJ276" s="39" t="s">
        <v>7506</v>
      </c>
      <c r="AK276" s="42">
        <v>0.59919999999999995</v>
      </c>
      <c r="AL276" s="39" t="s">
        <v>7507</v>
      </c>
      <c r="AM276" s="42">
        <v>6.3799999999999996E-2</v>
      </c>
      <c r="AN276" s="42">
        <v>4.02E-2</v>
      </c>
      <c r="AO276" s="41">
        <v>55</v>
      </c>
      <c r="AP276" s="39">
        <v>62</v>
      </c>
      <c r="AQ276" s="39">
        <v>61</v>
      </c>
      <c r="AR276" s="39">
        <v>238</v>
      </c>
      <c r="AS276" s="39">
        <v>8</v>
      </c>
      <c r="AT276" s="39" t="s">
        <v>129</v>
      </c>
      <c r="AU276" s="39">
        <v>24</v>
      </c>
      <c r="AV276" s="39" t="s">
        <v>6480</v>
      </c>
      <c r="AW276" s="39">
        <v>222.48</v>
      </c>
      <c r="AX276" s="39">
        <v>223.87</v>
      </c>
      <c r="AY276" s="39">
        <v>225.98</v>
      </c>
      <c r="AZ276" s="39">
        <v>218.98</v>
      </c>
      <c r="BA276" s="39">
        <v>216.87</v>
      </c>
      <c r="BB276" s="39">
        <v>215.48</v>
      </c>
      <c r="BC276" s="39">
        <v>11</v>
      </c>
      <c r="BD276" s="39">
        <v>2</v>
      </c>
      <c r="BE276" s="39">
        <v>4</v>
      </c>
      <c r="BF276" s="39" t="s">
        <v>130</v>
      </c>
      <c r="BG276" s="39">
        <v>253.9</v>
      </c>
      <c r="BH276" s="39">
        <v>1.1000000000000001</v>
      </c>
      <c r="BI276" s="39" t="s">
        <v>4563</v>
      </c>
      <c r="BJ276" s="39" t="s">
        <v>4563</v>
      </c>
    </row>
    <row r="277" spans="1:62" x14ac:dyDescent="0.35">
      <c r="A277" s="39" t="s">
        <v>468</v>
      </c>
      <c r="B277" s="39" t="str">
        <f>IFERROR(INDEX(added_new_stocks!$F$6:$H$2155,MATCH($A277,added_new_stocks!$F$6:$F$2600,0),3),"")</f>
        <v>Large</v>
      </c>
      <c r="C277" s="48">
        <v>1123.3499999999999</v>
      </c>
      <c r="D277" s="39">
        <v>50</v>
      </c>
      <c r="G277" s="39" t="s">
        <v>4562</v>
      </c>
      <c r="H277" s="39" t="s">
        <v>5512</v>
      </c>
      <c r="I277" s="39" t="s">
        <v>4624</v>
      </c>
      <c r="J277" s="39" t="s">
        <v>5513</v>
      </c>
      <c r="K277" s="39" t="s">
        <v>4615</v>
      </c>
      <c r="L277" s="39" t="s">
        <v>7508</v>
      </c>
      <c r="M277" s="39" t="s">
        <v>4959</v>
      </c>
      <c r="N277" s="39">
        <v>12</v>
      </c>
      <c r="O277" s="39">
        <v>-20</v>
      </c>
      <c r="P277" s="39">
        <v>-8</v>
      </c>
      <c r="Q277" s="39" t="s">
        <v>4605</v>
      </c>
      <c r="R277" s="39">
        <v>2.16</v>
      </c>
      <c r="S277" s="39">
        <v>2.5</v>
      </c>
      <c r="T277" s="39">
        <v>0.16</v>
      </c>
      <c r="U277" s="39">
        <v>20.38</v>
      </c>
      <c r="V277" s="39">
        <v>28.73</v>
      </c>
      <c r="W277" s="39">
        <v>29.48</v>
      </c>
      <c r="X277" s="39">
        <v>11.51</v>
      </c>
      <c r="Y277" s="39">
        <v>60.94</v>
      </c>
      <c r="Z277" s="39">
        <v>171.67</v>
      </c>
      <c r="AA277" s="39">
        <v>97.65</v>
      </c>
      <c r="AB277" s="39">
        <v>147.52000000000001</v>
      </c>
      <c r="AC277" s="39">
        <v>578.55999999999995</v>
      </c>
      <c r="AD277" s="39" t="s">
        <v>4606</v>
      </c>
      <c r="AE277" s="39" t="s">
        <v>134</v>
      </c>
      <c r="AF277" s="39">
        <v>28</v>
      </c>
      <c r="AG277" s="42">
        <v>9.3299999999999994E-2</v>
      </c>
      <c r="AH277" s="39">
        <v>280</v>
      </c>
      <c r="AI277" s="42">
        <v>0.18160000000000001</v>
      </c>
      <c r="AJ277" s="39" t="s">
        <v>5515</v>
      </c>
      <c r="AK277" s="42">
        <v>0.58550000000000002</v>
      </c>
      <c r="AL277" s="39" t="s">
        <v>5516</v>
      </c>
      <c r="AM277" s="42">
        <v>4.5999999999999999E-2</v>
      </c>
      <c r="AN277" s="42">
        <v>2.2599999999999999E-2</v>
      </c>
      <c r="AO277" s="41">
        <v>70</v>
      </c>
      <c r="AP277" s="39">
        <v>35</v>
      </c>
      <c r="AQ277" s="39">
        <v>34</v>
      </c>
      <c r="AR277" s="39">
        <v>393</v>
      </c>
      <c r="AS277" s="39">
        <v>16</v>
      </c>
      <c r="AT277" s="39" t="s">
        <v>4562</v>
      </c>
      <c r="AU277" s="39">
        <v>15</v>
      </c>
      <c r="AV277" s="39" t="s">
        <v>6481</v>
      </c>
      <c r="AW277" s="39">
        <v>345.6</v>
      </c>
      <c r="AX277" s="39">
        <v>351.25</v>
      </c>
      <c r="AY277" s="39">
        <v>355.15</v>
      </c>
      <c r="AZ277" s="39">
        <v>336.05</v>
      </c>
      <c r="BA277" s="39">
        <v>332.15</v>
      </c>
      <c r="BB277" s="39">
        <v>326.5</v>
      </c>
      <c r="BC277" s="39">
        <v>2</v>
      </c>
      <c r="BD277" s="39">
        <v>5</v>
      </c>
      <c r="BE277" s="39" t="s">
        <v>130</v>
      </c>
      <c r="BF277" s="39" t="s">
        <v>130</v>
      </c>
      <c r="BG277" s="39">
        <v>39.200000000000003</v>
      </c>
      <c r="BH277" s="39">
        <v>0.1</v>
      </c>
      <c r="BI277" s="39" t="s">
        <v>132</v>
      </c>
    </row>
    <row r="278" spans="1:62" x14ac:dyDescent="0.35">
      <c r="A278" s="39" t="s">
        <v>1703</v>
      </c>
      <c r="B278" s="39" t="str">
        <f>IFERROR(INDEX(added_new_stocks!$F$6:$H$2155,MATCH($A278,added_new_stocks!$F$6:$F$2600,0),3),"")</f>
        <v>Small</v>
      </c>
      <c r="C278" s="39">
        <v>533.20000000000005</v>
      </c>
      <c r="D278" s="39">
        <v>44</v>
      </c>
      <c r="G278" s="39" t="s">
        <v>4625</v>
      </c>
      <c r="H278" s="39" t="s">
        <v>7509</v>
      </c>
      <c r="I278" s="39" t="s">
        <v>4989</v>
      </c>
      <c r="J278" s="39" t="s">
        <v>7510</v>
      </c>
      <c r="K278" s="39" t="s">
        <v>4603</v>
      </c>
      <c r="L278" s="39" t="s">
        <v>7511</v>
      </c>
      <c r="M278" s="39" t="s">
        <v>4620</v>
      </c>
      <c r="N278" s="39">
        <v>14</v>
      </c>
      <c r="O278" s="39">
        <v>-7</v>
      </c>
      <c r="P278" s="39">
        <v>7</v>
      </c>
      <c r="Q278" s="39" t="s">
        <v>14</v>
      </c>
      <c r="R278" s="39">
        <v>-2.89</v>
      </c>
      <c r="S278" s="39">
        <v>-8.5500000000000007</v>
      </c>
      <c r="T278" s="39">
        <v>-6.97</v>
      </c>
      <c r="U278" s="39">
        <v>28.48</v>
      </c>
      <c r="V278" s="39">
        <v>38.299999999999997</v>
      </c>
      <c r="W278" s="39">
        <v>45.94</v>
      </c>
      <c r="X278" s="39">
        <v>69.75</v>
      </c>
      <c r="Y278" s="39">
        <v>28.44</v>
      </c>
      <c r="Z278" s="39">
        <v>10056.19</v>
      </c>
      <c r="AA278" s="39">
        <v>10056.19</v>
      </c>
      <c r="AB278" s="39">
        <v>7144.57</v>
      </c>
      <c r="AC278" s="39">
        <v>1228.02</v>
      </c>
      <c r="AD278" s="39" t="s">
        <v>4606</v>
      </c>
      <c r="AE278" s="39" t="s">
        <v>134</v>
      </c>
      <c r="AF278" s="39">
        <v>10</v>
      </c>
      <c r="AG278" s="42">
        <v>9.7799999999999998E-2</v>
      </c>
      <c r="AH278" s="39">
        <v>2</v>
      </c>
      <c r="AI278" s="42">
        <v>4.4999999999999997E-3</v>
      </c>
      <c r="AJ278" s="39" t="s">
        <v>5523</v>
      </c>
      <c r="AK278" s="42">
        <v>0.72399999999999998</v>
      </c>
      <c r="AL278" s="39" t="s">
        <v>5524</v>
      </c>
      <c r="AM278" s="42">
        <v>4.6399999999999997E-2</v>
      </c>
      <c r="AN278" s="42">
        <v>3.1E-2</v>
      </c>
      <c r="AO278" s="41">
        <v>70</v>
      </c>
      <c r="AP278" s="39">
        <v>30</v>
      </c>
      <c r="AQ278" s="39">
        <v>61</v>
      </c>
      <c r="AR278" s="45">
        <v>1074</v>
      </c>
      <c r="AS278" s="39">
        <v>-4</v>
      </c>
      <c r="AT278" s="39" t="s">
        <v>4562</v>
      </c>
      <c r="AU278" s="39">
        <v>24</v>
      </c>
      <c r="AV278" s="39" t="s">
        <v>6482</v>
      </c>
      <c r="AY278" s="39">
        <v>1132.9000000000001</v>
      </c>
      <c r="AZ278" s="39">
        <v>1109.4000000000001</v>
      </c>
      <c r="BA278" s="39">
        <v>1118.95</v>
      </c>
      <c r="BB278" s="39">
        <v>1062.4000000000001</v>
      </c>
      <c r="BC278" s="39">
        <v>11</v>
      </c>
      <c r="BD278" s="39">
        <v>7</v>
      </c>
      <c r="BE278" s="39">
        <v>9</v>
      </c>
      <c r="BF278" s="39" t="s">
        <v>130</v>
      </c>
      <c r="BG278" s="39">
        <v>615.5</v>
      </c>
      <c r="BH278" s="39">
        <v>0.5</v>
      </c>
      <c r="BI278" s="39" t="s">
        <v>4639</v>
      </c>
      <c r="BJ278" s="39" t="s">
        <v>4563</v>
      </c>
    </row>
    <row r="279" spans="1:62" x14ac:dyDescent="0.35">
      <c r="A279" s="39" t="s">
        <v>1454</v>
      </c>
      <c r="B279" s="39" t="str">
        <f>IFERROR(INDEX(added_new_stocks!$F$6:$H$2155,MATCH($A279,added_new_stocks!$F$6:$F$2600,0),3),"")</f>
        <v>Small</v>
      </c>
      <c r="C279" s="39">
        <v>194.6</v>
      </c>
      <c r="D279" s="39">
        <v>61</v>
      </c>
      <c r="G279" s="39" t="s">
        <v>4562</v>
      </c>
      <c r="H279" s="39" t="s">
        <v>7512</v>
      </c>
      <c r="I279" s="39" t="s">
        <v>4624</v>
      </c>
      <c r="J279" s="39" t="s">
        <v>7513</v>
      </c>
      <c r="K279" s="39" t="s">
        <v>133</v>
      </c>
      <c r="L279" s="39" t="s">
        <v>7514</v>
      </c>
      <c r="M279" s="39" t="s">
        <v>135</v>
      </c>
      <c r="N279" s="39">
        <v>0</v>
      </c>
      <c r="O279" s="39">
        <v>-9</v>
      </c>
      <c r="P279" s="39">
        <v>-9</v>
      </c>
      <c r="Q279" s="39" t="s">
        <v>4605</v>
      </c>
      <c r="R279" s="39">
        <v>0.31</v>
      </c>
      <c r="S279" s="39">
        <v>3.59</v>
      </c>
      <c r="T279" s="39">
        <v>33.75</v>
      </c>
      <c r="U279" s="39">
        <v>45.82</v>
      </c>
      <c r="V279" s="39">
        <v>73.36</v>
      </c>
      <c r="W279" s="39">
        <v>58.08</v>
      </c>
      <c r="X279" s="39">
        <v>61.76</v>
      </c>
      <c r="Y279" s="39">
        <v>26.73</v>
      </c>
      <c r="Z279" s="39">
        <v>181.42</v>
      </c>
      <c r="AA279" s="39">
        <v>138.19</v>
      </c>
      <c r="AB279" s="39">
        <v>65.900000000000006</v>
      </c>
      <c r="AC279" s="39">
        <v>489.7</v>
      </c>
      <c r="AD279" s="39" t="s">
        <v>5015</v>
      </c>
      <c r="AE279" s="39" t="s">
        <v>134</v>
      </c>
      <c r="AF279" s="39">
        <v>6</v>
      </c>
      <c r="AG279" s="42">
        <v>7.8299999999999995E-2</v>
      </c>
      <c r="AH279" s="39">
        <v>80</v>
      </c>
      <c r="AI279" s="42">
        <v>5.8700000000000002E-2</v>
      </c>
      <c r="AJ279" s="39" t="s">
        <v>5527</v>
      </c>
      <c r="AK279" s="42">
        <v>0.24329999999999999</v>
      </c>
      <c r="AL279" s="39" t="s">
        <v>5501</v>
      </c>
      <c r="AM279" s="42">
        <v>2.64E-2</v>
      </c>
      <c r="AN279" s="42">
        <v>0.2316</v>
      </c>
      <c r="AO279" s="41">
        <v>75</v>
      </c>
      <c r="AP279" s="39">
        <v>37</v>
      </c>
      <c r="AQ279" s="39">
        <v>64</v>
      </c>
      <c r="AS279" s="39" t="s">
        <v>4564</v>
      </c>
      <c r="AW279" s="39">
        <v>556.17999999999995</v>
      </c>
      <c r="AX279" s="39">
        <v>566.52</v>
      </c>
      <c r="AY279" s="39">
        <v>573.08000000000004</v>
      </c>
      <c r="AZ279" s="39">
        <v>539.28</v>
      </c>
      <c r="BA279" s="39">
        <v>532.72</v>
      </c>
      <c r="BB279" s="39">
        <v>522.38</v>
      </c>
      <c r="BC279" s="39">
        <v>1</v>
      </c>
      <c r="BD279" s="39">
        <v>1</v>
      </c>
      <c r="BE279" s="39">
        <v>1</v>
      </c>
      <c r="BF279" s="39">
        <v>1.75</v>
      </c>
      <c r="BG279" s="39">
        <v>10</v>
      </c>
      <c r="BH279" s="39">
        <v>206.4</v>
      </c>
      <c r="BI279" s="39" t="s">
        <v>131</v>
      </c>
      <c r="BJ279" s="39" t="s">
        <v>4565</v>
      </c>
    </row>
    <row r="280" spans="1:62" x14ac:dyDescent="0.35">
      <c r="A280" s="39" t="s">
        <v>992</v>
      </c>
      <c r="B280" s="39" t="str">
        <f>IFERROR(INDEX(added_new_stocks!$F$6:$H$2155,MATCH($A280,added_new_stocks!$F$6:$F$2600,0),3),"")</f>
        <v>Mid</v>
      </c>
      <c r="C280" s="39">
        <v>234.8</v>
      </c>
      <c r="D280" s="39">
        <v>44</v>
      </c>
      <c r="G280" s="39" t="s">
        <v>4625</v>
      </c>
      <c r="H280" s="39" t="s">
        <v>5525</v>
      </c>
      <c r="I280" s="39" t="s">
        <v>4976</v>
      </c>
      <c r="J280" s="39" t="s">
        <v>5526</v>
      </c>
      <c r="K280" s="39" t="s">
        <v>133</v>
      </c>
      <c r="L280" s="39" t="s">
        <v>4998</v>
      </c>
      <c r="M280" s="39" t="s">
        <v>4620</v>
      </c>
      <c r="N280" s="39">
        <v>1</v>
      </c>
      <c r="O280" s="39">
        <v>-4</v>
      </c>
      <c r="P280" s="39">
        <v>-3</v>
      </c>
      <c r="Q280" s="39" t="s">
        <v>4611</v>
      </c>
      <c r="R280" s="39">
        <v>0.71</v>
      </c>
      <c r="S280" s="39">
        <v>-1.28</v>
      </c>
      <c r="T280" s="39">
        <v>2.4</v>
      </c>
      <c r="U280" s="39">
        <v>-2.85</v>
      </c>
      <c r="V280" s="39">
        <v>-13.47</v>
      </c>
      <c r="W280" s="39">
        <v>-11.14</v>
      </c>
      <c r="X280" s="39">
        <v>-9.69</v>
      </c>
      <c r="Y280" s="39">
        <v>-28.89</v>
      </c>
      <c r="Z280" s="39">
        <v>13.02</v>
      </c>
      <c r="AA280" s="39">
        <v>48.65</v>
      </c>
      <c r="AB280" s="39">
        <v>39.06</v>
      </c>
      <c r="AC280" s="39" t="s">
        <v>4538</v>
      </c>
      <c r="AD280" s="39" t="s">
        <v>4606</v>
      </c>
      <c r="AE280" s="39" t="s">
        <v>134</v>
      </c>
      <c r="AF280" s="39">
        <v>16</v>
      </c>
      <c r="AG280" s="42">
        <v>0.26910000000000001</v>
      </c>
      <c r="AH280" s="39">
        <v>81</v>
      </c>
      <c r="AI280" s="42">
        <v>5.5100000000000003E-2</v>
      </c>
      <c r="AJ280" s="39" t="s">
        <v>5527</v>
      </c>
      <c r="AK280" s="42">
        <v>0.24629999999999999</v>
      </c>
      <c r="AL280" s="39" t="s">
        <v>5528</v>
      </c>
      <c r="AM280" s="42">
        <v>6.6400000000000001E-2</v>
      </c>
      <c r="AN280" s="42">
        <v>0.12609999999999999</v>
      </c>
      <c r="AO280" s="41">
        <v>60</v>
      </c>
      <c r="AP280" s="39">
        <v>37</v>
      </c>
      <c r="AQ280" s="39">
        <v>65</v>
      </c>
      <c r="AR280" s="39">
        <v>160</v>
      </c>
      <c r="AS280" s="39">
        <v>-18</v>
      </c>
      <c r="AT280" s="39" t="s">
        <v>4562</v>
      </c>
      <c r="AU280" s="39">
        <v>6</v>
      </c>
      <c r="AV280" s="39" t="s">
        <v>6483</v>
      </c>
      <c r="AW280" s="39">
        <v>199</v>
      </c>
      <c r="AX280" s="39">
        <v>204</v>
      </c>
      <c r="AY280" s="39">
        <v>211.5</v>
      </c>
      <c r="AZ280" s="39">
        <v>186.5</v>
      </c>
      <c r="BA280" s="39">
        <v>179</v>
      </c>
      <c r="BB280" s="39">
        <v>174</v>
      </c>
      <c r="BC280" s="39">
        <v>8</v>
      </c>
      <c r="BD280" s="39">
        <v>4</v>
      </c>
      <c r="BE280" s="39">
        <v>6</v>
      </c>
      <c r="BF280" s="39" t="s">
        <v>130</v>
      </c>
      <c r="BG280" s="39">
        <v>102.6</v>
      </c>
      <c r="BH280" s="39">
        <v>0.5</v>
      </c>
      <c r="BI280" s="39" t="s">
        <v>4563</v>
      </c>
      <c r="BJ280" s="39" t="s">
        <v>4563</v>
      </c>
    </row>
    <row r="281" spans="1:62" x14ac:dyDescent="0.35">
      <c r="A281" s="39" t="s">
        <v>2115</v>
      </c>
      <c r="B281" s="39" t="str">
        <f>IFERROR(INDEX(added_new_stocks!$F$6:$H$2155,MATCH($A281,added_new_stocks!$F$6:$F$2600,0),3),"")</f>
        <v>Small</v>
      </c>
      <c r="C281" s="39">
        <v>717.05</v>
      </c>
      <c r="D281" s="39">
        <v>42</v>
      </c>
      <c r="G281" s="39" t="s">
        <v>4625</v>
      </c>
      <c r="H281" s="39" t="s">
        <v>7515</v>
      </c>
      <c r="I281" s="39" t="s">
        <v>4976</v>
      </c>
      <c r="J281" s="39" t="s">
        <v>7516</v>
      </c>
      <c r="K281" s="39" t="s">
        <v>133</v>
      </c>
      <c r="L281" s="39" t="s">
        <v>7517</v>
      </c>
      <c r="M281" s="39" t="s">
        <v>4959</v>
      </c>
      <c r="N281" s="39">
        <v>13</v>
      </c>
      <c r="O281" s="39">
        <v>-17</v>
      </c>
      <c r="P281" s="39">
        <v>-4</v>
      </c>
      <c r="Q281" s="39" t="s">
        <v>4611</v>
      </c>
      <c r="R281" s="39">
        <v>-1.71</v>
      </c>
      <c r="S281" s="39">
        <v>1.31</v>
      </c>
      <c r="T281" s="39">
        <v>13.81</v>
      </c>
      <c r="U281" s="39">
        <v>4.8499999999999996</v>
      </c>
      <c r="V281" s="39">
        <v>11.17</v>
      </c>
      <c r="W281" s="39">
        <v>-14.64</v>
      </c>
      <c r="X281" s="39">
        <v>20.86</v>
      </c>
      <c r="Y281" s="39">
        <v>94.9</v>
      </c>
      <c r="Z281" s="39">
        <v>247.16</v>
      </c>
      <c r="AA281" s="39">
        <v>260.87</v>
      </c>
      <c r="AB281" s="39">
        <v>169.11</v>
      </c>
      <c r="AC281" s="39">
        <v>2768.2</v>
      </c>
      <c r="AD281" s="39" t="s">
        <v>4606</v>
      </c>
      <c r="AE281" s="39" t="s">
        <v>134</v>
      </c>
      <c r="AF281" s="39">
        <v>21</v>
      </c>
      <c r="AG281" s="42">
        <v>0.1283</v>
      </c>
      <c r="AH281" s="39">
        <v>82</v>
      </c>
      <c r="AI281" s="42">
        <v>3.78E-2</v>
      </c>
      <c r="AJ281" s="39" t="s">
        <v>7518</v>
      </c>
      <c r="AK281" s="42">
        <v>0.40029999999999999</v>
      </c>
      <c r="AL281" s="39" t="s">
        <v>7519</v>
      </c>
      <c r="AM281" s="42">
        <v>0.13070000000000001</v>
      </c>
      <c r="AN281" s="42">
        <v>9.7199999999999995E-2</v>
      </c>
      <c r="AO281" s="41">
        <v>45</v>
      </c>
      <c r="AP281" s="39">
        <v>22</v>
      </c>
      <c r="AQ281" s="39">
        <v>33</v>
      </c>
      <c r="AR281" s="39">
        <v>260</v>
      </c>
      <c r="AS281" s="39">
        <v>11</v>
      </c>
      <c r="AT281" s="39" t="s">
        <v>4562</v>
      </c>
      <c r="AU281" s="39">
        <v>13</v>
      </c>
      <c r="AV281" s="39" t="s">
        <v>6484</v>
      </c>
      <c r="AW281" s="39">
        <v>235.55</v>
      </c>
      <c r="AX281" s="39">
        <v>237.7</v>
      </c>
      <c r="AY281" s="39">
        <v>239.7</v>
      </c>
      <c r="AZ281" s="39">
        <v>231.4</v>
      </c>
      <c r="BA281" s="39">
        <v>229.4</v>
      </c>
      <c r="BB281" s="39">
        <v>227.25</v>
      </c>
      <c r="BC281" s="39">
        <v>4</v>
      </c>
      <c r="BD281" s="39">
        <v>8</v>
      </c>
      <c r="BE281" s="39" t="s">
        <v>130</v>
      </c>
      <c r="BF281" s="39">
        <v>1</v>
      </c>
      <c r="BG281" s="39">
        <v>47</v>
      </c>
      <c r="BH281" s="39">
        <v>0.2</v>
      </c>
      <c r="BI281" s="39" t="s">
        <v>132</v>
      </c>
      <c r="BJ281" s="39" t="s">
        <v>4563</v>
      </c>
    </row>
    <row r="282" spans="1:62" x14ac:dyDescent="0.35">
      <c r="A282" s="39" t="s">
        <v>386</v>
      </c>
      <c r="B282" s="39" t="str">
        <f>IFERROR(INDEX(added_new_stocks!$F$6:$H$2155,MATCH($A282,added_new_stocks!$F$6:$F$2600,0),3),"")</f>
        <v>Large</v>
      </c>
      <c r="C282" s="48">
        <v>39705.25</v>
      </c>
      <c r="I282" s="39" t="s">
        <v>4976</v>
      </c>
      <c r="J282" s="39" t="s">
        <v>7520</v>
      </c>
      <c r="K282" s="39"/>
      <c r="L282" s="39" t="s">
        <v>7521</v>
      </c>
      <c r="R282" s="39">
        <v>0.35</v>
      </c>
      <c r="S282" s="39">
        <v>-0.57999999999999996</v>
      </c>
      <c r="T282" s="39">
        <v>6.43</v>
      </c>
      <c r="U282" s="39">
        <v>2.0699999999999998</v>
      </c>
      <c r="V282" s="39">
        <v>6.08</v>
      </c>
      <c r="W282" s="39">
        <v>-7.36</v>
      </c>
      <c r="X282" s="39">
        <v>-22.22</v>
      </c>
      <c r="Y282" s="39">
        <v>26.34</v>
      </c>
      <c r="Z282" s="39">
        <v>97.44</v>
      </c>
      <c r="AA282" s="39">
        <v>112.53</v>
      </c>
      <c r="AB282" s="39">
        <v>12.93</v>
      </c>
      <c r="AC282" s="39">
        <v>892.8</v>
      </c>
      <c r="AD282" s="39" t="s">
        <v>4606</v>
      </c>
      <c r="AE282" s="39" t="s">
        <v>134</v>
      </c>
      <c r="AF282" s="39">
        <v>27</v>
      </c>
      <c r="AG282" s="42">
        <v>0.1573</v>
      </c>
      <c r="AH282" s="39">
        <v>509</v>
      </c>
      <c r="AI282" s="42">
        <v>0.21990000000000001</v>
      </c>
      <c r="AJ282" s="39" t="s">
        <v>7522</v>
      </c>
      <c r="AK282" s="42">
        <v>0.1537</v>
      </c>
      <c r="AL282" s="39" t="s">
        <v>6877</v>
      </c>
      <c r="AM282" s="42">
        <v>9.6699999999999994E-2</v>
      </c>
      <c r="AN282" s="42">
        <v>8.0100000000000005E-2</v>
      </c>
      <c r="AO282" s="41">
        <v>70</v>
      </c>
      <c r="AP282" s="39">
        <v>79</v>
      </c>
      <c r="AQ282" s="39">
        <v>68</v>
      </c>
      <c r="AS282" s="39" t="s">
        <v>4564</v>
      </c>
      <c r="AV282" s="39" t="s">
        <v>6485</v>
      </c>
      <c r="AX282" s="39">
        <v>49.78</v>
      </c>
      <c r="AY282" s="39">
        <v>50.47</v>
      </c>
      <c r="AZ282" s="39">
        <v>48.77</v>
      </c>
      <c r="BA282" s="39">
        <v>46.38</v>
      </c>
      <c r="BB282" s="39">
        <v>45.37</v>
      </c>
      <c r="BC282" s="39">
        <v>1</v>
      </c>
      <c r="BD282" s="39">
        <v>8</v>
      </c>
      <c r="BE282" s="39" t="s">
        <v>130</v>
      </c>
      <c r="BF282" s="39">
        <v>-0.16</v>
      </c>
      <c r="BG282" s="39">
        <v>13</v>
      </c>
      <c r="BH282" s="39">
        <v>98.9</v>
      </c>
      <c r="BI282" s="39" t="s">
        <v>4563</v>
      </c>
      <c r="BJ282" s="39" t="s">
        <v>4563</v>
      </c>
    </row>
    <row r="283" spans="1:62" x14ac:dyDescent="0.35">
      <c r="A283" s="39" t="s">
        <v>1172</v>
      </c>
      <c r="B283" s="39" t="str">
        <f>IFERROR(INDEX(added_new_stocks!$F$6:$H$2155,MATCH($A283,added_new_stocks!$F$6:$F$2600,0),3),"")</f>
        <v>Small</v>
      </c>
      <c r="C283" s="39">
        <v>69.61</v>
      </c>
      <c r="D283" s="39">
        <v>54</v>
      </c>
      <c r="G283" s="39" t="s">
        <v>4562</v>
      </c>
      <c r="H283" s="39" t="s">
        <v>7523</v>
      </c>
      <c r="I283" s="39" t="s">
        <v>4624</v>
      </c>
      <c r="J283" s="39" t="s">
        <v>7524</v>
      </c>
      <c r="K283" s="39" t="s">
        <v>4615</v>
      </c>
      <c r="L283" s="39" t="s">
        <v>5008</v>
      </c>
      <c r="M283" s="39" t="s">
        <v>135</v>
      </c>
      <c r="N283" s="39">
        <v>9</v>
      </c>
      <c r="O283" s="39">
        <v>-20</v>
      </c>
      <c r="P283" s="39">
        <v>-11</v>
      </c>
      <c r="Q283" s="39" t="s">
        <v>4605</v>
      </c>
      <c r="R283" s="39">
        <v>0.81</v>
      </c>
      <c r="S283" s="39">
        <v>-0.73</v>
      </c>
      <c r="T283" s="39">
        <v>9.6199999999999992</v>
      </c>
      <c r="U283" s="39">
        <v>33.659999999999997</v>
      </c>
      <c r="V283" s="39">
        <v>27</v>
      </c>
      <c r="W283" s="39">
        <v>18.18</v>
      </c>
      <c r="X283" s="39">
        <v>28.31</v>
      </c>
      <c r="Y283" s="39" t="s">
        <v>4538</v>
      </c>
      <c r="Z283" s="39" t="s">
        <v>4538</v>
      </c>
      <c r="AA283" s="39" t="s">
        <v>4538</v>
      </c>
      <c r="AB283" s="39" t="s">
        <v>4538</v>
      </c>
      <c r="AC283" s="39" t="s">
        <v>4538</v>
      </c>
      <c r="AD283" s="39" t="s">
        <v>4606</v>
      </c>
      <c r="AE283" s="39" t="s">
        <v>134</v>
      </c>
      <c r="AF283" s="39">
        <v>8</v>
      </c>
      <c r="AG283" s="42">
        <v>0.18149999999999999</v>
      </c>
      <c r="AH283" s="39">
        <v>35</v>
      </c>
      <c r="AI283" s="42">
        <v>5.2600000000000001E-2</v>
      </c>
      <c r="AJ283" s="39" t="s">
        <v>7525</v>
      </c>
      <c r="AK283" s="42">
        <v>0.56100000000000005</v>
      </c>
      <c r="AL283" s="39" t="s">
        <v>5078</v>
      </c>
      <c r="AM283" s="42">
        <v>6.9699999999999998E-2</v>
      </c>
      <c r="AN283" s="42">
        <v>0.14430000000000001</v>
      </c>
      <c r="AO283" s="41">
        <v>40</v>
      </c>
      <c r="AP283" s="39">
        <v>5</v>
      </c>
      <c r="AQ283" s="39">
        <v>47</v>
      </c>
      <c r="AR283" s="45">
        <v>39204</v>
      </c>
      <c r="AS283" s="39">
        <v>-1</v>
      </c>
      <c r="AT283" s="39" t="s">
        <v>4625</v>
      </c>
      <c r="AU283" s="39">
        <v>22</v>
      </c>
      <c r="AV283" s="39" t="s">
        <v>6486</v>
      </c>
      <c r="AW283" s="39">
        <v>39832.75</v>
      </c>
      <c r="AX283" s="39">
        <v>40134.9</v>
      </c>
      <c r="AY283" s="39">
        <v>40349.800000000003</v>
      </c>
      <c r="AZ283" s="39">
        <v>39315.699999999997</v>
      </c>
      <c r="BA283" s="39">
        <v>39100.800000000003</v>
      </c>
      <c r="BB283" s="39">
        <v>38798.65</v>
      </c>
      <c r="BC283" s="39">
        <v>5</v>
      </c>
      <c r="BD283" s="39">
        <v>7</v>
      </c>
      <c r="BE283" s="39">
        <v>2</v>
      </c>
      <c r="BF283" s="39" t="s">
        <v>130</v>
      </c>
      <c r="BG283" s="48">
        <v>3599.7</v>
      </c>
      <c r="BH283" s="39">
        <v>0.1</v>
      </c>
      <c r="BI283" s="39" t="s">
        <v>4651</v>
      </c>
    </row>
    <row r="284" spans="1:62" x14ac:dyDescent="0.35">
      <c r="A284" s="39" t="s">
        <v>629</v>
      </c>
      <c r="B284" s="39" t="str">
        <f>IFERROR(INDEX(added_new_stocks!$F$6:$H$2155,MATCH($A284,added_new_stocks!$F$6:$F$2600,0),3),"")</f>
        <v>Mid</v>
      </c>
      <c r="C284" s="48">
        <v>1053.7</v>
      </c>
      <c r="D284" s="39">
        <v>62</v>
      </c>
      <c r="G284" s="39" t="s">
        <v>4562</v>
      </c>
      <c r="H284" s="39" t="s">
        <v>7526</v>
      </c>
      <c r="I284" s="39" t="s">
        <v>4624</v>
      </c>
      <c r="J284" s="39" t="s">
        <v>7527</v>
      </c>
      <c r="K284" s="39" t="s">
        <v>4615</v>
      </c>
      <c r="L284" s="39" t="s">
        <v>5008</v>
      </c>
      <c r="M284" s="39" t="s">
        <v>135</v>
      </c>
      <c r="N284" s="39">
        <v>13</v>
      </c>
      <c r="O284" s="39">
        <v>-12</v>
      </c>
      <c r="P284" s="39">
        <v>1</v>
      </c>
      <c r="Q284" s="39" t="s">
        <v>4611</v>
      </c>
      <c r="R284" s="39">
        <v>-0.6</v>
      </c>
      <c r="S284" s="39">
        <v>-2.04</v>
      </c>
      <c r="T284" s="39">
        <v>-1.79</v>
      </c>
      <c r="U284" s="39">
        <v>35.46</v>
      </c>
      <c r="V284" s="39">
        <v>37.86</v>
      </c>
      <c r="W284" s="39">
        <v>27.2</v>
      </c>
      <c r="X284" s="39">
        <v>-0.93</v>
      </c>
      <c r="Y284" s="39">
        <v>-25.3</v>
      </c>
      <c r="Z284" s="39">
        <v>28.5</v>
      </c>
      <c r="AA284" s="39">
        <v>-4.3600000000000003</v>
      </c>
      <c r="AB284" s="39">
        <v>-37.79</v>
      </c>
      <c r="AC284" s="39">
        <v>210.76</v>
      </c>
      <c r="AD284" s="39" t="s">
        <v>4606</v>
      </c>
      <c r="AE284" s="39" t="s">
        <v>134</v>
      </c>
      <c r="AF284" s="39">
        <v>29</v>
      </c>
      <c r="AG284" s="42">
        <v>5.8500000000000003E-2</v>
      </c>
      <c r="AH284" s="39">
        <v>219</v>
      </c>
      <c r="AI284" s="42">
        <v>0.26050000000000001</v>
      </c>
      <c r="AJ284" s="39" t="s">
        <v>5608</v>
      </c>
      <c r="AK284" s="39" t="s">
        <v>5609</v>
      </c>
      <c r="AL284" s="39" t="s">
        <v>136</v>
      </c>
      <c r="AM284" s="42">
        <v>4.8500000000000001E-2</v>
      </c>
      <c r="AN284" s="42">
        <v>0.13339999999999999</v>
      </c>
      <c r="AO284" s="41">
        <v>50</v>
      </c>
      <c r="AP284" s="39">
        <v>36</v>
      </c>
      <c r="AQ284" s="39">
        <v>66</v>
      </c>
      <c r="AR284" s="39">
        <v>100</v>
      </c>
      <c r="AS284" s="39">
        <v>44</v>
      </c>
      <c r="AT284" s="39" t="s">
        <v>4633</v>
      </c>
      <c r="AU284" s="39">
        <v>1</v>
      </c>
      <c r="AV284" s="39" t="s">
        <v>6487</v>
      </c>
      <c r="AW284" s="39">
        <v>69.72</v>
      </c>
      <c r="AX284" s="39">
        <v>70.33</v>
      </c>
      <c r="AY284" s="39">
        <v>71.069999999999993</v>
      </c>
      <c r="AZ284" s="39">
        <v>68.37</v>
      </c>
      <c r="BA284" s="39">
        <v>67.63</v>
      </c>
      <c r="BB284" s="39">
        <v>67.02</v>
      </c>
      <c r="BC284" s="39">
        <v>5</v>
      </c>
      <c r="BD284" s="39" t="s">
        <v>130</v>
      </c>
      <c r="BE284" s="39">
        <v>3.01</v>
      </c>
      <c r="BF284" s="39">
        <v>0.66</v>
      </c>
      <c r="BG284" s="39">
        <v>7</v>
      </c>
      <c r="BH284" s="39">
        <v>4</v>
      </c>
      <c r="BI284" s="39" t="s">
        <v>4565</v>
      </c>
      <c r="BJ284" s="39" t="s">
        <v>4563</v>
      </c>
    </row>
    <row r="285" spans="1:62" x14ac:dyDescent="0.35">
      <c r="A285" s="39" t="s">
        <v>432</v>
      </c>
      <c r="B285" s="39" t="str">
        <f>IFERROR(INDEX(added_new_stocks!$F$6:$H$2155,MATCH($A285,added_new_stocks!$F$6:$F$2600,0),3),"")</f>
        <v>Large</v>
      </c>
      <c r="C285" s="48">
        <v>5177.3999999999996</v>
      </c>
      <c r="D285" s="39">
        <v>80</v>
      </c>
      <c r="G285" s="39" t="s">
        <v>4633</v>
      </c>
      <c r="H285" s="39" t="s">
        <v>7528</v>
      </c>
      <c r="I285" s="39" t="s">
        <v>4624</v>
      </c>
      <c r="J285" s="39" t="s">
        <v>7529</v>
      </c>
      <c r="K285" s="39" t="s">
        <v>4957</v>
      </c>
      <c r="L285" s="39" t="s">
        <v>7530</v>
      </c>
      <c r="M285" s="39" t="s">
        <v>4620</v>
      </c>
      <c r="N285" s="39">
        <v>15</v>
      </c>
      <c r="O285" s="39">
        <v>-2</v>
      </c>
      <c r="P285" s="39">
        <v>13</v>
      </c>
      <c r="Q285" s="39" t="s">
        <v>14</v>
      </c>
      <c r="R285" s="39">
        <v>1.5</v>
      </c>
      <c r="S285" s="39">
        <v>3.42</v>
      </c>
      <c r="T285" s="39">
        <v>10.220000000000001</v>
      </c>
      <c r="U285" s="39">
        <v>2.06</v>
      </c>
      <c r="V285" s="39">
        <v>6.58</v>
      </c>
      <c r="W285" s="39">
        <v>33.76</v>
      </c>
      <c r="X285" s="39">
        <v>47.39</v>
      </c>
      <c r="Y285" s="39">
        <v>56.27</v>
      </c>
      <c r="Z285" s="39">
        <v>409.94</v>
      </c>
      <c r="AA285" s="39">
        <v>853.92</v>
      </c>
      <c r="AB285" s="39">
        <v>518.86</v>
      </c>
      <c r="AC285" s="39">
        <v>1661.62</v>
      </c>
      <c r="AD285" s="39" t="s">
        <v>4606</v>
      </c>
      <c r="AE285" s="39" t="s">
        <v>134</v>
      </c>
      <c r="AF285" s="39">
        <v>35</v>
      </c>
      <c r="AG285" s="42">
        <v>0.23499999999999999</v>
      </c>
      <c r="AH285" s="39">
        <v>377</v>
      </c>
      <c r="AI285" s="42">
        <v>0.20499999999999999</v>
      </c>
      <c r="AJ285" s="39" t="s">
        <v>7531</v>
      </c>
      <c r="AK285" s="42">
        <v>0.29930000000000001</v>
      </c>
      <c r="AL285" s="39" t="s">
        <v>5792</v>
      </c>
      <c r="AM285" s="42">
        <v>4.6300000000000001E-2</v>
      </c>
      <c r="AN285" s="42">
        <v>0.14760000000000001</v>
      </c>
      <c r="AO285" s="41">
        <v>60</v>
      </c>
      <c r="AP285" s="39">
        <v>57</v>
      </c>
      <c r="AQ285" s="39">
        <v>62</v>
      </c>
      <c r="AR285" s="45">
        <v>1147</v>
      </c>
      <c r="AS285" s="39">
        <v>9</v>
      </c>
      <c r="AT285" s="39" t="s">
        <v>129</v>
      </c>
      <c r="AU285" s="39">
        <v>8</v>
      </c>
      <c r="AV285" s="39" t="s">
        <v>6488</v>
      </c>
      <c r="AW285" s="39">
        <v>1084.23</v>
      </c>
      <c r="AX285" s="39">
        <v>1108.3699999999999</v>
      </c>
      <c r="AY285" s="39">
        <v>1123.73</v>
      </c>
      <c r="AZ285" s="39">
        <v>1044.73</v>
      </c>
      <c r="BA285" s="39">
        <v>1029.3699999999999</v>
      </c>
      <c r="BB285" s="39">
        <v>1005.23</v>
      </c>
      <c r="BC285" s="39">
        <v>8</v>
      </c>
      <c r="BD285" s="39">
        <v>7</v>
      </c>
      <c r="BE285" s="39">
        <v>10</v>
      </c>
      <c r="BF285" s="39" t="s">
        <v>130</v>
      </c>
      <c r="BG285" s="48">
        <v>1687.9</v>
      </c>
      <c r="BH285" s="39">
        <v>1.6</v>
      </c>
      <c r="BI285" s="39" t="s">
        <v>131</v>
      </c>
      <c r="BJ285" s="39" t="s">
        <v>4565</v>
      </c>
    </row>
    <row r="286" spans="1:62" x14ac:dyDescent="0.35">
      <c r="A286" s="39" t="s">
        <v>397</v>
      </c>
      <c r="B286" s="39" t="str">
        <f>IFERROR(INDEX(added_new_stocks!$F$6:$H$2155,MATCH($A286,added_new_stocks!$F$6:$F$2600,0),3),"")</f>
        <v>Large</v>
      </c>
      <c r="K286" s="39"/>
      <c r="L286" s="39" t="s">
        <v>7521</v>
      </c>
      <c r="R286" s="39">
        <v>1.07</v>
      </c>
      <c r="S286" s="39">
        <v>-0.2</v>
      </c>
      <c r="T286" s="39">
        <v>6.67</v>
      </c>
      <c r="U286" s="39">
        <v>50.59</v>
      </c>
      <c r="V286" s="39">
        <v>81.44</v>
      </c>
      <c r="W286" s="39">
        <v>93.41</v>
      </c>
      <c r="X286" s="39">
        <v>127.9</v>
      </c>
      <c r="Y286" s="39">
        <v>110.17</v>
      </c>
      <c r="Z286" s="39">
        <v>177.94</v>
      </c>
      <c r="AA286" s="39">
        <v>159.93</v>
      </c>
      <c r="AB286" s="39">
        <v>220</v>
      </c>
      <c r="AC286" s="39">
        <v>401.47</v>
      </c>
      <c r="AD286" s="39" t="s">
        <v>4606</v>
      </c>
      <c r="AE286" s="39" t="s">
        <v>134</v>
      </c>
      <c r="AF286" s="39">
        <v>31</v>
      </c>
      <c r="AG286" s="42">
        <v>0.12239999999999999</v>
      </c>
      <c r="AH286" s="39">
        <v>357</v>
      </c>
      <c r="AI286" s="42">
        <v>0.17499999999999999</v>
      </c>
      <c r="AJ286" s="39" t="s">
        <v>5061</v>
      </c>
      <c r="AK286" s="42">
        <v>0.55989999999999995</v>
      </c>
      <c r="AL286" s="39" t="s">
        <v>7532</v>
      </c>
      <c r="AM286" s="42">
        <v>5.4199999999999998E-2</v>
      </c>
      <c r="AN286" s="42">
        <v>6.4500000000000002E-2</v>
      </c>
      <c r="AO286" s="41">
        <v>65</v>
      </c>
      <c r="AP286" s="39">
        <v>21</v>
      </c>
      <c r="AQ286" s="39">
        <v>65</v>
      </c>
      <c r="AR286" s="45">
        <v>5045</v>
      </c>
      <c r="AS286" s="39">
        <v>-2</v>
      </c>
      <c r="AT286" s="39" t="s">
        <v>4562</v>
      </c>
      <c r="AU286" s="39">
        <v>29</v>
      </c>
      <c r="AV286" s="39" t="s">
        <v>6489</v>
      </c>
      <c r="AY286" s="39">
        <v>5213.83</v>
      </c>
      <c r="AZ286" s="39">
        <v>5136.33</v>
      </c>
      <c r="BA286" s="39">
        <v>5166.32</v>
      </c>
      <c r="BB286" s="39">
        <v>4981.33</v>
      </c>
      <c r="BC286" s="39">
        <v>15</v>
      </c>
      <c r="BD286" s="39">
        <v>2</v>
      </c>
      <c r="BE286" s="39">
        <v>6</v>
      </c>
      <c r="BF286" s="39" t="s">
        <v>130</v>
      </c>
      <c r="BG286" s="48">
        <v>1189.3</v>
      </c>
      <c r="BH286" s="39">
        <v>0.2</v>
      </c>
      <c r="BI286" s="39" t="s">
        <v>131</v>
      </c>
      <c r="BJ286" s="39" t="s">
        <v>132</v>
      </c>
    </row>
    <row r="287" spans="1:62" x14ac:dyDescent="0.35">
      <c r="A287" s="39" t="s">
        <v>636</v>
      </c>
      <c r="B287" s="39" t="str">
        <f>IFERROR(INDEX(added_new_stocks!$F$6:$H$2155,MATCH($A287,added_new_stocks!$F$6:$F$2600,0),3),"")</f>
        <v>Mid</v>
      </c>
      <c r="C287" s="48">
        <v>3840.55</v>
      </c>
      <c r="D287" s="39">
        <v>35</v>
      </c>
      <c r="G287" s="39" t="s">
        <v>4625</v>
      </c>
      <c r="H287" s="39" t="s">
        <v>5574</v>
      </c>
      <c r="I287" s="39" t="s">
        <v>4976</v>
      </c>
      <c r="J287" s="39" t="s">
        <v>5575</v>
      </c>
      <c r="K287" s="39" t="s">
        <v>133</v>
      </c>
      <c r="L287" s="39" t="s">
        <v>7533</v>
      </c>
      <c r="M287" s="39" t="s">
        <v>4620</v>
      </c>
      <c r="N287" s="39">
        <v>1</v>
      </c>
      <c r="O287" s="39">
        <v>-16</v>
      </c>
      <c r="P287" s="39">
        <v>-15</v>
      </c>
      <c r="Q287" s="39" t="s">
        <v>4605</v>
      </c>
      <c r="R287" s="39">
        <v>0.12</v>
      </c>
      <c r="S287" s="39">
        <v>-1.03</v>
      </c>
      <c r="T287" s="39">
        <v>-3.39</v>
      </c>
      <c r="U287" s="39">
        <v>1.1100000000000001</v>
      </c>
      <c r="V287" s="39">
        <v>1.6</v>
      </c>
      <c r="W287" s="39">
        <v>-13.26</v>
      </c>
      <c r="X287" s="39">
        <v>-8.18</v>
      </c>
      <c r="Y287" s="39">
        <v>-32.97</v>
      </c>
      <c r="Z287" s="39">
        <v>-19.079999999999998</v>
      </c>
      <c r="AA287" s="39">
        <v>31.5</v>
      </c>
      <c r="AB287" s="39">
        <v>8.73</v>
      </c>
      <c r="AC287" s="39">
        <v>271.61</v>
      </c>
      <c r="AD287" s="39" t="s">
        <v>4606</v>
      </c>
      <c r="AE287" s="39" t="s">
        <v>134</v>
      </c>
      <c r="AF287" s="39">
        <v>21</v>
      </c>
      <c r="AG287" s="42">
        <v>6.1699999999999998E-2</v>
      </c>
      <c r="AH287" s="39">
        <v>101</v>
      </c>
      <c r="AI287" s="42">
        <v>2.81E-2</v>
      </c>
      <c r="AJ287" s="39" t="s">
        <v>5577</v>
      </c>
      <c r="AK287" s="42">
        <v>0.39750000000000002</v>
      </c>
      <c r="AL287" s="39" t="s">
        <v>136</v>
      </c>
      <c r="AM287" s="42">
        <v>7.5399999999999995E-2</v>
      </c>
      <c r="AN287" s="42">
        <v>0.1368</v>
      </c>
      <c r="AO287" s="41">
        <v>50</v>
      </c>
      <c r="AP287" s="39">
        <v>67</v>
      </c>
      <c r="AQ287" s="39">
        <v>68</v>
      </c>
      <c r="AR287" s="39">
        <v>286</v>
      </c>
      <c r="AS287" s="39">
        <v>5</v>
      </c>
      <c r="AT287" s="39" t="s">
        <v>4633</v>
      </c>
      <c r="AU287" s="39">
        <v>6</v>
      </c>
      <c r="AV287" s="39" t="s">
        <v>6490</v>
      </c>
      <c r="AW287" s="39">
        <v>273.02999999999997</v>
      </c>
      <c r="AX287" s="39">
        <v>276.07</v>
      </c>
      <c r="AY287" s="39">
        <v>278.33</v>
      </c>
      <c r="AZ287" s="39">
        <v>267.73</v>
      </c>
      <c r="BA287" s="39">
        <v>265.47000000000003</v>
      </c>
      <c r="BB287" s="39">
        <v>262.43</v>
      </c>
      <c r="BC287" s="39">
        <v>13</v>
      </c>
      <c r="BD287" s="39">
        <v>2</v>
      </c>
      <c r="BE287" s="39">
        <v>8</v>
      </c>
      <c r="BF287" s="39" t="s">
        <v>130</v>
      </c>
      <c r="BG287" s="39">
        <v>785</v>
      </c>
      <c r="BH287" s="39">
        <v>2.9</v>
      </c>
      <c r="BI287" s="39" t="s">
        <v>131</v>
      </c>
      <c r="BJ287" s="39" t="s">
        <v>131</v>
      </c>
    </row>
    <row r="288" spans="1:62" x14ac:dyDescent="0.35">
      <c r="A288" s="39" t="s">
        <v>376</v>
      </c>
      <c r="B288" s="39" t="str">
        <f>IFERROR(INDEX(added_new_stocks!$F$6:$H$2155,MATCH($A288,added_new_stocks!$F$6:$F$2600,0),3),"")</f>
        <v>Large</v>
      </c>
      <c r="C288" s="48">
        <v>15789.8</v>
      </c>
      <c r="D288" s="39">
        <v>71</v>
      </c>
      <c r="G288" s="39" t="s">
        <v>129</v>
      </c>
      <c r="H288" s="39" t="s">
        <v>7534</v>
      </c>
      <c r="I288" s="39" t="s">
        <v>4624</v>
      </c>
      <c r="J288" s="39" t="s">
        <v>7535</v>
      </c>
      <c r="K288" s="39" t="s">
        <v>133</v>
      </c>
      <c r="L288" s="39" t="s">
        <v>7536</v>
      </c>
      <c r="M288" s="39" t="s">
        <v>4959</v>
      </c>
      <c r="N288" s="39">
        <v>14</v>
      </c>
      <c r="O288" s="39">
        <v>0</v>
      </c>
      <c r="P288" s="39">
        <v>14</v>
      </c>
      <c r="Q288" s="39" t="s">
        <v>14</v>
      </c>
      <c r="R288" s="39">
        <v>-0.53</v>
      </c>
      <c r="S288" s="39">
        <v>1.1000000000000001</v>
      </c>
      <c r="T288" s="39">
        <v>-1.1100000000000001</v>
      </c>
      <c r="U288" s="39">
        <v>16.899999999999999</v>
      </c>
      <c r="V288" s="39">
        <v>14.29</v>
      </c>
      <c r="W288" s="39">
        <v>8.73</v>
      </c>
      <c r="X288" s="39">
        <v>12.86</v>
      </c>
      <c r="Y288" s="39">
        <v>14.53</v>
      </c>
      <c r="Z288" s="39">
        <v>55.82</v>
      </c>
      <c r="AA288" s="39">
        <v>54.74</v>
      </c>
      <c r="AB288" s="39">
        <v>57.94</v>
      </c>
      <c r="AC288" s="39">
        <v>498.44</v>
      </c>
      <c r="AD288" s="39" t="s">
        <v>4606</v>
      </c>
      <c r="AE288" s="39" t="s">
        <v>134</v>
      </c>
      <c r="AF288" s="39">
        <v>23</v>
      </c>
      <c r="AG288" s="42">
        <v>8.6499999999999994E-2</v>
      </c>
      <c r="AH288" s="39">
        <v>82</v>
      </c>
      <c r="AI288" s="42">
        <v>1.1299999999999999E-2</v>
      </c>
      <c r="AJ288" s="39" t="s">
        <v>5582</v>
      </c>
      <c r="AK288" s="42">
        <v>0.68730000000000002</v>
      </c>
      <c r="AL288" s="39" t="s">
        <v>5693</v>
      </c>
      <c r="AM288" s="42">
        <v>6.3799999999999996E-2</v>
      </c>
      <c r="AN288" s="42">
        <v>0.1004</v>
      </c>
      <c r="AO288" s="41">
        <v>65</v>
      </c>
      <c r="AP288" s="39">
        <v>30</v>
      </c>
      <c r="AQ288" s="39">
        <v>39</v>
      </c>
      <c r="AR288" s="45">
        <v>4314</v>
      </c>
      <c r="AS288" s="39">
        <v>12</v>
      </c>
      <c r="AT288" s="39" t="s">
        <v>129</v>
      </c>
      <c r="AU288" s="39">
        <v>4</v>
      </c>
      <c r="AV288" s="39" t="s">
        <v>6491</v>
      </c>
      <c r="AW288" s="39">
        <v>3869.73</v>
      </c>
      <c r="AX288" s="39">
        <v>3900.27</v>
      </c>
      <c r="AY288" s="39">
        <v>3919.08</v>
      </c>
      <c r="AZ288" s="39">
        <v>3820.38</v>
      </c>
      <c r="BA288" s="39">
        <v>3801.57</v>
      </c>
      <c r="BB288" s="39">
        <v>3771.03</v>
      </c>
      <c r="BC288" s="39">
        <v>8</v>
      </c>
      <c r="BD288" s="39">
        <v>5</v>
      </c>
      <c r="BE288" s="39">
        <v>1</v>
      </c>
      <c r="BF288" s="39" t="s">
        <v>130</v>
      </c>
      <c r="BG288" s="48">
        <v>1536.7</v>
      </c>
      <c r="BH288" s="39">
        <v>0.4</v>
      </c>
      <c r="BI288" s="39" t="s">
        <v>131</v>
      </c>
      <c r="BJ288" s="39" t="s">
        <v>4563</v>
      </c>
    </row>
    <row r="289" spans="1:62" x14ac:dyDescent="0.35">
      <c r="A289" s="39" t="s">
        <v>539</v>
      </c>
      <c r="B289" s="39" t="str">
        <f>IFERROR(INDEX(added_new_stocks!$F$6:$H$2155,MATCH($A289,added_new_stocks!$F$6:$F$2600,0),3),"")</f>
        <v>Large</v>
      </c>
      <c r="C289" s="48">
        <v>1773.4</v>
      </c>
      <c r="D289" s="39">
        <v>75</v>
      </c>
      <c r="G289" s="39" t="s">
        <v>129</v>
      </c>
      <c r="H289" s="39" t="s">
        <v>7537</v>
      </c>
      <c r="I289" s="39" t="s">
        <v>4624</v>
      </c>
      <c r="J289" s="39" t="s">
        <v>7538</v>
      </c>
      <c r="K289" s="39" t="s">
        <v>4615</v>
      </c>
      <c r="L289" s="39" t="s">
        <v>7539</v>
      </c>
      <c r="M289" s="39" t="s">
        <v>4959</v>
      </c>
      <c r="N289" s="39">
        <v>32</v>
      </c>
      <c r="O289" s="39">
        <v>0</v>
      </c>
      <c r="P289" s="39">
        <v>32</v>
      </c>
      <c r="Q289" s="39" t="s">
        <v>5076</v>
      </c>
      <c r="R289" s="39">
        <v>1.0900000000000001</v>
      </c>
      <c r="S289" s="39">
        <v>0.54</v>
      </c>
      <c r="T289" s="39">
        <v>4.3899999999999997</v>
      </c>
      <c r="U289" s="39">
        <v>18.260000000000002</v>
      </c>
      <c r="V289" s="39">
        <v>27.31</v>
      </c>
      <c r="W289" s="39">
        <v>25.34</v>
      </c>
      <c r="X289" s="39">
        <v>25.62</v>
      </c>
      <c r="Y289" s="39">
        <v>104.43</v>
      </c>
      <c r="Z289" s="39">
        <v>172.41</v>
      </c>
      <c r="AA289" s="39">
        <v>156.01</v>
      </c>
      <c r="AB289" s="39">
        <v>189.91</v>
      </c>
      <c r="AC289" s="39">
        <v>836.08</v>
      </c>
      <c r="AD289" s="39" t="s">
        <v>4606</v>
      </c>
      <c r="AE289" s="39" t="s">
        <v>134</v>
      </c>
      <c r="AF289" s="39">
        <v>26</v>
      </c>
      <c r="AG289" s="42">
        <v>0.1845</v>
      </c>
      <c r="AH289" s="39">
        <v>280</v>
      </c>
      <c r="AI289" s="42">
        <v>0.28549999999999998</v>
      </c>
      <c r="AJ289" s="39" t="s">
        <v>7540</v>
      </c>
      <c r="AK289" s="42">
        <v>0.31140000000000001</v>
      </c>
      <c r="AL289" s="39" t="s">
        <v>5669</v>
      </c>
      <c r="AM289" s="42">
        <v>3.0099999999999998E-2</v>
      </c>
      <c r="AN289" s="42">
        <v>2.7900000000000001E-2</v>
      </c>
      <c r="AO289" s="41">
        <v>70</v>
      </c>
      <c r="AP289" s="39">
        <v>8</v>
      </c>
      <c r="AQ289" s="39">
        <v>68</v>
      </c>
      <c r="AR289" s="45">
        <v>16940</v>
      </c>
      <c r="AS289" s="39">
        <v>7</v>
      </c>
      <c r="AT289" s="39" t="s">
        <v>4562</v>
      </c>
      <c r="AU289" s="39">
        <v>1</v>
      </c>
      <c r="AV289" s="39" t="s">
        <v>6492</v>
      </c>
      <c r="AW289" s="39">
        <v>16426.599999999999</v>
      </c>
      <c r="AX289" s="39">
        <v>16962.5</v>
      </c>
      <c r="AY289" s="39">
        <v>17325</v>
      </c>
      <c r="AZ289" s="39">
        <v>15528.2</v>
      </c>
      <c r="BA289" s="39">
        <v>15165.7</v>
      </c>
      <c r="BB289" s="39">
        <v>14629.8</v>
      </c>
      <c r="BC289" s="39">
        <v>7</v>
      </c>
      <c r="BD289" s="39">
        <v>2</v>
      </c>
      <c r="BE289" s="39" t="s">
        <v>130</v>
      </c>
      <c r="BF289" s="39">
        <v>0.43</v>
      </c>
      <c r="BG289" s="39">
        <v>9</v>
      </c>
      <c r="BH289" s="48">
        <v>1170.4000000000001</v>
      </c>
      <c r="BI289" s="39" t="s">
        <v>4565</v>
      </c>
      <c r="BJ289" s="39" t="s">
        <v>4651</v>
      </c>
    </row>
    <row r="290" spans="1:62" x14ac:dyDescent="0.35">
      <c r="A290" s="39" t="s">
        <v>360</v>
      </c>
      <c r="B290" s="39" t="str">
        <f>IFERROR(INDEX(added_new_stocks!$F$6:$H$2155,MATCH($A290,added_new_stocks!$F$6:$F$2600,0),3),"")</f>
        <v>Large</v>
      </c>
      <c r="C290" s="48">
        <v>3698.4</v>
      </c>
      <c r="D290" s="39">
        <v>77</v>
      </c>
      <c r="E290" s="39" t="s">
        <v>4987</v>
      </c>
      <c r="F290" s="39" t="s">
        <v>7340</v>
      </c>
      <c r="G290" s="39" t="s">
        <v>129</v>
      </c>
      <c r="H290" s="39" t="s">
        <v>5585</v>
      </c>
      <c r="I290" s="39" t="s">
        <v>4989</v>
      </c>
      <c r="J290" s="39" t="s">
        <v>5586</v>
      </c>
      <c r="K290" s="39" t="s">
        <v>4957</v>
      </c>
      <c r="L290" s="39" t="s">
        <v>5587</v>
      </c>
      <c r="M290" s="39" t="s">
        <v>4959</v>
      </c>
      <c r="N290" s="39">
        <v>22</v>
      </c>
      <c r="O290" s="39">
        <v>-1</v>
      </c>
      <c r="P290" s="39">
        <v>21</v>
      </c>
      <c r="Q290" s="39" t="s">
        <v>5060</v>
      </c>
      <c r="R290" s="39">
        <v>-0.13</v>
      </c>
      <c r="S290" s="39">
        <v>0.28999999999999998</v>
      </c>
      <c r="T290" s="39">
        <v>3.22</v>
      </c>
      <c r="U290" s="39">
        <v>6.55</v>
      </c>
      <c r="V290" s="39">
        <v>19.73</v>
      </c>
      <c r="W290" s="39">
        <v>8.0500000000000007</v>
      </c>
      <c r="X290" s="39">
        <v>7.63</v>
      </c>
      <c r="Y290" s="39">
        <v>10.92</v>
      </c>
      <c r="Z290" s="39">
        <v>88.21</v>
      </c>
      <c r="AA290" s="39">
        <v>223.15</v>
      </c>
      <c r="AB290" s="39">
        <v>378.82</v>
      </c>
      <c r="AC290" s="39">
        <v>2810.98</v>
      </c>
      <c r="AD290" s="39" t="s">
        <v>4606</v>
      </c>
      <c r="AE290" s="39" t="s">
        <v>134</v>
      </c>
      <c r="AF290" s="39">
        <v>31</v>
      </c>
      <c r="AG290" s="42">
        <v>0.16789999999999999</v>
      </c>
      <c r="AH290" s="39">
        <v>645</v>
      </c>
      <c r="AI290" s="42">
        <v>0.19170000000000001</v>
      </c>
      <c r="AJ290" s="39" t="s">
        <v>5588</v>
      </c>
      <c r="AK290" s="42">
        <v>0.20449999999999999</v>
      </c>
      <c r="AL290" s="39" t="s">
        <v>5589</v>
      </c>
      <c r="AM290" s="42">
        <v>5.6899999999999999E-2</v>
      </c>
      <c r="AN290" s="42">
        <v>8.3699999999999997E-2</v>
      </c>
      <c r="AO290" s="41">
        <v>65</v>
      </c>
      <c r="AP290" s="39">
        <v>26</v>
      </c>
      <c r="AQ290" s="39">
        <v>60</v>
      </c>
      <c r="AR290" s="45">
        <v>1804</v>
      </c>
      <c r="AS290" s="39">
        <v>3</v>
      </c>
      <c r="AT290" s="39" t="s">
        <v>129</v>
      </c>
      <c r="AU290" s="39">
        <v>15</v>
      </c>
      <c r="AV290" s="39" t="s">
        <v>6493</v>
      </c>
      <c r="AW290" s="39">
        <v>1781.78</v>
      </c>
      <c r="AX290" s="39">
        <v>1807.42</v>
      </c>
      <c r="AY290" s="39">
        <v>1825.78</v>
      </c>
      <c r="AZ290" s="39">
        <v>1737.78</v>
      </c>
      <c r="BA290" s="39">
        <v>1719.42</v>
      </c>
      <c r="BB290" s="39">
        <v>1693.78</v>
      </c>
      <c r="BC290" s="39">
        <v>15</v>
      </c>
      <c r="BD290" s="39">
        <v>3</v>
      </c>
      <c r="BE290" s="39">
        <v>5</v>
      </c>
      <c r="BF290" s="39">
        <v>1</v>
      </c>
      <c r="BG290" s="39">
        <v>818</v>
      </c>
      <c r="BH290" s="39">
        <v>0.5</v>
      </c>
      <c r="BI290" s="39" t="s">
        <v>4651</v>
      </c>
      <c r="BJ290" s="39" t="s">
        <v>4563</v>
      </c>
    </row>
    <row r="291" spans="1:62" x14ac:dyDescent="0.35">
      <c r="A291" s="39" t="s">
        <v>341</v>
      </c>
      <c r="B291" s="39" t="str">
        <f>IFERROR(INDEX(added_new_stocks!$F$6:$H$2155,MATCH($A291,added_new_stocks!$F$6:$F$2600,0),3),"")</f>
        <v>Large</v>
      </c>
      <c r="I291" s="39" t="s">
        <v>4624</v>
      </c>
      <c r="J291" s="39" t="s">
        <v>7541</v>
      </c>
      <c r="K291" s="39" t="s">
        <v>4615</v>
      </c>
      <c r="L291" s="39" t="s">
        <v>7542</v>
      </c>
      <c r="M291" s="39" t="s">
        <v>135</v>
      </c>
      <c r="N291" s="39">
        <v>33</v>
      </c>
      <c r="O291" s="39">
        <v>-6</v>
      </c>
      <c r="P291" s="39">
        <v>27</v>
      </c>
      <c r="Q291" s="39" t="s">
        <v>5060</v>
      </c>
      <c r="R291" s="39">
        <v>0.75</v>
      </c>
      <c r="S291" s="39">
        <v>0.14000000000000001</v>
      </c>
      <c r="T291" s="39">
        <v>2.44</v>
      </c>
      <c r="U291" s="39">
        <v>23.35</v>
      </c>
      <c r="V291" s="39">
        <v>27.51</v>
      </c>
      <c r="W291" s="39">
        <v>12.4</v>
      </c>
      <c r="X291" s="39">
        <v>76.989999999999995</v>
      </c>
      <c r="Y291" s="39">
        <v>72.650000000000006</v>
      </c>
      <c r="Z291" s="39">
        <v>71.260000000000005</v>
      </c>
      <c r="AA291" s="39">
        <v>-2.31</v>
      </c>
      <c r="AB291" s="39">
        <v>-25.4</v>
      </c>
      <c r="AC291" s="39">
        <v>-26.23</v>
      </c>
      <c r="AD291" s="39" t="s">
        <v>4606</v>
      </c>
      <c r="AE291" s="39" t="s">
        <v>134</v>
      </c>
      <c r="AF291" s="39">
        <v>29</v>
      </c>
      <c r="AG291" s="42">
        <v>4.6800000000000001E-2</v>
      </c>
      <c r="AH291" s="39">
        <v>132</v>
      </c>
      <c r="AI291" s="42">
        <v>1.8200000000000001E-2</v>
      </c>
      <c r="AJ291" s="39" t="s">
        <v>7543</v>
      </c>
      <c r="AK291" s="39" t="s">
        <v>7544</v>
      </c>
      <c r="AL291" s="39" t="s">
        <v>136</v>
      </c>
      <c r="AM291" s="42">
        <v>8.3400000000000002E-2</v>
      </c>
      <c r="AN291" s="42">
        <v>0.10050000000000001</v>
      </c>
      <c r="AO291" s="41">
        <v>85</v>
      </c>
      <c r="AP291" s="39">
        <v>22</v>
      </c>
      <c r="AQ291" s="39">
        <v>49</v>
      </c>
      <c r="AR291" s="45">
        <v>4101</v>
      </c>
      <c r="AS291" s="39">
        <v>11</v>
      </c>
      <c r="AT291" s="39" t="s">
        <v>129</v>
      </c>
      <c r="AU291" s="39">
        <v>26</v>
      </c>
      <c r="AV291" s="39" t="s">
        <v>6494</v>
      </c>
      <c r="AW291" s="39">
        <v>3772.45</v>
      </c>
      <c r="AX291" s="39">
        <v>3841.8</v>
      </c>
      <c r="AY291" s="39">
        <v>3918.6</v>
      </c>
      <c r="AZ291" s="39">
        <v>3626.3</v>
      </c>
      <c r="BA291" s="39">
        <v>3549.5</v>
      </c>
      <c r="BB291" s="39">
        <v>3480.15</v>
      </c>
      <c r="BC291" s="39">
        <v>13</v>
      </c>
      <c r="BD291" s="39" t="s">
        <v>130</v>
      </c>
      <c r="BE291" s="39">
        <v>5</v>
      </c>
      <c r="BF291" s="39" t="s">
        <v>130</v>
      </c>
      <c r="BG291" s="39">
        <v>972.9</v>
      </c>
      <c r="BH291" s="39">
        <v>0.3</v>
      </c>
      <c r="BI291" s="39" t="s">
        <v>131</v>
      </c>
      <c r="BJ291" s="39" t="s">
        <v>132</v>
      </c>
    </row>
    <row r="292" spans="1:62" x14ac:dyDescent="0.35">
      <c r="A292" s="39" t="s">
        <v>905</v>
      </c>
      <c r="B292" s="39" t="str">
        <f>IFERROR(INDEX(added_new_stocks!$F$6:$H$2155,MATCH($A292,added_new_stocks!$F$6:$F$2600,0),3),"")</f>
        <v>Mid</v>
      </c>
      <c r="C292" s="39">
        <v>327</v>
      </c>
      <c r="D292" s="39">
        <v>57</v>
      </c>
      <c r="G292" s="39" t="s">
        <v>4562</v>
      </c>
      <c r="H292" s="39" t="s">
        <v>7545</v>
      </c>
      <c r="I292" s="39" t="s">
        <v>4989</v>
      </c>
      <c r="J292" s="39" t="s">
        <v>7546</v>
      </c>
      <c r="K292" s="39" t="s">
        <v>133</v>
      </c>
      <c r="L292" s="39" t="s">
        <v>7547</v>
      </c>
      <c r="M292" s="39" t="s">
        <v>5047</v>
      </c>
      <c r="N292" s="39">
        <v>1</v>
      </c>
      <c r="O292" s="39">
        <v>-13</v>
      </c>
      <c r="P292" s="39">
        <v>-12</v>
      </c>
      <c r="Q292" s="39" t="s">
        <v>4605</v>
      </c>
      <c r="R292" s="39">
        <v>1.02</v>
      </c>
      <c r="S292" s="39">
        <v>-0.5</v>
      </c>
      <c r="T292" s="39">
        <v>-4.76</v>
      </c>
      <c r="U292" s="39">
        <v>6.24</v>
      </c>
      <c r="V292" s="39">
        <v>18.239999999999998</v>
      </c>
      <c r="W292" s="39">
        <v>13.62</v>
      </c>
      <c r="X292" s="39">
        <v>14.72</v>
      </c>
      <c r="Y292" s="39">
        <v>5.35</v>
      </c>
      <c r="Z292" s="39">
        <v>92.98</v>
      </c>
      <c r="AA292" s="39">
        <v>83.45</v>
      </c>
      <c r="AB292" s="39">
        <v>104.44</v>
      </c>
      <c r="AC292" s="39" t="s">
        <v>4538</v>
      </c>
      <c r="AD292" s="39" t="s">
        <v>4606</v>
      </c>
      <c r="AE292" s="39" t="s">
        <v>134</v>
      </c>
      <c r="AF292" s="39">
        <v>21</v>
      </c>
      <c r="AG292" s="42">
        <v>0.27179999999999999</v>
      </c>
      <c r="AH292" s="39">
        <v>103</v>
      </c>
      <c r="AI292" s="42">
        <v>0.1026</v>
      </c>
      <c r="AJ292" s="39" t="s">
        <v>7548</v>
      </c>
      <c r="AK292" s="42">
        <v>9.6500000000000002E-2</v>
      </c>
      <c r="AL292" s="39" t="s">
        <v>5180</v>
      </c>
      <c r="AM292" s="42">
        <v>9.01E-2</v>
      </c>
      <c r="AN292" s="42">
        <v>4.3799999999999999E-2</v>
      </c>
      <c r="AO292" s="41">
        <v>60</v>
      </c>
      <c r="AP292" s="39">
        <v>74</v>
      </c>
      <c r="AQ292" s="39">
        <v>59</v>
      </c>
      <c r="AR292" s="39">
        <v>61</v>
      </c>
      <c r="AS292" s="39">
        <v>-4</v>
      </c>
      <c r="AT292" s="39" t="s">
        <v>4625</v>
      </c>
      <c r="AU292" s="39">
        <v>14</v>
      </c>
      <c r="AV292" s="39" t="s">
        <v>6495</v>
      </c>
      <c r="AY292" s="39">
        <v>63.8</v>
      </c>
      <c r="AZ292" s="39">
        <v>63.2</v>
      </c>
      <c r="BA292" s="39">
        <v>63.45</v>
      </c>
      <c r="BB292" s="39">
        <v>62</v>
      </c>
      <c r="BC292" s="39">
        <v>10</v>
      </c>
      <c r="BD292" s="39">
        <v>3</v>
      </c>
      <c r="BE292" s="39">
        <v>6</v>
      </c>
      <c r="BF292" s="39" t="s">
        <v>130</v>
      </c>
      <c r="BG292" s="39">
        <v>87.9</v>
      </c>
      <c r="BH292" s="39">
        <v>1.4</v>
      </c>
      <c r="BI292" s="39" t="s">
        <v>4563</v>
      </c>
      <c r="BJ292" s="39" t="s">
        <v>4563</v>
      </c>
    </row>
    <row r="293" spans="1:62" x14ac:dyDescent="0.35">
      <c r="A293" s="39" t="s">
        <v>2138</v>
      </c>
      <c r="B293" s="39" t="str">
        <f>IFERROR(INDEX(added_new_stocks!$F$6:$H$2155,MATCH($A293,added_new_stocks!$F$6:$F$2600,0),3),"")</f>
        <v>Small</v>
      </c>
      <c r="C293" s="39">
        <v>504.7</v>
      </c>
      <c r="D293" s="39">
        <v>54</v>
      </c>
      <c r="G293" s="39" t="s">
        <v>4562</v>
      </c>
      <c r="H293" s="39" t="s">
        <v>7549</v>
      </c>
      <c r="I293" s="39" t="s">
        <v>4624</v>
      </c>
      <c r="J293" s="39" t="s">
        <v>7550</v>
      </c>
      <c r="K293" s="39" t="s">
        <v>4615</v>
      </c>
      <c r="L293" s="39" t="s">
        <v>7551</v>
      </c>
      <c r="M293" s="39" t="s">
        <v>5047</v>
      </c>
      <c r="N293" s="39">
        <v>1</v>
      </c>
      <c r="O293" s="39">
        <v>-21</v>
      </c>
      <c r="P293" s="39">
        <v>-20</v>
      </c>
      <c r="Q293" s="39" t="s">
        <v>5026</v>
      </c>
      <c r="R293" s="39">
        <v>10.28</v>
      </c>
      <c r="S293" s="39">
        <v>8.27</v>
      </c>
      <c r="T293" s="39">
        <v>29.84</v>
      </c>
      <c r="U293" s="39">
        <v>35.58</v>
      </c>
      <c r="V293" s="39">
        <v>69.59</v>
      </c>
      <c r="W293" s="39">
        <v>32.57</v>
      </c>
      <c r="X293" s="39">
        <v>-8.8699999999999992</v>
      </c>
      <c r="Y293" s="39">
        <v>4.75</v>
      </c>
      <c r="Z293" s="39">
        <v>263.35000000000002</v>
      </c>
      <c r="AA293" s="39">
        <v>290.79000000000002</v>
      </c>
      <c r="AB293" s="39">
        <v>226.03</v>
      </c>
      <c r="AC293" s="39">
        <v>2703.89</v>
      </c>
      <c r="AD293" s="39" t="s">
        <v>4606</v>
      </c>
      <c r="AE293" s="39" t="s">
        <v>134</v>
      </c>
      <c r="AF293" s="39">
        <v>2</v>
      </c>
      <c r="AG293" s="42">
        <v>9.01E-2</v>
      </c>
      <c r="AH293" s="39">
        <v>10</v>
      </c>
      <c r="AI293" s="42">
        <v>3.6600000000000001E-2</v>
      </c>
      <c r="AJ293" s="39" t="s">
        <v>7552</v>
      </c>
      <c r="AK293" s="42">
        <v>0.50649999999999995</v>
      </c>
      <c r="AL293" s="39" t="s">
        <v>6908</v>
      </c>
      <c r="AM293" s="42">
        <v>5.0599999999999999E-2</v>
      </c>
      <c r="AN293" s="42">
        <v>0.2172</v>
      </c>
      <c r="AO293" s="41">
        <v>40</v>
      </c>
      <c r="AP293" s="39">
        <v>43</v>
      </c>
      <c r="AQ293" s="39">
        <v>50</v>
      </c>
      <c r="AR293" s="39">
        <v>420</v>
      </c>
      <c r="AS293" s="39">
        <v>29</v>
      </c>
      <c r="AT293" s="39" t="s">
        <v>129</v>
      </c>
      <c r="AU293" s="39">
        <v>15</v>
      </c>
      <c r="AV293" s="39" t="s">
        <v>6496</v>
      </c>
      <c r="AX293" s="39">
        <v>329.42</v>
      </c>
      <c r="AY293" s="39">
        <v>332.13</v>
      </c>
      <c r="AZ293" s="39">
        <v>321.02999999999997</v>
      </c>
      <c r="BA293" s="39">
        <v>318.32</v>
      </c>
      <c r="BB293" s="39">
        <v>315.48</v>
      </c>
      <c r="BC293" s="39">
        <v>6</v>
      </c>
      <c r="BD293" s="39">
        <v>5</v>
      </c>
      <c r="BE293" s="39">
        <v>3</v>
      </c>
      <c r="BF293" s="39" t="s">
        <v>130</v>
      </c>
      <c r="BG293" s="39">
        <v>296.10000000000002</v>
      </c>
      <c r="BH293" s="39">
        <v>0.9</v>
      </c>
      <c r="BI293" s="39" t="s">
        <v>4639</v>
      </c>
      <c r="BJ293" s="39" t="s">
        <v>4563</v>
      </c>
    </row>
    <row r="294" spans="1:62" x14ac:dyDescent="0.35">
      <c r="A294" s="39" t="s">
        <v>485</v>
      </c>
      <c r="B294" s="39" t="str">
        <f>IFERROR(INDEX(added_new_stocks!$F$6:$H$2155,MATCH($A294,added_new_stocks!$F$6:$F$2600,0),3),"")</f>
        <v>Large</v>
      </c>
      <c r="C294" s="39">
        <v>773.9</v>
      </c>
      <c r="D294" s="39">
        <v>60</v>
      </c>
      <c r="G294" s="39" t="s">
        <v>4562</v>
      </c>
      <c r="H294" s="39" t="s">
        <v>5595</v>
      </c>
      <c r="I294" s="39" t="s">
        <v>4624</v>
      </c>
      <c r="J294" s="39" t="s">
        <v>5596</v>
      </c>
      <c r="K294" s="39" t="s">
        <v>4615</v>
      </c>
      <c r="L294" s="39" t="s">
        <v>5008</v>
      </c>
      <c r="N294" s="39">
        <v>7</v>
      </c>
      <c r="O294" s="39">
        <v>0</v>
      </c>
      <c r="P294" s="39">
        <v>7</v>
      </c>
      <c r="Q294" s="39" t="s">
        <v>14</v>
      </c>
      <c r="R294" s="39">
        <v>1.59</v>
      </c>
      <c r="S294" s="39">
        <v>4.33</v>
      </c>
      <c r="T294" s="39">
        <v>8.1300000000000008</v>
      </c>
      <c r="U294" s="39">
        <v>29.12</v>
      </c>
      <c r="V294" s="39">
        <v>37.799999999999997</v>
      </c>
      <c r="W294" s="39">
        <v>72.92</v>
      </c>
      <c r="X294" s="39">
        <v>53.98</v>
      </c>
      <c r="Y294" s="39" t="s">
        <v>4538</v>
      </c>
      <c r="Z294" s="39" t="s">
        <v>4538</v>
      </c>
      <c r="AA294" s="39" t="s">
        <v>4538</v>
      </c>
      <c r="AB294" s="39" t="s">
        <v>4538</v>
      </c>
      <c r="AC294" s="39" t="s">
        <v>4538</v>
      </c>
      <c r="AD294" s="39" t="s">
        <v>4974</v>
      </c>
      <c r="AE294" s="39" t="s">
        <v>134</v>
      </c>
      <c r="AF294" s="39">
        <v>20</v>
      </c>
      <c r="AG294" s="42">
        <v>7.4499999999999997E-2</v>
      </c>
      <c r="AH294" s="39">
        <v>321</v>
      </c>
      <c r="AI294" s="42">
        <v>0.496</v>
      </c>
      <c r="AL294" s="39" t="s">
        <v>5597</v>
      </c>
      <c r="AM294" s="42">
        <v>0.1331</v>
      </c>
      <c r="AN294" s="42">
        <v>6.0600000000000001E-2</v>
      </c>
      <c r="AO294" s="41">
        <v>65</v>
      </c>
      <c r="AP294" s="39">
        <v>38</v>
      </c>
      <c r="AQ294" s="39">
        <v>68</v>
      </c>
      <c r="AS294" s="39" t="s">
        <v>4564</v>
      </c>
      <c r="AZ294" s="39">
        <v>463.08</v>
      </c>
      <c r="BA294" s="39">
        <v>468.67</v>
      </c>
      <c r="BB294" s="39">
        <v>472.33</v>
      </c>
      <c r="BC294" s="39">
        <v>4</v>
      </c>
      <c r="BD294" s="39">
        <v>8</v>
      </c>
      <c r="BE294" s="39" t="s">
        <v>130</v>
      </c>
      <c r="BF294" s="39">
        <v>1.08</v>
      </c>
      <c r="BG294" s="39">
        <v>9</v>
      </c>
      <c r="BH294" s="39">
        <v>256.10000000000002</v>
      </c>
      <c r="BI294" s="39" t="s">
        <v>131</v>
      </c>
      <c r="BJ294" s="39" t="s">
        <v>131</v>
      </c>
    </row>
    <row r="295" spans="1:62" x14ac:dyDescent="0.35">
      <c r="A295" s="39" t="s">
        <v>380</v>
      </c>
      <c r="B295" s="39" t="str">
        <f>IFERROR(INDEX(added_new_stocks!$F$6:$H$2155,MATCH($A295,added_new_stocks!$F$6:$F$2600,0),3),"")</f>
        <v>Large</v>
      </c>
      <c r="C295" s="48">
        <v>5043.2</v>
      </c>
      <c r="D295" s="39">
        <v>78</v>
      </c>
      <c r="E295" s="39" t="s">
        <v>4987</v>
      </c>
      <c r="F295" s="39" t="s">
        <v>7553</v>
      </c>
      <c r="G295" s="39" t="s">
        <v>129</v>
      </c>
      <c r="H295" s="39" t="s">
        <v>7554</v>
      </c>
      <c r="I295" s="39" t="s">
        <v>4624</v>
      </c>
      <c r="J295" s="39" t="s">
        <v>7555</v>
      </c>
      <c r="K295" s="39" t="s">
        <v>4957</v>
      </c>
      <c r="L295" s="39" t="s">
        <v>7556</v>
      </c>
      <c r="M295" s="39" t="s">
        <v>4959</v>
      </c>
      <c r="N295" s="39">
        <v>16</v>
      </c>
      <c r="O295" s="39">
        <v>0</v>
      </c>
      <c r="P295" s="39">
        <v>16</v>
      </c>
      <c r="Q295" s="39" t="s">
        <v>14</v>
      </c>
      <c r="R295" s="39">
        <v>0.43</v>
      </c>
      <c r="S295" s="39">
        <v>-1.74</v>
      </c>
      <c r="T295" s="39">
        <v>6.24</v>
      </c>
      <c r="U295" s="39">
        <v>44.75</v>
      </c>
      <c r="V295" s="39">
        <v>64.650000000000006</v>
      </c>
      <c r="W295" s="39">
        <v>96.19</v>
      </c>
      <c r="X295" s="39">
        <v>104.28</v>
      </c>
      <c r="Y295" s="39">
        <v>147.69999999999999</v>
      </c>
      <c r="Z295" s="39">
        <v>460.36</v>
      </c>
      <c r="AA295" s="39">
        <v>719.17</v>
      </c>
      <c r="AB295" s="39" t="s">
        <v>4538</v>
      </c>
      <c r="AC295" s="39" t="s">
        <v>4538</v>
      </c>
      <c r="AD295" s="39" t="s">
        <v>4606</v>
      </c>
      <c r="AE295" s="39" t="s">
        <v>134</v>
      </c>
      <c r="AF295" s="39">
        <v>25</v>
      </c>
      <c r="AG295" s="42">
        <v>7.0300000000000001E-2</v>
      </c>
      <c r="AH295" s="39">
        <v>332</v>
      </c>
      <c r="AI295" s="42">
        <v>9.64E-2</v>
      </c>
      <c r="AJ295" s="39" t="s">
        <v>7557</v>
      </c>
      <c r="AK295" s="42">
        <v>0.126</v>
      </c>
      <c r="AL295" s="39" t="s">
        <v>7558</v>
      </c>
      <c r="AM295" s="42">
        <v>3.1699999999999999E-2</v>
      </c>
      <c r="AN295" s="42">
        <v>0.12759999999999999</v>
      </c>
      <c r="AO295" s="41">
        <v>30</v>
      </c>
      <c r="AP295" s="39">
        <v>5</v>
      </c>
      <c r="AQ295" s="39">
        <v>73</v>
      </c>
      <c r="AR295" s="39">
        <v>837</v>
      </c>
      <c r="AS295" s="39">
        <v>9</v>
      </c>
      <c r="AT295" s="39" t="s">
        <v>4562</v>
      </c>
      <c r="AU295" s="39">
        <v>14</v>
      </c>
      <c r="AV295" s="39" t="s">
        <v>6497</v>
      </c>
      <c r="AY295" s="39">
        <v>775.97</v>
      </c>
      <c r="AZ295" s="39">
        <v>766.87</v>
      </c>
      <c r="BA295" s="39">
        <v>753.58</v>
      </c>
      <c r="BB295" s="39">
        <v>748.67</v>
      </c>
      <c r="BC295" s="39">
        <v>9</v>
      </c>
      <c r="BD295" s="39" t="s">
        <v>130</v>
      </c>
      <c r="BE295" s="39">
        <v>3.17</v>
      </c>
      <c r="BF295" s="39">
        <v>1.51</v>
      </c>
      <c r="BG295" s="39">
        <v>3</v>
      </c>
      <c r="BH295" s="39">
        <v>5</v>
      </c>
      <c r="BI295" s="39" t="s">
        <v>4563</v>
      </c>
      <c r="BJ295" s="39" t="s">
        <v>4563</v>
      </c>
    </row>
    <row r="296" spans="1:62" x14ac:dyDescent="0.35">
      <c r="A296" s="39" t="s">
        <v>1242</v>
      </c>
      <c r="B296" s="39" t="str">
        <f>IFERROR(INDEX(added_new_stocks!$F$6:$H$2155,MATCH($A296,added_new_stocks!$F$6:$F$2600,0),3),"")</f>
        <v>Small</v>
      </c>
      <c r="C296" s="48">
        <v>1216.95</v>
      </c>
      <c r="D296" s="39">
        <v>20</v>
      </c>
      <c r="G296" s="39" t="s">
        <v>4963</v>
      </c>
      <c r="H296" s="39" t="s">
        <v>7559</v>
      </c>
      <c r="I296" s="39" t="s">
        <v>5677</v>
      </c>
      <c r="J296" s="39" t="s">
        <v>7560</v>
      </c>
      <c r="K296" s="39" t="s">
        <v>4615</v>
      </c>
      <c r="L296" s="39" t="s">
        <v>7561</v>
      </c>
      <c r="M296" s="39" t="s">
        <v>4620</v>
      </c>
      <c r="N296" s="39">
        <v>1</v>
      </c>
      <c r="O296" s="39">
        <v>-22</v>
      </c>
      <c r="P296" s="39">
        <v>-21</v>
      </c>
      <c r="Q296" s="39" t="s">
        <v>5026</v>
      </c>
      <c r="R296" s="39">
        <v>8.3000000000000007</v>
      </c>
      <c r="S296" s="39">
        <v>8.64</v>
      </c>
      <c r="T296" s="39">
        <v>-0.96</v>
      </c>
      <c r="U296" s="39">
        <v>-11.04</v>
      </c>
      <c r="V296" s="39">
        <v>-12.12</v>
      </c>
      <c r="W296" s="39">
        <v>-23.57</v>
      </c>
      <c r="X296" s="39">
        <v>-43.56</v>
      </c>
      <c r="Y296" s="39">
        <v>-18.13</v>
      </c>
      <c r="Z296" s="39">
        <v>65.38</v>
      </c>
      <c r="AA296" s="39">
        <v>173.53</v>
      </c>
      <c r="AB296" s="39">
        <v>118.5</v>
      </c>
      <c r="AC296" s="39">
        <v>985.11</v>
      </c>
      <c r="AD296" s="39" t="s">
        <v>4606</v>
      </c>
      <c r="AE296" s="39" t="s">
        <v>134</v>
      </c>
      <c r="AF296" s="39">
        <v>6</v>
      </c>
      <c r="AG296" s="42">
        <v>2.1499999999999998E-2</v>
      </c>
      <c r="AH296" s="39">
        <v>124</v>
      </c>
      <c r="AI296" s="42">
        <v>0.1084</v>
      </c>
      <c r="AJ296" s="39" t="s">
        <v>7562</v>
      </c>
      <c r="AK296" s="42">
        <v>0.24279999999999999</v>
      </c>
      <c r="AL296" s="39" t="s">
        <v>7563</v>
      </c>
      <c r="AM296" s="42">
        <v>2.12E-2</v>
      </c>
      <c r="AO296" s="41">
        <v>60</v>
      </c>
      <c r="AP296" s="39">
        <v>18</v>
      </c>
      <c r="AQ296" s="39">
        <v>64</v>
      </c>
      <c r="AR296" s="45">
        <v>4697</v>
      </c>
      <c r="AS296" s="39">
        <v>-7</v>
      </c>
      <c r="AT296" s="39" t="s">
        <v>4562</v>
      </c>
      <c r="AU296" s="39">
        <v>27</v>
      </c>
      <c r="AV296" s="39" t="s">
        <v>6498</v>
      </c>
      <c r="AW296" s="39">
        <v>5095.43</v>
      </c>
      <c r="AX296" s="39">
        <v>5170.32</v>
      </c>
      <c r="AY296" s="39">
        <v>5214.03</v>
      </c>
      <c r="AZ296" s="39">
        <v>4976.83</v>
      </c>
      <c r="BA296" s="39">
        <v>4933.12</v>
      </c>
      <c r="BB296" s="39">
        <v>4858.2299999999996</v>
      </c>
      <c r="BC296" s="39">
        <v>11</v>
      </c>
      <c r="BD296" s="39">
        <v>3</v>
      </c>
      <c r="BE296" s="39">
        <v>5</v>
      </c>
      <c r="BF296" s="39" t="s">
        <v>130</v>
      </c>
      <c r="BG296" s="39">
        <v>983.9</v>
      </c>
      <c r="BH296" s="39">
        <v>0.2</v>
      </c>
      <c r="BI296" s="39" t="s">
        <v>131</v>
      </c>
      <c r="BJ296" s="39" t="s">
        <v>132</v>
      </c>
    </row>
    <row r="297" spans="1:62" x14ac:dyDescent="0.35">
      <c r="A297" s="39" t="s">
        <v>543</v>
      </c>
      <c r="B297" s="39" t="str">
        <f>IFERROR(INDEX(added_new_stocks!$F$6:$H$2155,MATCH($A297,added_new_stocks!$F$6:$F$2600,0),3),"")</f>
        <v>Large</v>
      </c>
      <c r="C297" s="39">
        <v>404.3</v>
      </c>
      <c r="D297" s="39">
        <v>70</v>
      </c>
      <c r="G297" s="39" t="s">
        <v>129</v>
      </c>
      <c r="H297" s="39" t="s">
        <v>5598</v>
      </c>
      <c r="I297" s="39" t="s">
        <v>4624</v>
      </c>
      <c r="J297" s="39" t="s">
        <v>5599</v>
      </c>
      <c r="K297" s="39" t="s">
        <v>4615</v>
      </c>
      <c r="L297" s="39" t="s">
        <v>7564</v>
      </c>
      <c r="M297" s="39" t="s">
        <v>4959</v>
      </c>
      <c r="N297" s="39">
        <v>23</v>
      </c>
      <c r="O297" s="39">
        <v>-3</v>
      </c>
      <c r="P297" s="39">
        <v>20</v>
      </c>
      <c r="Q297" s="39" t="s">
        <v>5060</v>
      </c>
      <c r="R297" s="39">
        <v>-1.49</v>
      </c>
      <c r="S297" s="39">
        <v>-7.07</v>
      </c>
      <c r="T297" s="39">
        <v>6</v>
      </c>
      <c r="U297" s="39">
        <v>19.02</v>
      </c>
      <c r="V297" s="39">
        <v>40.04</v>
      </c>
      <c r="W297" s="39">
        <v>31.18</v>
      </c>
      <c r="X297" s="39">
        <v>31.69</v>
      </c>
      <c r="Y297" s="39">
        <v>126.12</v>
      </c>
      <c r="Z297" s="39">
        <v>888.51</v>
      </c>
      <c r="AA297" s="39">
        <v>520.09</v>
      </c>
      <c r="AB297" s="39">
        <v>168.37</v>
      </c>
      <c r="AC297" s="39">
        <v>478.4</v>
      </c>
      <c r="AD297" s="39" t="s">
        <v>4606</v>
      </c>
      <c r="AE297" s="39" t="s">
        <v>134</v>
      </c>
      <c r="AF297" s="39">
        <v>14</v>
      </c>
      <c r="AG297" s="42">
        <v>6.13E-2</v>
      </c>
      <c r="AH297" s="39">
        <v>93</v>
      </c>
      <c r="AI297" s="42">
        <v>7.1800000000000003E-2</v>
      </c>
      <c r="AJ297" s="39" t="s">
        <v>5601</v>
      </c>
      <c r="AK297" s="42">
        <v>0.62119999999999997</v>
      </c>
      <c r="AL297" s="39" t="s">
        <v>5159</v>
      </c>
      <c r="AM297" s="42">
        <v>2.47E-2</v>
      </c>
      <c r="AN297" s="42">
        <v>0.15190000000000001</v>
      </c>
      <c r="AO297" s="41">
        <v>55</v>
      </c>
      <c r="AP297" s="39">
        <v>65</v>
      </c>
      <c r="AQ297" s="39">
        <v>30</v>
      </c>
      <c r="AR297" s="45">
        <v>1570</v>
      </c>
      <c r="AS297" s="39">
        <v>31</v>
      </c>
      <c r="AT297" s="39" t="s">
        <v>4562</v>
      </c>
      <c r="AU297" s="39">
        <v>1</v>
      </c>
      <c r="AV297" s="39" t="s">
        <v>6499</v>
      </c>
      <c r="AZ297" s="39">
        <v>1130.6500000000001</v>
      </c>
      <c r="BA297" s="39">
        <v>1138.2</v>
      </c>
      <c r="BB297" s="39">
        <v>1150.7</v>
      </c>
      <c r="BC297" s="39">
        <v>11</v>
      </c>
      <c r="BD297" s="39">
        <v>5</v>
      </c>
      <c r="BE297" s="39" t="s">
        <v>130</v>
      </c>
      <c r="BF297" s="39">
        <v>1.1399999999999999</v>
      </c>
      <c r="BG297" s="39">
        <v>3</v>
      </c>
      <c r="BH297" s="48">
        <v>1430.4</v>
      </c>
      <c r="BI297" s="39" t="s">
        <v>4563</v>
      </c>
      <c r="BJ297" s="39" t="s">
        <v>4651</v>
      </c>
    </row>
    <row r="298" spans="1:62" x14ac:dyDescent="0.35">
      <c r="A298" s="39" t="s">
        <v>230</v>
      </c>
      <c r="B298" s="39" t="str">
        <f>IFERROR(INDEX(added_new_stocks!$F$6:$H$2155,MATCH($A298,added_new_stocks!$F$6:$F$2600,0),3),"")</f>
        <v>Large</v>
      </c>
      <c r="C298" s="39">
        <v>247.15</v>
      </c>
      <c r="D298" s="39">
        <v>60</v>
      </c>
      <c r="G298" s="39" t="s">
        <v>4562</v>
      </c>
      <c r="H298" s="39" t="s">
        <v>5602</v>
      </c>
      <c r="I298" s="39" t="s">
        <v>4989</v>
      </c>
      <c r="J298" s="39" t="s">
        <v>5603</v>
      </c>
      <c r="K298" s="39" t="s">
        <v>133</v>
      </c>
      <c r="L298" s="39" t="s">
        <v>5604</v>
      </c>
      <c r="M298" s="39" t="s">
        <v>4620</v>
      </c>
      <c r="N298" s="39">
        <v>6</v>
      </c>
      <c r="O298" s="39">
        <v>-4</v>
      </c>
      <c r="P298" s="39">
        <v>2</v>
      </c>
      <c r="Q298" s="39" t="s">
        <v>4611</v>
      </c>
      <c r="R298" s="39">
        <v>-1.59</v>
      </c>
      <c r="S298" s="39">
        <v>-0.98</v>
      </c>
      <c r="T298" s="39">
        <v>-4.3</v>
      </c>
      <c r="U298" s="39">
        <v>5.13</v>
      </c>
      <c r="V298" s="39">
        <v>12.24</v>
      </c>
      <c r="W298" s="39">
        <v>15.57</v>
      </c>
      <c r="X298" s="39">
        <v>7.64</v>
      </c>
      <c r="Y298" s="39">
        <v>40.79</v>
      </c>
      <c r="Z298" s="39">
        <v>80.760000000000005</v>
      </c>
      <c r="AA298" s="39">
        <v>64.31</v>
      </c>
      <c r="AB298" s="39">
        <v>68.17</v>
      </c>
      <c r="AC298" s="39">
        <v>238.68</v>
      </c>
      <c r="AD298" s="39" t="s">
        <v>4606</v>
      </c>
      <c r="AE298" s="39" t="s">
        <v>134</v>
      </c>
      <c r="AF298" s="39">
        <v>34</v>
      </c>
      <c r="AG298" s="42">
        <v>8.7400000000000005E-2</v>
      </c>
      <c r="AH298" s="39">
        <v>1154</v>
      </c>
      <c r="AI298" s="42">
        <v>0.33129999999999998</v>
      </c>
      <c r="AJ298" s="39" t="s">
        <v>5061</v>
      </c>
      <c r="AK298" s="42">
        <v>0.49399999999999999</v>
      </c>
      <c r="AL298" s="39" t="s">
        <v>5605</v>
      </c>
      <c r="AM298" s="42">
        <v>2.6200000000000001E-2</v>
      </c>
      <c r="AN298" s="42">
        <v>2.5499999999999998E-2</v>
      </c>
      <c r="AO298" s="41">
        <v>55</v>
      </c>
      <c r="AP298" s="39">
        <v>21</v>
      </c>
      <c r="AQ298" s="39">
        <v>64</v>
      </c>
      <c r="AR298" s="39">
        <v>434</v>
      </c>
      <c r="AS298" s="39">
        <v>7</v>
      </c>
      <c r="AT298" s="39" t="s">
        <v>4633</v>
      </c>
      <c r="AU298" s="39">
        <v>6</v>
      </c>
      <c r="AV298" s="39" t="s">
        <v>6500</v>
      </c>
      <c r="AW298" s="39">
        <v>420.32</v>
      </c>
      <c r="AX298" s="39">
        <v>430.03</v>
      </c>
      <c r="AY298" s="39">
        <v>435.62</v>
      </c>
      <c r="AZ298" s="39">
        <v>405.02</v>
      </c>
      <c r="BA298" s="39">
        <v>399.43</v>
      </c>
      <c r="BB298" s="39">
        <v>389.72</v>
      </c>
      <c r="BC298" s="39">
        <v>16</v>
      </c>
      <c r="BD298" s="39">
        <v>1</v>
      </c>
      <c r="BE298" s="39">
        <v>4</v>
      </c>
      <c r="BF298" s="39" t="s">
        <v>130</v>
      </c>
      <c r="BG298" s="39">
        <v>142</v>
      </c>
      <c r="BH298" s="39">
        <v>0.3</v>
      </c>
      <c r="BI298" s="39" t="s">
        <v>4563</v>
      </c>
      <c r="BJ298" s="39" t="s">
        <v>132</v>
      </c>
    </row>
    <row r="299" spans="1:62" x14ac:dyDescent="0.35">
      <c r="A299" s="39" t="s">
        <v>630</v>
      </c>
      <c r="B299" s="39" t="str">
        <f>IFERROR(INDEX(added_new_stocks!$F$6:$H$2155,MATCH($A299,added_new_stocks!$F$6:$F$2600,0),3),"")</f>
        <v>Mid</v>
      </c>
      <c r="C299" s="39">
        <v>609.1</v>
      </c>
      <c r="D299" s="39">
        <v>52</v>
      </c>
      <c r="G299" s="39" t="s">
        <v>4562</v>
      </c>
      <c r="H299" s="39" t="s">
        <v>7565</v>
      </c>
      <c r="I299" s="39" t="s">
        <v>4989</v>
      </c>
      <c r="J299" s="39" t="s">
        <v>7566</v>
      </c>
      <c r="K299" s="39" t="s">
        <v>4615</v>
      </c>
      <c r="L299" s="39" t="s">
        <v>7567</v>
      </c>
      <c r="N299" s="39">
        <v>15</v>
      </c>
      <c r="O299" s="39">
        <v>-10</v>
      </c>
      <c r="P299" s="39">
        <v>5</v>
      </c>
      <c r="Q299" s="39" t="s">
        <v>4611</v>
      </c>
      <c r="R299" s="39">
        <v>6.24</v>
      </c>
      <c r="S299" s="39">
        <v>6.81</v>
      </c>
      <c r="T299" s="39">
        <v>3.2</v>
      </c>
      <c r="U299" s="39">
        <v>28.31</v>
      </c>
      <c r="V299" s="39">
        <v>51.46</v>
      </c>
      <c r="W299" s="39">
        <v>31.51</v>
      </c>
      <c r="X299" s="39">
        <v>33.369999999999997</v>
      </c>
      <c r="Y299" s="39">
        <v>75.099999999999994</v>
      </c>
      <c r="Z299" s="39">
        <v>131.33000000000001</v>
      </c>
      <c r="AA299" s="39">
        <v>106.4</v>
      </c>
      <c r="AB299" s="39">
        <v>162.03</v>
      </c>
      <c r="AC299" s="39">
        <v>431.97</v>
      </c>
      <c r="AD299" s="39" t="s">
        <v>4606</v>
      </c>
      <c r="AE299" s="39" t="s">
        <v>134</v>
      </c>
      <c r="AF299" s="39">
        <v>17</v>
      </c>
      <c r="AG299" s="42">
        <v>9.2600000000000002E-2</v>
      </c>
      <c r="AH299" s="39">
        <v>189</v>
      </c>
      <c r="AI299" s="42">
        <v>0.2069</v>
      </c>
      <c r="AJ299" s="39" t="s">
        <v>7568</v>
      </c>
      <c r="AK299" s="39" t="s">
        <v>7569</v>
      </c>
      <c r="AL299" s="39" t="s">
        <v>5401</v>
      </c>
      <c r="AM299" s="42">
        <v>3.8399999999999997E-2</v>
      </c>
      <c r="AN299" s="42">
        <v>1.77E-2</v>
      </c>
      <c r="AO299" s="41">
        <v>65</v>
      </c>
      <c r="AP299" s="39">
        <v>54</v>
      </c>
      <c r="AQ299" s="39">
        <v>58</v>
      </c>
      <c r="AR299" s="39">
        <v>261</v>
      </c>
      <c r="AS299" s="39">
        <v>5</v>
      </c>
      <c r="AT299" s="39" t="s">
        <v>129</v>
      </c>
      <c r="AU299" s="39">
        <v>22</v>
      </c>
      <c r="AV299" s="39" t="s">
        <v>6501</v>
      </c>
      <c r="AW299" s="39">
        <v>253.23</v>
      </c>
      <c r="AX299" s="39">
        <v>255.32</v>
      </c>
      <c r="AY299" s="39">
        <v>257.63</v>
      </c>
      <c r="BA299" s="39">
        <v>246.52</v>
      </c>
      <c r="BB299" s="39">
        <v>244.43</v>
      </c>
      <c r="BC299" s="39">
        <v>3</v>
      </c>
      <c r="BD299" s="39">
        <v>5</v>
      </c>
      <c r="BE299" s="39">
        <v>2</v>
      </c>
      <c r="BF299" s="39" t="s">
        <v>130</v>
      </c>
      <c r="BG299" s="39">
        <v>241.7</v>
      </c>
      <c r="BH299" s="39">
        <v>1</v>
      </c>
      <c r="BI299" s="39" t="s">
        <v>4563</v>
      </c>
      <c r="BJ299" s="39" t="s">
        <v>4563</v>
      </c>
    </row>
    <row r="300" spans="1:62" x14ac:dyDescent="0.35">
      <c r="A300" s="39" t="s">
        <v>1039</v>
      </c>
      <c r="B300" s="39" t="str">
        <f>IFERROR(INDEX(added_new_stocks!$F$6:$H$2155,MATCH($A300,added_new_stocks!$F$6:$F$2600,0),3),"")</f>
        <v>Mid</v>
      </c>
      <c r="C300" s="39">
        <v>126.25</v>
      </c>
      <c r="D300" s="39">
        <v>44</v>
      </c>
      <c r="G300" s="39" t="s">
        <v>4625</v>
      </c>
      <c r="H300" s="39" t="s">
        <v>7570</v>
      </c>
      <c r="I300" s="39" t="s">
        <v>4989</v>
      </c>
      <c r="J300" s="39" t="s">
        <v>7571</v>
      </c>
      <c r="K300" s="39" t="s">
        <v>4603</v>
      </c>
      <c r="L300" s="39" t="s">
        <v>7572</v>
      </c>
      <c r="M300" s="39" t="s">
        <v>4620</v>
      </c>
      <c r="N300" s="39">
        <v>17</v>
      </c>
      <c r="O300" s="39">
        <v>-6</v>
      </c>
      <c r="P300" s="39">
        <v>11</v>
      </c>
      <c r="Q300" s="39" t="s">
        <v>14</v>
      </c>
      <c r="R300" s="39">
        <v>-1.33</v>
      </c>
      <c r="S300" s="39">
        <v>-3.11</v>
      </c>
      <c r="T300" s="39">
        <v>1.57</v>
      </c>
      <c r="U300" s="39">
        <v>3.23</v>
      </c>
      <c r="V300" s="39">
        <v>20.12</v>
      </c>
      <c r="W300" s="39">
        <v>21.16</v>
      </c>
      <c r="X300" s="39">
        <v>0.2</v>
      </c>
      <c r="Y300" s="39">
        <v>0.12</v>
      </c>
      <c r="Z300" s="39">
        <v>122.27</v>
      </c>
      <c r="AA300" s="39">
        <v>42.41</v>
      </c>
      <c r="AB300" s="39">
        <v>9.17</v>
      </c>
      <c r="AC300" s="39">
        <v>438.38</v>
      </c>
      <c r="AD300" s="39" t="s">
        <v>4606</v>
      </c>
      <c r="AE300" s="39" t="s">
        <v>134</v>
      </c>
      <c r="AF300" s="39">
        <v>7</v>
      </c>
      <c r="AG300" s="42">
        <v>4.6399999999999997E-2</v>
      </c>
      <c r="AH300" s="39">
        <v>54</v>
      </c>
      <c r="AI300" s="42">
        <v>3.5900000000000001E-2</v>
      </c>
      <c r="AJ300" s="39" t="s">
        <v>7573</v>
      </c>
      <c r="AK300" s="42">
        <v>0.37719999999999998</v>
      </c>
      <c r="AL300" s="39" t="s">
        <v>7574</v>
      </c>
      <c r="AM300" s="42">
        <v>4.6100000000000002E-2</v>
      </c>
      <c r="AN300" s="42">
        <v>0.1176</v>
      </c>
      <c r="AO300" s="41">
        <v>65</v>
      </c>
      <c r="AP300" s="39">
        <v>43</v>
      </c>
      <c r="AQ300" s="39">
        <v>71</v>
      </c>
      <c r="AR300" s="39">
        <v>665</v>
      </c>
      <c r="AS300" s="39">
        <v>13</v>
      </c>
      <c r="AT300" s="39" t="s">
        <v>129</v>
      </c>
      <c r="AU300" s="39">
        <v>17</v>
      </c>
      <c r="AV300" s="39" t="s">
        <v>6502</v>
      </c>
      <c r="AZ300" s="39">
        <v>577.53</v>
      </c>
      <c r="BA300" s="39">
        <v>582.16999999999996</v>
      </c>
      <c r="BB300" s="39">
        <v>587.28</v>
      </c>
      <c r="BC300" s="39">
        <v>5</v>
      </c>
      <c r="BD300" s="39">
        <v>4</v>
      </c>
      <c r="BE300" s="39">
        <v>8</v>
      </c>
      <c r="BF300" s="39" t="s">
        <v>130</v>
      </c>
      <c r="BG300" s="39">
        <v>379.7</v>
      </c>
      <c r="BH300" s="39">
        <v>0.6</v>
      </c>
      <c r="BI300" s="39" t="s">
        <v>131</v>
      </c>
      <c r="BJ300" s="39" t="s">
        <v>4563</v>
      </c>
    </row>
    <row r="301" spans="1:62" x14ac:dyDescent="0.35">
      <c r="A301" s="39" t="s">
        <v>1275</v>
      </c>
      <c r="B301" s="39" t="str">
        <f>IFERROR(INDEX(added_new_stocks!$F$6:$H$2155,MATCH($A301,added_new_stocks!$F$6:$F$2600,0),3),"")</f>
        <v>Small</v>
      </c>
      <c r="C301" s="39">
        <v>559.95000000000005</v>
      </c>
      <c r="D301" s="39">
        <v>58</v>
      </c>
      <c r="G301" s="39" t="s">
        <v>4562</v>
      </c>
      <c r="H301" s="39" t="s">
        <v>7148</v>
      </c>
      <c r="I301" s="39" t="s">
        <v>4989</v>
      </c>
      <c r="J301" s="39" t="s">
        <v>7149</v>
      </c>
      <c r="K301" s="39" t="s">
        <v>4615</v>
      </c>
      <c r="L301" s="39" t="s">
        <v>7150</v>
      </c>
      <c r="N301" s="39">
        <v>13</v>
      </c>
      <c r="O301" s="39">
        <v>-8</v>
      </c>
      <c r="P301" s="39">
        <v>5</v>
      </c>
      <c r="Q301" s="39" t="s">
        <v>4611</v>
      </c>
      <c r="R301" s="39">
        <v>0.45</v>
      </c>
      <c r="S301" s="39">
        <v>1.96</v>
      </c>
      <c r="T301" s="39">
        <v>-3.47</v>
      </c>
      <c r="U301" s="39">
        <v>19.8</v>
      </c>
      <c r="V301" s="39">
        <v>40.6</v>
      </c>
      <c r="W301" s="39">
        <v>24.13</v>
      </c>
      <c r="X301" s="39">
        <v>-5.69</v>
      </c>
      <c r="Y301" s="39">
        <v>-15.04</v>
      </c>
      <c r="Z301" s="39">
        <v>24.09</v>
      </c>
      <c r="AA301" s="39">
        <v>31.91</v>
      </c>
      <c r="AB301" s="39">
        <v>48.04</v>
      </c>
      <c r="AC301" s="39" t="s">
        <v>4538</v>
      </c>
      <c r="AD301" s="39" t="s">
        <v>4606</v>
      </c>
      <c r="AE301" s="39" t="s">
        <v>134</v>
      </c>
      <c r="AF301" s="39">
        <v>28</v>
      </c>
      <c r="AG301" s="42">
        <v>4.3900000000000002E-2</v>
      </c>
      <c r="AH301" s="39">
        <v>561</v>
      </c>
      <c r="AI301" s="42">
        <v>0.1542</v>
      </c>
      <c r="AJ301" s="39" t="s">
        <v>7146</v>
      </c>
      <c r="AK301" s="42">
        <v>0.51270000000000004</v>
      </c>
      <c r="AL301" s="39" t="s">
        <v>7151</v>
      </c>
      <c r="AM301" s="43">
        <v>0.02</v>
      </c>
      <c r="AN301" s="42">
        <v>2.41E-2</v>
      </c>
      <c r="AO301" s="41">
        <v>50</v>
      </c>
      <c r="AP301" s="39">
        <v>27</v>
      </c>
      <c r="AQ301" s="39">
        <v>59</v>
      </c>
      <c r="AR301" s="39">
        <v>129</v>
      </c>
      <c r="AS301" s="39">
        <v>2</v>
      </c>
      <c r="AT301" s="39" t="s">
        <v>4562</v>
      </c>
      <c r="AU301" s="39">
        <v>5</v>
      </c>
      <c r="AV301" s="39" t="s">
        <v>6503</v>
      </c>
      <c r="AW301" s="39">
        <v>129.33000000000001</v>
      </c>
      <c r="AX301" s="39">
        <v>130.77000000000001</v>
      </c>
      <c r="AY301" s="39">
        <v>131.88</v>
      </c>
      <c r="BA301" s="39">
        <v>125.67</v>
      </c>
      <c r="BB301" s="39">
        <v>124.23</v>
      </c>
      <c r="BC301" s="39">
        <v>2</v>
      </c>
      <c r="BD301" s="39" t="s">
        <v>130</v>
      </c>
      <c r="BE301" s="39">
        <v>0.26</v>
      </c>
      <c r="BF301" s="39">
        <v>0.87</v>
      </c>
      <c r="BG301" s="39">
        <v>5</v>
      </c>
      <c r="BH301" s="39">
        <v>5</v>
      </c>
      <c r="BI301" s="39" t="s">
        <v>4563</v>
      </c>
      <c r="BJ301" s="39" t="s">
        <v>4563</v>
      </c>
    </row>
    <row r="302" spans="1:62" x14ac:dyDescent="0.35">
      <c r="A302" s="39" t="s">
        <v>1984</v>
      </c>
      <c r="B302" s="39" t="str">
        <f>IFERROR(INDEX(added_new_stocks!$F$6:$H$2155,MATCH($A302,added_new_stocks!$F$6:$F$2600,0),3),"")</f>
        <v>Small</v>
      </c>
      <c r="C302" s="48">
        <v>1184.95</v>
      </c>
      <c r="D302" s="39">
        <v>65</v>
      </c>
      <c r="G302" s="39" t="s">
        <v>4562</v>
      </c>
      <c r="H302" s="39" t="s">
        <v>7575</v>
      </c>
      <c r="I302" s="39" t="s">
        <v>4624</v>
      </c>
      <c r="J302" s="39" t="s">
        <v>7576</v>
      </c>
      <c r="K302" s="39" t="s">
        <v>4615</v>
      </c>
      <c r="L302" s="39" t="s">
        <v>7577</v>
      </c>
      <c r="M302" s="39" t="s">
        <v>135</v>
      </c>
      <c r="N302" s="39">
        <v>16</v>
      </c>
      <c r="O302" s="39">
        <v>-12</v>
      </c>
      <c r="P302" s="39">
        <v>4</v>
      </c>
      <c r="Q302" s="39" t="s">
        <v>4611</v>
      </c>
      <c r="R302" s="39">
        <v>-0.22</v>
      </c>
      <c r="S302" s="39">
        <v>-2.0699999999999998</v>
      </c>
      <c r="T302" s="39">
        <v>40.99</v>
      </c>
      <c r="U302" s="39">
        <v>49.6</v>
      </c>
      <c r="V302" s="39">
        <v>33.94</v>
      </c>
      <c r="W302" s="39">
        <v>4.76</v>
      </c>
      <c r="X302" s="39">
        <v>-10.64</v>
      </c>
      <c r="Y302" s="39">
        <v>-34.520000000000003</v>
      </c>
      <c r="Z302" s="39">
        <v>101.18</v>
      </c>
      <c r="AA302" s="39">
        <v>120.89</v>
      </c>
      <c r="AB302" s="39">
        <v>74.66</v>
      </c>
      <c r="AC302" s="39">
        <v>3512.65</v>
      </c>
      <c r="AD302" s="39" t="s">
        <v>5015</v>
      </c>
      <c r="AE302" s="39" t="s">
        <v>134</v>
      </c>
      <c r="AF302" s="39">
        <v>3</v>
      </c>
      <c r="AG302" s="42">
        <v>1E-4</v>
      </c>
      <c r="AH302" s="39">
        <v>4</v>
      </c>
      <c r="AI302" s="42">
        <v>2.9700000000000001E-2</v>
      </c>
      <c r="AJ302" s="39" t="s">
        <v>7578</v>
      </c>
      <c r="AK302" s="42">
        <v>0.3276</v>
      </c>
      <c r="AL302" s="39" t="s">
        <v>7579</v>
      </c>
      <c r="AM302" s="42">
        <v>0.2447</v>
      </c>
      <c r="AN302" s="42">
        <v>0.2031</v>
      </c>
      <c r="AO302" s="41">
        <v>75</v>
      </c>
      <c r="AP302" s="39">
        <v>20</v>
      </c>
      <c r="AQ302" s="39">
        <v>63</v>
      </c>
      <c r="AR302" s="45">
        <v>1211</v>
      </c>
      <c r="AS302" s="39">
        <v>2</v>
      </c>
      <c r="AT302" s="39" t="s">
        <v>129</v>
      </c>
      <c r="AU302" s="39">
        <v>2</v>
      </c>
      <c r="AV302" s="39" t="s">
        <v>6504</v>
      </c>
      <c r="AW302" s="39">
        <v>1204.55</v>
      </c>
      <c r="AX302" s="39">
        <v>1235.25</v>
      </c>
      <c r="AY302" s="39">
        <v>1256.5</v>
      </c>
      <c r="AZ302" s="39">
        <v>1152.5999999999999</v>
      </c>
      <c r="BA302" s="39">
        <v>1131.3499999999999</v>
      </c>
      <c r="BB302" s="39">
        <v>1100.6500000000001</v>
      </c>
      <c r="BC302" s="39">
        <v>10</v>
      </c>
      <c r="BD302" s="39">
        <v>2</v>
      </c>
      <c r="BE302" s="39">
        <v>6</v>
      </c>
      <c r="BF302" s="39" t="s">
        <v>130</v>
      </c>
      <c r="BG302" s="39">
        <v>240</v>
      </c>
      <c r="BH302" s="39">
        <v>0.2</v>
      </c>
      <c r="BI302" s="39" t="s">
        <v>4565</v>
      </c>
      <c r="BJ302" s="39" t="s">
        <v>132</v>
      </c>
    </row>
    <row r="303" spans="1:62" x14ac:dyDescent="0.35">
      <c r="A303" s="39" t="s">
        <v>661</v>
      </c>
      <c r="B303" s="39" t="str">
        <f>IFERROR(INDEX(added_new_stocks!$F$6:$H$2155,MATCH($A303,added_new_stocks!$F$6:$F$2600,0),3),"")</f>
        <v>Mid</v>
      </c>
      <c r="C303" s="48">
        <v>1777</v>
      </c>
      <c r="D303" s="39">
        <v>44</v>
      </c>
      <c r="G303" s="39" t="s">
        <v>4625</v>
      </c>
      <c r="H303" s="39" t="s">
        <v>7580</v>
      </c>
      <c r="I303" s="39" t="s">
        <v>4989</v>
      </c>
      <c r="J303" s="39" t="s">
        <v>7581</v>
      </c>
      <c r="K303" s="39" t="s">
        <v>4603</v>
      </c>
      <c r="L303" s="39" t="s">
        <v>5437</v>
      </c>
      <c r="M303" s="39" t="s">
        <v>5047</v>
      </c>
      <c r="N303" s="39">
        <v>11</v>
      </c>
      <c r="O303" s="39">
        <v>-11</v>
      </c>
      <c r="P303" s="39">
        <v>0</v>
      </c>
      <c r="Q303" s="39" t="s">
        <v>4611</v>
      </c>
      <c r="R303" s="39">
        <v>1.54</v>
      </c>
      <c r="S303" s="39">
        <v>4.03</v>
      </c>
      <c r="T303" s="39">
        <v>16.22</v>
      </c>
      <c r="U303" s="39">
        <v>25.51</v>
      </c>
      <c r="V303" s="39">
        <v>15.22</v>
      </c>
      <c r="W303" s="39">
        <v>3.3</v>
      </c>
      <c r="X303" s="39">
        <v>-2.9</v>
      </c>
      <c r="Y303" s="39">
        <v>33.130000000000003</v>
      </c>
      <c r="Z303" s="39">
        <v>22.93</v>
      </c>
      <c r="AA303" s="39">
        <v>16.27</v>
      </c>
      <c r="AB303" s="39">
        <v>29.77</v>
      </c>
      <c r="AC303" s="39">
        <v>353.95</v>
      </c>
      <c r="AD303" s="39" t="s">
        <v>5220</v>
      </c>
      <c r="AE303" s="39">
        <v>4.21</v>
      </c>
      <c r="AF303" s="39">
        <v>24</v>
      </c>
      <c r="AG303" s="42">
        <v>0.28270000000000001</v>
      </c>
      <c r="AH303" s="39">
        <v>200</v>
      </c>
      <c r="AI303" s="42">
        <v>0.26840000000000003</v>
      </c>
      <c r="AJ303" s="39" t="s">
        <v>5618</v>
      </c>
      <c r="AK303" s="42">
        <v>0.16159999999999999</v>
      </c>
      <c r="AL303" s="39" t="s">
        <v>5619</v>
      </c>
      <c r="AM303" s="42">
        <v>8.6499999999999994E-2</v>
      </c>
      <c r="AN303" s="42">
        <v>9.11E-2</v>
      </c>
      <c r="AO303" s="41">
        <v>60</v>
      </c>
      <c r="AP303" s="39">
        <v>35</v>
      </c>
      <c r="AQ303" s="39">
        <v>66</v>
      </c>
      <c r="AS303" s="39" t="s">
        <v>4564</v>
      </c>
      <c r="AW303" s="39">
        <v>1206.2</v>
      </c>
      <c r="AX303" s="39">
        <v>1220.1500000000001</v>
      </c>
      <c r="AY303" s="39">
        <v>1235.75</v>
      </c>
      <c r="AZ303" s="39">
        <v>1176.6500000000001</v>
      </c>
      <c r="BA303" s="39">
        <v>1161.05</v>
      </c>
      <c r="BB303" s="39">
        <v>1147.0999999999999</v>
      </c>
      <c r="BC303" s="39">
        <v>1</v>
      </c>
      <c r="BD303" s="39">
        <v>4</v>
      </c>
      <c r="BE303" s="39" t="s">
        <v>130</v>
      </c>
      <c r="BF303" s="39">
        <v>3.8</v>
      </c>
      <c r="BG303" s="39">
        <v>8</v>
      </c>
      <c r="BH303" s="39">
        <v>513.20000000000005</v>
      </c>
      <c r="BI303" s="39" t="s">
        <v>4565</v>
      </c>
      <c r="BJ303" s="39" t="s">
        <v>4565</v>
      </c>
    </row>
    <row r="304" spans="1:62" x14ac:dyDescent="0.35">
      <c r="A304" s="39" t="s">
        <v>634</v>
      </c>
      <c r="B304" s="39" t="str">
        <f>IFERROR(INDEX(added_new_stocks!$F$6:$H$2155,MATCH($A304,added_new_stocks!$F$6:$F$2600,0),3),"")</f>
        <v>Mid</v>
      </c>
      <c r="C304" s="48">
        <v>1257.25</v>
      </c>
      <c r="D304" s="39">
        <v>64</v>
      </c>
      <c r="G304" s="39" t="s">
        <v>4562</v>
      </c>
      <c r="H304" s="39" t="s">
        <v>7582</v>
      </c>
      <c r="I304" s="39" t="s">
        <v>4989</v>
      </c>
      <c r="J304" s="39" t="s">
        <v>7583</v>
      </c>
      <c r="K304" s="39" t="s">
        <v>133</v>
      </c>
      <c r="L304" s="39" t="s">
        <v>7584</v>
      </c>
      <c r="M304" s="39" t="s">
        <v>4959</v>
      </c>
      <c r="N304" s="39">
        <v>11</v>
      </c>
      <c r="O304" s="39">
        <v>-5</v>
      </c>
      <c r="P304" s="39">
        <v>6</v>
      </c>
      <c r="Q304" s="39" t="s">
        <v>14</v>
      </c>
      <c r="R304" s="39">
        <v>0.38</v>
      </c>
      <c r="S304" s="39">
        <v>3.03</v>
      </c>
      <c r="T304" s="39">
        <v>-9.4600000000000009</v>
      </c>
      <c r="U304" s="39">
        <v>7.57</v>
      </c>
      <c r="V304" s="39">
        <v>5.74</v>
      </c>
      <c r="W304" s="39">
        <v>23.99</v>
      </c>
      <c r="X304" s="39">
        <v>20.09</v>
      </c>
      <c r="Y304" s="39">
        <v>42.5</v>
      </c>
      <c r="Z304" s="39">
        <v>204.97</v>
      </c>
      <c r="AA304" s="39">
        <v>307.07</v>
      </c>
      <c r="AB304" s="39">
        <v>159.22999999999999</v>
      </c>
      <c r="AC304" s="39">
        <v>942.5</v>
      </c>
      <c r="AD304" s="39" t="s">
        <v>4606</v>
      </c>
      <c r="AE304" s="39" t="s">
        <v>134</v>
      </c>
      <c r="AF304" s="39">
        <v>25</v>
      </c>
      <c r="AG304" s="42">
        <v>0.18099999999999999</v>
      </c>
      <c r="AH304" s="39">
        <v>142</v>
      </c>
      <c r="AI304" s="42">
        <v>0.18260000000000001</v>
      </c>
      <c r="AJ304" s="39" t="s">
        <v>7585</v>
      </c>
      <c r="AK304" s="42">
        <v>0.33950000000000002</v>
      </c>
      <c r="AL304" s="39" t="s">
        <v>7586</v>
      </c>
      <c r="AM304" s="42">
        <v>4.2000000000000003E-2</v>
      </c>
      <c r="AN304" s="42">
        <v>0.1215</v>
      </c>
      <c r="AO304" s="41">
        <v>45</v>
      </c>
      <c r="AP304" s="39">
        <v>14</v>
      </c>
      <c r="AQ304" s="39">
        <v>47</v>
      </c>
      <c r="AR304" s="45">
        <v>1844</v>
      </c>
      <c r="AS304" s="39">
        <v>3</v>
      </c>
      <c r="AT304" s="39" t="s">
        <v>129</v>
      </c>
      <c r="AU304" s="39">
        <v>24</v>
      </c>
      <c r="AV304" s="39" t="s">
        <v>6505</v>
      </c>
      <c r="AZ304" s="39">
        <v>1760.82</v>
      </c>
      <c r="BA304" s="39">
        <v>1771.58</v>
      </c>
      <c r="BB304" s="39">
        <v>1716.12</v>
      </c>
      <c r="BC304" s="39">
        <v>5</v>
      </c>
      <c r="BD304" s="39">
        <v>1</v>
      </c>
      <c r="BE304" s="39">
        <v>0.9</v>
      </c>
      <c r="BF304" s="39">
        <v>-0.11</v>
      </c>
      <c r="BG304" s="39">
        <v>4</v>
      </c>
      <c r="BH304" s="39">
        <v>10</v>
      </c>
      <c r="BI304" s="39" t="s">
        <v>4563</v>
      </c>
      <c r="BJ304" s="39" t="s">
        <v>4563</v>
      </c>
    </row>
    <row r="305" spans="1:62" x14ac:dyDescent="0.35">
      <c r="A305" s="39" t="s">
        <v>903</v>
      </c>
      <c r="B305" s="39" t="str">
        <f>IFERROR(INDEX(added_new_stocks!$F$6:$H$2155,MATCH($A305,added_new_stocks!$F$6:$F$2600,0),3),"")</f>
        <v>Mid</v>
      </c>
      <c r="C305" s="48">
        <v>1042.4000000000001</v>
      </c>
      <c r="D305" s="39">
        <v>64</v>
      </c>
      <c r="G305" s="39" t="s">
        <v>4562</v>
      </c>
      <c r="H305" s="39" t="s">
        <v>7587</v>
      </c>
      <c r="I305" s="39" t="s">
        <v>4989</v>
      </c>
      <c r="J305" s="39" t="s">
        <v>7588</v>
      </c>
      <c r="K305" s="39" t="s">
        <v>133</v>
      </c>
      <c r="L305" s="39" t="s">
        <v>4998</v>
      </c>
      <c r="M305" s="39" t="s">
        <v>4959</v>
      </c>
      <c r="N305" s="39">
        <v>14</v>
      </c>
      <c r="O305" s="39">
        <v>-6</v>
      </c>
      <c r="P305" s="39">
        <v>8</v>
      </c>
      <c r="Q305" s="39" t="s">
        <v>14</v>
      </c>
      <c r="R305" s="39">
        <v>1.0900000000000001</v>
      </c>
      <c r="S305" s="39">
        <v>-7.54</v>
      </c>
      <c r="T305" s="39">
        <v>-4.4800000000000004</v>
      </c>
      <c r="U305" s="39">
        <v>8.35</v>
      </c>
      <c r="V305" s="39">
        <v>42.88</v>
      </c>
      <c r="W305" s="39">
        <v>40.840000000000003</v>
      </c>
      <c r="X305" s="39">
        <v>71.040000000000006</v>
      </c>
      <c r="Y305" s="39" t="s">
        <v>4538</v>
      </c>
      <c r="Z305" s="39" t="s">
        <v>4538</v>
      </c>
      <c r="AA305" s="39" t="s">
        <v>4538</v>
      </c>
      <c r="AB305" s="39" t="s">
        <v>4538</v>
      </c>
      <c r="AC305" s="39" t="s">
        <v>4538</v>
      </c>
      <c r="AD305" s="39" t="s">
        <v>4606</v>
      </c>
      <c r="AE305" s="39" t="s">
        <v>134</v>
      </c>
      <c r="AF305" s="39">
        <v>17</v>
      </c>
      <c r="AG305" s="42">
        <v>9.9099999999999994E-2</v>
      </c>
      <c r="AH305" s="39">
        <v>128</v>
      </c>
      <c r="AI305" s="42">
        <v>0.2019</v>
      </c>
      <c r="AJ305" s="39" t="s">
        <v>7589</v>
      </c>
      <c r="AK305" s="42">
        <v>0.31030000000000002</v>
      </c>
      <c r="AL305" s="39" t="s">
        <v>5669</v>
      </c>
      <c r="AM305" s="42">
        <v>3.0499999999999999E-2</v>
      </c>
      <c r="AN305" s="42">
        <v>0.1305</v>
      </c>
      <c r="AO305" s="41">
        <v>50</v>
      </c>
      <c r="AP305" s="39">
        <v>14</v>
      </c>
      <c r="AQ305" s="39">
        <v>51</v>
      </c>
      <c r="AR305" s="45">
        <v>1383</v>
      </c>
      <c r="AS305" s="39">
        <v>10</v>
      </c>
      <c r="AT305" s="39" t="s">
        <v>4562</v>
      </c>
      <c r="AU305" s="39">
        <v>6</v>
      </c>
      <c r="AV305" s="39" t="s">
        <v>6506</v>
      </c>
      <c r="AW305" s="39">
        <v>1265.47</v>
      </c>
      <c r="AX305" s="39">
        <v>1280.73</v>
      </c>
      <c r="AY305" s="39">
        <v>1292.47</v>
      </c>
      <c r="AZ305" s="39">
        <v>1238.47</v>
      </c>
      <c r="BA305" s="39">
        <v>1226.73</v>
      </c>
      <c r="BB305" s="39">
        <v>1211.47</v>
      </c>
      <c r="BC305" s="39">
        <v>5</v>
      </c>
      <c r="BD305" s="39">
        <v>6</v>
      </c>
      <c r="BE305" s="39">
        <v>1</v>
      </c>
      <c r="BF305" s="39" t="s">
        <v>130</v>
      </c>
      <c r="BG305" s="39">
        <v>251</v>
      </c>
      <c r="BH305" s="39">
        <v>0.2</v>
      </c>
      <c r="BI305" s="39" t="s">
        <v>4563</v>
      </c>
      <c r="BJ305" s="39" t="s">
        <v>132</v>
      </c>
    </row>
    <row r="306" spans="1:62" x14ac:dyDescent="0.35">
      <c r="A306" s="39" t="s">
        <v>1218</v>
      </c>
      <c r="B306" s="39" t="str">
        <f>IFERROR(INDEX(added_new_stocks!$F$6:$H$2155,MATCH($A306,added_new_stocks!$F$6:$F$2600,0),3),"")</f>
        <v>Small</v>
      </c>
      <c r="C306" s="39">
        <v>235.35</v>
      </c>
      <c r="D306" s="39">
        <v>67</v>
      </c>
      <c r="G306" s="39" t="s">
        <v>4562</v>
      </c>
      <c r="H306" s="39" t="s">
        <v>7590</v>
      </c>
      <c r="I306" s="39" t="s">
        <v>4624</v>
      </c>
      <c r="J306" s="39" t="s">
        <v>7591</v>
      </c>
      <c r="K306" s="39" t="s">
        <v>133</v>
      </c>
      <c r="L306" s="39" t="s">
        <v>7592</v>
      </c>
      <c r="M306" s="39" t="s">
        <v>4955</v>
      </c>
      <c r="N306" s="39">
        <v>4</v>
      </c>
      <c r="O306" s="39">
        <v>-10</v>
      </c>
      <c r="P306" s="39">
        <v>-6</v>
      </c>
      <c r="Q306" s="39" t="s">
        <v>4605</v>
      </c>
      <c r="R306" s="39">
        <v>0.84</v>
      </c>
      <c r="S306" s="39">
        <v>8.08</v>
      </c>
      <c r="T306" s="39">
        <v>7.61</v>
      </c>
      <c r="U306" s="39">
        <v>23.28</v>
      </c>
      <c r="V306" s="39">
        <v>17.38</v>
      </c>
      <c r="W306" s="39">
        <v>-2.87</v>
      </c>
      <c r="X306" s="39">
        <v>4.51</v>
      </c>
      <c r="Y306" s="39">
        <v>-15.71</v>
      </c>
      <c r="Z306" s="39">
        <v>-25.06</v>
      </c>
      <c r="AA306" s="39">
        <v>50</v>
      </c>
      <c r="AB306" s="39">
        <v>14.25</v>
      </c>
      <c r="AC306" s="39">
        <v>63.49</v>
      </c>
      <c r="AD306" s="39" t="s">
        <v>4606</v>
      </c>
      <c r="AE306" s="39" t="s">
        <v>134</v>
      </c>
      <c r="AF306" s="39">
        <v>12</v>
      </c>
      <c r="AG306" s="42">
        <v>0.1215</v>
      </c>
      <c r="AH306" s="39">
        <v>90</v>
      </c>
      <c r="AI306" s="42">
        <v>7.6899999999999996E-2</v>
      </c>
      <c r="AJ306" s="39" t="s">
        <v>7593</v>
      </c>
      <c r="AK306" s="42">
        <v>0.50060000000000004</v>
      </c>
      <c r="AL306" s="39" t="s">
        <v>5462</v>
      </c>
      <c r="AM306" s="42">
        <v>5.5E-2</v>
      </c>
      <c r="AN306" s="42">
        <v>0.24790000000000001</v>
      </c>
      <c r="AO306" s="41">
        <v>45</v>
      </c>
      <c r="AP306" s="39">
        <v>40</v>
      </c>
      <c r="AQ306" s="39">
        <v>37</v>
      </c>
      <c r="AS306" s="39" t="s">
        <v>4564</v>
      </c>
      <c r="AW306" s="39">
        <v>10.8</v>
      </c>
      <c r="AX306" s="39">
        <v>11.26</v>
      </c>
      <c r="AY306" s="39">
        <v>11.52</v>
      </c>
      <c r="AZ306" s="39">
        <v>10.08</v>
      </c>
      <c r="BA306" s="39">
        <v>9.82</v>
      </c>
      <c r="BB306" s="39">
        <v>9.36</v>
      </c>
      <c r="BC306" s="39">
        <v>3</v>
      </c>
      <c r="BD306" s="39">
        <v>2</v>
      </c>
      <c r="BE306" s="39" t="s">
        <v>130</v>
      </c>
      <c r="BF306" s="39">
        <v>-0.26</v>
      </c>
      <c r="BG306" s="39">
        <v>3</v>
      </c>
      <c r="BH306" s="39">
        <v>8.8000000000000007</v>
      </c>
      <c r="BI306" s="39" t="s">
        <v>132</v>
      </c>
      <c r="BJ306" s="39" t="s">
        <v>132</v>
      </c>
    </row>
    <row r="307" spans="1:62" x14ac:dyDescent="0.35">
      <c r="A307" s="39" t="s">
        <v>611</v>
      </c>
      <c r="B307" s="39" t="str">
        <f>IFERROR(INDEX(added_new_stocks!$F$6:$H$2155,MATCH($A307,added_new_stocks!$F$6:$F$2600,0),3),"")</f>
        <v>Mid</v>
      </c>
      <c r="C307" s="39">
        <v>869.8</v>
      </c>
      <c r="D307" s="39">
        <v>52</v>
      </c>
      <c r="G307" s="39" t="s">
        <v>4562</v>
      </c>
      <c r="H307" s="39" t="s">
        <v>7594</v>
      </c>
      <c r="I307" s="39" t="s">
        <v>4989</v>
      </c>
      <c r="J307" s="39" t="s">
        <v>7595</v>
      </c>
      <c r="K307" s="39" t="s">
        <v>4615</v>
      </c>
      <c r="L307" s="39" t="s">
        <v>7596</v>
      </c>
      <c r="M307" s="39" t="s">
        <v>4620</v>
      </c>
      <c r="N307" s="39">
        <v>9</v>
      </c>
      <c r="O307" s="39">
        <v>-13</v>
      </c>
      <c r="P307" s="39">
        <v>-4</v>
      </c>
      <c r="Q307" s="39" t="s">
        <v>4611</v>
      </c>
      <c r="R307" s="39">
        <v>0.02</v>
      </c>
      <c r="S307" s="39">
        <v>2.25</v>
      </c>
      <c r="T307" s="39">
        <v>-1.18</v>
      </c>
      <c r="U307" s="39">
        <v>-5.38</v>
      </c>
      <c r="V307" s="39">
        <v>19.84</v>
      </c>
      <c r="W307" s="39">
        <v>24.26</v>
      </c>
      <c r="X307" s="39">
        <v>15.02</v>
      </c>
      <c r="Y307" s="39">
        <v>-12.32</v>
      </c>
      <c r="Z307" s="39">
        <v>20.97</v>
      </c>
      <c r="AA307" s="39">
        <v>19.16</v>
      </c>
      <c r="AB307" s="39">
        <v>25.67</v>
      </c>
      <c r="AC307" s="39">
        <v>469.8</v>
      </c>
      <c r="AD307" s="39" t="s">
        <v>4606</v>
      </c>
      <c r="AE307" s="39">
        <v>21.09</v>
      </c>
      <c r="AF307" s="39">
        <v>22</v>
      </c>
      <c r="AG307" s="42">
        <v>0.17599999999999999</v>
      </c>
      <c r="AH307" s="39">
        <v>124</v>
      </c>
      <c r="AI307" s="42">
        <v>7.9500000000000001E-2</v>
      </c>
      <c r="AJ307" s="39" t="s">
        <v>5885</v>
      </c>
      <c r="AK307" s="42">
        <v>0.21360000000000001</v>
      </c>
      <c r="AL307" s="39" t="s">
        <v>5886</v>
      </c>
      <c r="AM307" s="42">
        <v>8.0299999999999996E-2</v>
      </c>
      <c r="AN307" s="42">
        <v>0.10440000000000001</v>
      </c>
      <c r="AO307" s="41">
        <v>65</v>
      </c>
      <c r="AP307" s="39">
        <v>33</v>
      </c>
      <c r="AQ307" s="39">
        <v>57</v>
      </c>
      <c r="AR307" s="39">
        <v>197</v>
      </c>
      <c r="AS307" s="39">
        <v>-16</v>
      </c>
      <c r="AT307" s="39" t="s">
        <v>4625</v>
      </c>
      <c r="AU307" s="39">
        <v>14</v>
      </c>
      <c r="AV307" s="39" t="s">
        <v>6507</v>
      </c>
      <c r="AW307" s="39">
        <v>237.73</v>
      </c>
      <c r="AX307" s="39">
        <v>241.97</v>
      </c>
      <c r="AY307" s="39">
        <v>244.63</v>
      </c>
      <c r="AZ307" s="39">
        <v>230.83</v>
      </c>
      <c r="BA307" s="39">
        <v>228.17</v>
      </c>
      <c r="BB307" s="39">
        <v>223.93</v>
      </c>
      <c r="BC307" s="39">
        <v>8</v>
      </c>
      <c r="BD307" s="39">
        <v>10</v>
      </c>
      <c r="BE307" s="39">
        <v>4</v>
      </c>
      <c r="BF307" s="39">
        <v>1</v>
      </c>
      <c r="BG307" s="39">
        <v>94.9</v>
      </c>
      <c r="BH307" s="39">
        <v>0.4</v>
      </c>
      <c r="BI307" s="39" t="s">
        <v>132</v>
      </c>
      <c r="BJ307" s="39" t="s">
        <v>4563</v>
      </c>
    </row>
    <row r="308" spans="1:62" x14ac:dyDescent="0.35">
      <c r="A308" s="39" t="s">
        <v>1222</v>
      </c>
      <c r="B308" s="39" t="str">
        <f>IFERROR(INDEX(added_new_stocks!$F$6:$H$2155,MATCH($A308,added_new_stocks!$F$6:$F$2600,0),3),"")</f>
        <v>Small</v>
      </c>
      <c r="C308" s="39">
        <v>602</v>
      </c>
      <c r="D308" s="39">
        <v>75</v>
      </c>
      <c r="G308" s="39" t="s">
        <v>129</v>
      </c>
      <c r="H308" s="39" t="s">
        <v>7597</v>
      </c>
      <c r="I308" s="39" t="s">
        <v>4624</v>
      </c>
      <c r="J308" s="39" t="s">
        <v>7598</v>
      </c>
      <c r="K308" s="39" t="s">
        <v>4615</v>
      </c>
      <c r="L308" s="39" t="s">
        <v>5008</v>
      </c>
      <c r="M308" s="39" t="s">
        <v>4959</v>
      </c>
      <c r="N308" s="39">
        <v>33</v>
      </c>
      <c r="O308" s="39">
        <v>0</v>
      </c>
      <c r="P308" s="39">
        <v>33</v>
      </c>
      <c r="Q308" s="39" t="s">
        <v>5076</v>
      </c>
      <c r="R308" s="39">
        <v>0.94</v>
      </c>
      <c r="S308" s="39">
        <v>4.5999999999999996</v>
      </c>
      <c r="T308" s="39">
        <v>32.28</v>
      </c>
      <c r="U308" s="39">
        <v>60.75</v>
      </c>
      <c r="V308" s="39">
        <v>74.67</v>
      </c>
      <c r="W308" s="39">
        <v>111.52</v>
      </c>
      <c r="X308" s="39">
        <v>101.04</v>
      </c>
      <c r="Y308" s="39" t="s">
        <v>4538</v>
      </c>
      <c r="Z308" s="39" t="s">
        <v>4538</v>
      </c>
      <c r="AA308" s="39" t="s">
        <v>4538</v>
      </c>
      <c r="AB308" s="39" t="s">
        <v>4538</v>
      </c>
      <c r="AC308" s="39" t="s">
        <v>4538</v>
      </c>
      <c r="AD308" s="39" t="s">
        <v>4606</v>
      </c>
      <c r="AE308" s="39" t="s">
        <v>134</v>
      </c>
      <c r="AF308" s="39">
        <v>9</v>
      </c>
      <c r="AG308" s="42">
        <v>0.16400000000000001</v>
      </c>
      <c r="AH308" s="39">
        <v>38</v>
      </c>
      <c r="AI308" s="42">
        <v>5.33E-2</v>
      </c>
      <c r="AJ308" s="39" t="s">
        <v>7599</v>
      </c>
      <c r="AK308" s="42">
        <v>0.41070000000000001</v>
      </c>
      <c r="AL308" s="39" t="s">
        <v>7600</v>
      </c>
      <c r="AM308" s="42">
        <v>7.6300000000000007E-2</v>
      </c>
      <c r="AN308" s="42">
        <v>8.09E-2</v>
      </c>
      <c r="AO308" s="41">
        <v>40</v>
      </c>
      <c r="AP308" s="39">
        <v>28</v>
      </c>
      <c r="AQ308" s="39">
        <v>55</v>
      </c>
      <c r="AR308" s="39">
        <v>872</v>
      </c>
      <c r="AS308" s="39">
        <v>0</v>
      </c>
      <c r="AT308" s="39" t="s">
        <v>4562</v>
      </c>
      <c r="AU308" s="39">
        <v>32</v>
      </c>
      <c r="AV308" s="39" t="s">
        <v>6508</v>
      </c>
      <c r="AW308" s="39">
        <v>880.78</v>
      </c>
      <c r="AX308" s="39">
        <v>891.92</v>
      </c>
      <c r="AY308" s="39">
        <v>898.83</v>
      </c>
      <c r="AZ308" s="39">
        <v>862.73</v>
      </c>
      <c r="BA308" s="39">
        <v>855.82</v>
      </c>
      <c r="BB308" s="39">
        <v>844.68</v>
      </c>
      <c r="BC308" s="39">
        <v>3</v>
      </c>
      <c r="BD308" s="39">
        <v>8</v>
      </c>
      <c r="BE308" s="39">
        <v>3</v>
      </c>
      <c r="BF308" s="39" t="s">
        <v>130</v>
      </c>
      <c r="BG308" s="39">
        <v>278.3</v>
      </c>
      <c r="BH308" s="39">
        <v>0.3</v>
      </c>
      <c r="BI308" s="39" t="s">
        <v>4563</v>
      </c>
      <c r="BJ308" s="39" t="s">
        <v>132</v>
      </c>
    </row>
    <row r="309" spans="1:62" x14ac:dyDescent="0.35">
      <c r="A309" s="39" t="s">
        <v>851</v>
      </c>
      <c r="B309" s="39" t="str">
        <f>IFERROR(INDEX(added_new_stocks!$F$6:$H$2155,MATCH($A309,added_new_stocks!$F$6:$F$2600,0),3),"")</f>
        <v>Mid</v>
      </c>
      <c r="C309" s="39">
        <v>241.35</v>
      </c>
      <c r="D309" s="39">
        <v>77</v>
      </c>
      <c r="G309" s="39" t="s">
        <v>129</v>
      </c>
      <c r="H309" s="39" t="s">
        <v>7601</v>
      </c>
      <c r="I309" s="39" t="s">
        <v>4624</v>
      </c>
      <c r="J309" s="39" t="s">
        <v>7602</v>
      </c>
      <c r="K309" s="39" t="s">
        <v>4615</v>
      </c>
      <c r="L309" s="39" t="s">
        <v>7603</v>
      </c>
      <c r="M309" s="39" t="s">
        <v>5047</v>
      </c>
      <c r="N309" s="39">
        <v>28</v>
      </c>
      <c r="O309" s="39">
        <v>-2</v>
      </c>
      <c r="P309" s="39">
        <v>26</v>
      </c>
      <c r="Q309" s="39" t="s">
        <v>5060</v>
      </c>
      <c r="R309" s="39">
        <v>3.38</v>
      </c>
      <c r="S309" s="39">
        <v>4.82</v>
      </c>
      <c r="T309" s="39">
        <v>3.19</v>
      </c>
      <c r="U309" s="39">
        <v>48.11</v>
      </c>
      <c r="V309" s="39">
        <v>50.05</v>
      </c>
      <c r="W309" s="39">
        <v>34.49</v>
      </c>
      <c r="X309" s="39">
        <v>97.26</v>
      </c>
      <c r="Y309" s="39">
        <v>42.47</v>
      </c>
      <c r="Z309" s="39">
        <v>14.6</v>
      </c>
      <c r="AA309" s="39">
        <v>-26.29</v>
      </c>
      <c r="AB309" s="39">
        <v>-61.49</v>
      </c>
      <c r="AC309" s="39" t="s">
        <v>4538</v>
      </c>
      <c r="AD309" s="39" t="s">
        <v>5015</v>
      </c>
      <c r="AE309" s="39" t="s">
        <v>134</v>
      </c>
      <c r="AF309" s="39">
        <v>17</v>
      </c>
      <c r="AG309" s="42">
        <v>0.1164</v>
      </c>
      <c r="AH309" s="39">
        <v>173</v>
      </c>
      <c r="AI309" s="42">
        <v>0.2828</v>
      </c>
      <c r="AL309" s="39" t="s">
        <v>7604</v>
      </c>
      <c r="AM309" s="42">
        <v>9.98E-2</v>
      </c>
      <c r="AN309" s="42">
        <v>0.31719999999999998</v>
      </c>
      <c r="AO309" s="41">
        <v>65</v>
      </c>
      <c r="AP309" s="39">
        <v>17</v>
      </c>
      <c r="AQ309" s="39">
        <v>74</v>
      </c>
      <c r="AR309" s="39">
        <v>613</v>
      </c>
      <c r="AS309" s="39">
        <v>0</v>
      </c>
      <c r="AT309" s="39" t="s">
        <v>129</v>
      </c>
      <c r="AU309" s="39">
        <v>6</v>
      </c>
      <c r="AV309" s="39" t="s">
        <v>6509</v>
      </c>
      <c r="AX309" s="39">
        <v>619.53</v>
      </c>
      <c r="AY309" s="39">
        <v>634.16999999999996</v>
      </c>
      <c r="AZ309" s="39">
        <v>607.97</v>
      </c>
      <c r="BA309" s="39">
        <v>567.13</v>
      </c>
      <c r="BB309" s="39">
        <v>555.57000000000005</v>
      </c>
      <c r="BC309" s="39">
        <v>1</v>
      </c>
      <c r="BD309" s="39">
        <v>5</v>
      </c>
      <c r="BE309" s="39" t="s">
        <v>130</v>
      </c>
      <c r="BF309" s="39">
        <v>0.23</v>
      </c>
      <c r="BG309" s="39">
        <v>15</v>
      </c>
      <c r="BH309" s="39">
        <v>107.4</v>
      </c>
      <c r="BI309" s="39" t="s">
        <v>4639</v>
      </c>
      <c r="BJ309" s="39" t="s">
        <v>4563</v>
      </c>
    </row>
    <row r="310" spans="1:62" x14ac:dyDescent="0.35">
      <c r="A310" s="39" t="s">
        <v>185</v>
      </c>
      <c r="B310" s="39" t="str">
        <f>IFERROR(INDEX(added_new_stocks!$F$6:$H$2155,MATCH($A310,added_new_stocks!$F$6:$F$2600,0),3),"")</f>
        <v>Large</v>
      </c>
      <c r="C310" s="48">
        <v>2418.3000000000002</v>
      </c>
      <c r="D310" s="39">
        <v>47</v>
      </c>
      <c r="G310" s="39" t="s">
        <v>4625</v>
      </c>
      <c r="H310" s="39" t="s">
        <v>7605</v>
      </c>
      <c r="I310" s="39" t="s">
        <v>4989</v>
      </c>
      <c r="J310" s="39" t="s">
        <v>7606</v>
      </c>
      <c r="K310" s="39" t="s">
        <v>4615</v>
      </c>
      <c r="L310" s="39" t="s">
        <v>5642</v>
      </c>
      <c r="M310" s="39" t="s">
        <v>135</v>
      </c>
      <c r="N310" s="39">
        <v>1</v>
      </c>
      <c r="O310" s="39">
        <v>-8</v>
      </c>
      <c r="P310" s="39">
        <v>-7</v>
      </c>
      <c r="Q310" s="39" t="s">
        <v>4605</v>
      </c>
      <c r="R310" s="39">
        <v>-0.08</v>
      </c>
      <c r="S310" s="39">
        <v>-4.16</v>
      </c>
      <c r="T310" s="39">
        <v>-4.32</v>
      </c>
      <c r="U310" s="39">
        <v>5.3</v>
      </c>
      <c r="V310" s="39">
        <v>13.96</v>
      </c>
      <c r="W310" s="39">
        <v>4.1100000000000003</v>
      </c>
      <c r="X310" s="39">
        <v>0.52</v>
      </c>
      <c r="Y310" s="39">
        <v>16.86</v>
      </c>
      <c r="Z310" s="39">
        <v>25.39</v>
      </c>
      <c r="AA310" s="39">
        <v>112.51</v>
      </c>
      <c r="AB310" s="39">
        <v>108.21</v>
      </c>
      <c r="AC310" s="39">
        <v>523.04999999999995</v>
      </c>
      <c r="AD310" s="39" t="s">
        <v>4606</v>
      </c>
      <c r="AE310" s="39" t="s">
        <v>134</v>
      </c>
      <c r="AF310" s="39">
        <v>84</v>
      </c>
      <c r="AG310" s="42">
        <v>6.4500000000000002E-2</v>
      </c>
      <c r="AH310" s="39">
        <v>1864</v>
      </c>
      <c r="AI310" s="42">
        <v>0.22550000000000001</v>
      </c>
      <c r="AJ310" s="39" t="s">
        <v>5643</v>
      </c>
      <c r="AK310" s="42">
        <v>0.11219999999999999</v>
      </c>
      <c r="AL310" s="39" t="s">
        <v>136</v>
      </c>
      <c r="AM310" s="42">
        <v>6.59E-2</v>
      </c>
      <c r="AN310" s="42">
        <v>8.5900000000000004E-2</v>
      </c>
      <c r="AO310" s="41">
        <v>45</v>
      </c>
      <c r="AP310" s="39">
        <v>58</v>
      </c>
      <c r="AQ310" s="39">
        <v>70</v>
      </c>
      <c r="AR310" s="39">
        <v>203</v>
      </c>
      <c r="AS310" s="39">
        <v>-16</v>
      </c>
      <c r="AT310" s="39" t="s">
        <v>4625</v>
      </c>
      <c r="AU310" s="39">
        <v>13</v>
      </c>
      <c r="AV310" s="39" t="s">
        <v>6510</v>
      </c>
      <c r="AZ310" s="39">
        <v>235</v>
      </c>
      <c r="BA310" s="39">
        <v>236.5</v>
      </c>
      <c r="BB310" s="39">
        <v>238.5</v>
      </c>
      <c r="BC310" s="39">
        <v>11</v>
      </c>
      <c r="BD310" s="39">
        <v>6</v>
      </c>
      <c r="BE310" s="39">
        <v>8</v>
      </c>
      <c r="BF310" s="39" t="s">
        <v>130</v>
      </c>
      <c r="BG310" s="39">
        <v>295.2</v>
      </c>
      <c r="BH310" s="39">
        <v>1.2</v>
      </c>
      <c r="BI310" s="39" t="s">
        <v>4563</v>
      </c>
      <c r="BJ310" s="39" t="s">
        <v>4563</v>
      </c>
    </row>
    <row r="311" spans="1:62" x14ac:dyDescent="0.35">
      <c r="A311" s="39" t="s">
        <v>726</v>
      </c>
      <c r="B311" s="39" t="str">
        <f>IFERROR(INDEX(added_new_stocks!$F$6:$H$2155,MATCH($A311,added_new_stocks!$F$6:$F$2600,0),3),"")</f>
        <v>Mid</v>
      </c>
      <c r="C311" s="39">
        <v>717.05</v>
      </c>
      <c r="D311" s="39">
        <v>42</v>
      </c>
      <c r="G311" s="39" t="s">
        <v>4625</v>
      </c>
      <c r="H311" s="39" t="s">
        <v>7515</v>
      </c>
      <c r="I311" s="39" t="s">
        <v>4976</v>
      </c>
      <c r="J311" s="39" t="s">
        <v>7516</v>
      </c>
      <c r="K311" s="39" t="s">
        <v>133</v>
      </c>
      <c r="L311" s="39" t="s">
        <v>7517</v>
      </c>
      <c r="M311" s="39" t="s">
        <v>4959</v>
      </c>
      <c r="N311" s="39">
        <v>13</v>
      </c>
      <c r="O311" s="39">
        <v>-17</v>
      </c>
      <c r="P311" s="39">
        <v>-4</v>
      </c>
      <c r="Q311" s="39" t="s">
        <v>4611</v>
      </c>
      <c r="R311" s="39">
        <v>-1.71</v>
      </c>
      <c r="S311" s="39">
        <v>1.31</v>
      </c>
      <c r="T311" s="39">
        <v>13.81</v>
      </c>
      <c r="U311" s="39">
        <v>4.8499999999999996</v>
      </c>
      <c r="V311" s="39">
        <v>11.17</v>
      </c>
      <c r="W311" s="39">
        <v>-14.64</v>
      </c>
      <c r="X311" s="39">
        <v>20.86</v>
      </c>
      <c r="Y311" s="39">
        <v>94.9</v>
      </c>
      <c r="Z311" s="39">
        <v>247.16</v>
      </c>
      <c r="AA311" s="39">
        <v>260.87</v>
      </c>
      <c r="AB311" s="39">
        <v>169.11</v>
      </c>
      <c r="AC311" s="39">
        <v>2768.2</v>
      </c>
      <c r="AD311" s="39" t="s">
        <v>4606</v>
      </c>
      <c r="AE311" s="39" t="s">
        <v>134</v>
      </c>
      <c r="AF311" s="39">
        <v>21</v>
      </c>
      <c r="AG311" s="42">
        <v>0.1283</v>
      </c>
      <c r="AH311" s="39">
        <v>82</v>
      </c>
      <c r="AI311" s="42">
        <v>3.78E-2</v>
      </c>
      <c r="AJ311" s="39" t="s">
        <v>7518</v>
      </c>
      <c r="AK311" s="42">
        <v>0.40029999999999999</v>
      </c>
      <c r="AL311" s="39" t="s">
        <v>7519</v>
      </c>
      <c r="AM311" s="42">
        <v>0.13070000000000001</v>
      </c>
      <c r="AN311" s="42">
        <v>9.7199999999999995E-2</v>
      </c>
      <c r="AO311" s="41">
        <v>40</v>
      </c>
      <c r="AP311" s="39">
        <v>27</v>
      </c>
      <c r="AQ311" s="39">
        <v>49</v>
      </c>
      <c r="AS311" s="39" t="s">
        <v>4564</v>
      </c>
      <c r="AY311" s="39">
        <v>1.42</v>
      </c>
      <c r="BA311" s="39">
        <v>1.28</v>
      </c>
      <c r="BB311" s="39">
        <v>1.27</v>
      </c>
      <c r="BC311" s="39">
        <v>1</v>
      </c>
      <c r="BD311" s="39">
        <v>1.44</v>
      </c>
      <c r="BE311" s="39">
        <v>-0.27</v>
      </c>
      <c r="BF311" s="39">
        <v>0.08</v>
      </c>
      <c r="BG311" s="39">
        <v>3</v>
      </c>
      <c r="BH311" s="39">
        <v>11</v>
      </c>
      <c r="BI311" s="39" t="s">
        <v>4563</v>
      </c>
      <c r="BJ311" s="39" t="s">
        <v>4565</v>
      </c>
    </row>
    <row r="312" spans="1:62" x14ac:dyDescent="0.35">
      <c r="A312" s="39" t="s">
        <v>848</v>
      </c>
      <c r="B312" s="39" t="str">
        <f>IFERROR(INDEX(added_new_stocks!$F$6:$H$2155,MATCH($A312,added_new_stocks!$F$6:$F$2600,0),3),"")</f>
        <v>Mid</v>
      </c>
      <c r="C312" s="39">
        <v>508.3</v>
      </c>
      <c r="D312" s="39">
        <v>57</v>
      </c>
      <c r="G312" s="39" t="s">
        <v>4562</v>
      </c>
      <c r="H312" s="39" t="s">
        <v>5644</v>
      </c>
      <c r="I312" s="39" t="s">
        <v>4624</v>
      </c>
      <c r="J312" s="39" t="s">
        <v>5645</v>
      </c>
      <c r="K312" s="39" t="s">
        <v>133</v>
      </c>
      <c r="L312" s="39" t="s">
        <v>5646</v>
      </c>
      <c r="M312" s="39" t="s">
        <v>4959</v>
      </c>
      <c r="N312" s="39">
        <v>4</v>
      </c>
      <c r="O312" s="39">
        <v>-12</v>
      </c>
      <c r="P312" s="39">
        <v>-8</v>
      </c>
      <c r="Q312" s="39" t="s">
        <v>4605</v>
      </c>
      <c r="R312" s="39">
        <v>6.18</v>
      </c>
      <c r="S312" s="39">
        <v>7.68</v>
      </c>
      <c r="T312" s="39">
        <v>11.16</v>
      </c>
      <c r="U312" s="39">
        <v>35.49</v>
      </c>
      <c r="V312" s="39">
        <v>49.19</v>
      </c>
      <c r="W312" s="39">
        <v>49.68</v>
      </c>
      <c r="X312" s="39">
        <v>70.739999999999995</v>
      </c>
      <c r="Y312" s="39">
        <v>90.34</v>
      </c>
      <c r="Z312" s="39">
        <v>99.96</v>
      </c>
      <c r="AA312" s="39">
        <v>129.02000000000001</v>
      </c>
      <c r="AB312" s="39">
        <v>120.46</v>
      </c>
      <c r="AC312" s="39" t="s">
        <v>4538</v>
      </c>
      <c r="AD312" s="39" t="s">
        <v>4606</v>
      </c>
      <c r="AE312" s="39" t="s">
        <v>134</v>
      </c>
      <c r="AF312" s="39">
        <v>8</v>
      </c>
      <c r="AG312" s="42">
        <v>6.9800000000000001E-2</v>
      </c>
      <c r="AH312" s="39">
        <v>129</v>
      </c>
      <c r="AI312" s="42">
        <v>3.4500000000000003E-2</v>
      </c>
      <c r="AJ312" s="39" t="s">
        <v>5061</v>
      </c>
      <c r="AK312" s="42">
        <v>0.72199999999999998</v>
      </c>
      <c r="AL312" s="39" t="s">
        <v>136</v>
      </c>
      <c r="AM312" s="42">
        <v>7.2999999999999995E-2</v>
      </c>
      <c r="AN312" s="42">
        <v>6.9699999999999998E-2</v>
      </c>
      <c r="AO312" s="41">
        <v>30</v>
      </c>
      <c r="AP312" s="39">
        <v>9</v>
      </c>
      <c r="AQ312" s="39">
        <v>57</v>
      </c>
      <c r="AR312" s="39">
        <v>753</v>
      </c>
      <c r="AS312" s="39">
        <v>5</v>
      </c>
      <c r="AT312" s="39" t="s">
        <v>129</v>
      </c>
      <c r="AU312" s="39">
        <v>4</v>
      </c>
      <c r="AV312" s="39" t="s">
        <v>6511</v>
      </c>
      <c r="AW312" s="39">
        <v>735.42</v>
      </c>
      <c r="AX312" s="39">
        <v>741.73</v>
      </c>
      <c r="AY312" s="39">
        <v>750.97</v>
      </c>
      <c r="BA312" s="39">
        <v>710.63</v>
      </c>
      <c r="BB312" s="39">
        <v>704.32</v>
      </c>
      <c r="BC312" s="39">
        <v>4</v>
      </c>
      <c r="BD312" s="39">
        <v>1</v>
      </c>
      <c r="BE312" s="39">
        <v>-0.94</v>
      </c>
      <c r="BF312" s="39">
        <v>-0.36</v>
      </c>
      <c r="BG312" s="39">
        <v>5</v>
      </c>
      <c r="BH312" s="39">
        <v>8</v>
      </c>
      <c r="BI312" s="39" t="s">
        <v>4563</v>
      </c>
      <c r="BJ312" s="39" t="s">
        <v>4563</v>
      </c>
    </row>
    <row r="313" spans="1:62" x14ac:dyDescent="0.35">
      <c r="A313" s="39" t="s">
        <v>1126</v>
      </c>
      <c r="B313" s="39" t="str">
        <f>IFERROR(INDEX(added_new_stocks!$F$6:$H$2155,MATCH($A313,added_new_stocks!$F$6:$F$2600,0),3),"")</f>
        <v>Small</v>
      </c>
      <c r="C313" s="39">
        <v>656.8</v>
      </c>
      <c r="D313" s="39">
        <v>65</v>
      </c>
      <c r="G313" s="39" t="s">
        <v>4562</v>
      </c>
      <c r="H313" s="39" t="s">
        <v>7607</v>
      </c>
      <c r="I313" s="39" t="s">
        <v>4624</v>
      </c>
      <c r="J313" s="39" t="s">
        <v>7608</v>
      </c>
      <c r="K313" s="39" t="s">
        <v>4615</v>
      </c>
      <c r="L313" s="39" t="s">
        <v>7609</v>
      </c>
      <c r="M313" s="39" t="s">
        <v>4620</v>
      </c>
      <c r="N313" s="39">
        <v>15</v>
      </c>
      <c r="O313" s="39">
        <v>-5</v>
      </c>
      <c r="P313" s="39">
        <v>10</v>
      </c>
      <c r="Q313" s="39" t="s">
        <v>14</v>
      </c>
      <c r="R313" s="39">
        <v>0.44</v>
      </c>
      <c r="S313" s="39">
        <v>0.61</v>
      </c>
      <c r="T313" s="39">
        <v>21.23</v>
      </c>
      <c r="U313" s="39">
        <v>71.2</v>
      </c>
      <c r="V313" s="39">
        <v>154.72</v>
      </c>
      <c r="W313" s="39">
        <v>150.30000000000001</v>
      </c>
      <c r="X313" s="39">
        <v>227.34</v>
      </c>
      <c r="Y313" s="39">
        <v>221.1</v>
      </c>
      <c r="Z313" s="39">
        <v>1226.33</v>
      </c>
      <c r="AA313" s="39">
        <v>964.51</v>
      </c>
      <c r="AB313" s="39">
        <v>455.01</v>
      </c>
      <c r="AC313" s="39">
        <v>5235.5</v>
      </c>
      <c r="AD313" s="39" t="s">
        <v>4606</v>
      </c>
      <c r="AE313" s="39">
        <v>6.08</v>
      </c>
      <c r="AF313" s="39">
        <v>2</v>
      </c>
      <c r="AG313" s="42">
        <v>2.9399999999999999E-2</v>
      </c>
      <c r="AH313" s="39">
        <v>102</v>
      </c>
      <c r="AI313" s="42">
        <v>0.16350000000000001</v>
      </c>
      <c r="AJ313" s="39" t="s">
        <v>7610</v>
      </c>
      <c r="AK313" s="42">
        <v>0.2369</v>
      </c>
      <c r="AL313" s="39" t="s">
        <v>5524</v>
      </c>
      <c r="AM313" s="42">
        <v>3.7600000000000001E-2</v>
      </c>
      <c r="AN313" s="42">
        <v>0.22239999999999999</v>
      </c>
      <c r="AO313" s="41" t="s">
        <v>130</v>
      </c>
      <c r="AP313" s="39">
        <v>35</v>
      </c>
      <c r="AQ313" s="39">
        <v>30</v>
      </c>
      <c r="AS313" s="39" t="s">
        <v>4564</v>
      </c>
      <c r="AW313" s="39">
        <v>35.36</v>
      </c>
      <c r="AX313" s="39">
        <v>35.72</v>
      </c>
      <c r="AY313" s="39">
        <v>36.15</v>
      </c>
      <c r="AZ313" s="39">
        <v>34.57</v>
      </c>
      <c r="BA313" s="39">
        <v>34.14</v>
      </c>
      <c r="BB313" s="39">
        <v>33.78</v>
      </c>
      <c r="BC313" s="39">
        <v>1</v>
      </c>
      <c r="BD313" s="39">
        <v>0.47</v>
      </c>
      <c r="BE313" s="39">
        <v>-0.09</v>
      </c>
      <c r="BF313" s="39">
        <v>0.2</v>
      </c>
      <c r="BG313" s="39">
        <v>1</v>
      </c>
      <c r="BH313" s="39">
        <v>10</v>
      </c>
      <c r="BI313" s="39" t="s">
        <v>132</v>
      </c>
      <c r="BJ313" s="39" t="s">
        <v>131</v>
      </c>
    </row>
    <row r="314" spans="1:62" x14ac:dyDescent="0.35">
      <c r="A314" s="39" t="s">
        <v>1021</v>
      </c>
      <c r="B314" s="39" t="str">
        <f>IFERROR(INDEX(added_new_stocks!$F$6:$H$2155,MATCH($A314,added_new_stocks!$F$6:$F$2600,0),3),"")</f>
        <v>Mid</v>
      </c>
      <c r="C314" s="48">
        <v>2173.4499999999998</v>
      </c>
      <c r="D314" s="39">
        <v>65</v>
      </c>
      <c r="G314" s="39" t="s">
        <v>4562</v>
      </c>
      <c r="H314" s="39" t="s">
        <v>7611</v>
      </c>
      <c r="I314" s="39" t="s">
        <v>4989</v>
      </c>
      <c r="J314" s="39" t="s">
        <v>7612</v>
      </c>
      <c r="K314" s="39" t="s">
        <v>4957</v>
      </c>
      <c r="L314" s="39" t="s">
        <v>5075</v>
      </c>
      <c r="M314" s="39" t="s">
        <v>4959</v>
      </c>
      <c r="N314" s="39">
        <v>5</v>
      </c>
      <c r="O314" s="39">
        <v>0</v>
      </c>
      <c r="P314" s="39">
        <v>5</v>
      </c>
      <c r="Q314" s="39" t="s">
        <v>4611</v>
      </c>
      <c r="R314" s="39">
        <v>0.56999999999999995</v>
      </c>
      <c r="S314" s="39">
        <v>1.1100000000000001</v>
      </c>
      <c r="T314" s="39">
        <v>-1.1200000000000001</v>
      </c>
      <c r="U314" s="39">
        <v>13.4</v>
      </c>
      <c r="V314" s="39">
        <v>20.05</v>
      </c>
      <c r="W314" s="39">
        <v>20.6</v>
      </c>
      <c r="X314" s="39">
        <v>16.82</v>
      </c>
      <c r="Y314" s="39">
        <v>99.14</v>
      </c>
      <c r="Z314" s="39" t="s">
        <v>4538</v>
      </c>
      <c r="AA314" s="39" t="s">
        <v>4538</v>
      </c>
      <c r="AB314" s="39" t="s">
        <v>4538</v>
      </c>
      <c r="AC314" s="39" t="s">
        <v>4538</v>
      </c>
      <c r="AD314" s="39" t="s">
        <v>4606</v>
      </c>
      <c r="AE314" s="39" t="s">
        <v>134</v>
      </c>
      <c r="AF314" s="39">
        <v>13</v>
      </c>
      <c r="AG314" s="42">
        <v>0.313</v>
      </c>
      <c r="AH314" s="39">
        <v>39</v>
      </c>
      <c r="AI314" s="43">
        <v>0.05</v>
      </c>
      <c r="AJ314" s="39" t="s">
        <v>7613</v>
      </c>
      <c r="AK314" s="42">
        <v>0.1066</v>
      </c>
      <c r="AL314" s="39" t="s">
        <v>6686</v>
      </c>
      <c r="AM314" s="42">
        <v>7.8799999999999995E-2</v>
      </c>
      <c r="AN314" s="42">
        <v>6.0499999999999998E-2</v>
      </c>
      <c r="AO314" s="41">
        <v>55</v>
      </c>
      <c r="AP314" s="39">
        <v>21</v>
      </c>
      <c r="AQ314" s="39">
        <v>77</v>
      </c>
      <c r="AR314" s="39">
        <v>583</v>
      </c>
      <c r="AS314" s="39">
        <v>-12</v>
      </c>
      <c r="AT314" s="39" t="s">
        <v>129</v>
      </c>
      <c r="AU314" s="39">
        <v>8</v>
      </c>
      <c r="AV314" s="39" t="s">
        <v>6512</v>
      </c>
      <c r="AW314" s="39">
        <v>666.03</v>
      </c>
      <c r="AX314" s="39">
        <v>678.47</v>
      </c>
      <c r="AY314" s="39">
        <v>686.98</v>
      </c>
      <c r="AZ314" s="39">
        <v>645.08000000000004</v>
      </c>
      <c r="BA314" s="39">
        <v>636.57000000000005</v>
      </c>
      <c r="BB314" s="39">
        <v>624.13</v>
      </c>
      <c r="BC314" s="39">
        <v>15</v>
      </c>
      <c r="BD314" s="39">
        <v>3</v>
      </c>
      <c r="BE314" s="39">
        <v>8</v>
      </c>
      <c r="BF314" s="39" t="s">
        <v>130</v>
      </c>
      <c r="BG314" s="39">
        <v>178.9</v>
      </c>
      <c r="BH314" s="39">
        <v>0.3</v>
      </c>
      <c r="BI314" s="39" t="s">
        <v>4565</v>
      </c>
      <c r="BJ314" s="39" t="s">
        <v>4563</v>
      </c>
    </row>
    <row r="315" spans="1:62" x14ac:dyDescent="0.35">
      <c r="A315" s="39" t="s">
        <v>1285</v>
      </c>
      <c r="B315" s="39" t="str">
        <f>IFERROR(INDEX(added_new_stocks!$F$6:$H$2155,MATCH($A315,added_new_stocks!$F$6:$F$2600,0),3),"")</f>
        <v>Small</v>
      </c>
      <c r="C315" s="39">
        <v>825.3</v>
      </c>
      <c r="D315" s="39">
        <v>62</v>
      </c>
      <c r="G315" s="39" t="s">
        <v>4562</v>
      </c>
      <c r="H315" s="39" t="s">
        <v>7614</v>
      </c>
      <c r="I315" s="39" t="s">
        <v>4989</v>
      </c>
      <c r="J315" s="39" t="s">
        <v>7615</v>
      </c>
      <c r="K315" s="39" t="s">
        <v>133</v>
      </c>
      <c r="L315" s="39" t="s">
        <v>4998</v>
      </c>
      <c r="M315" s="39" t="s">
        <v>135</v>
      </c>
      <c r="N315" s="39">
        <v>5</v>
      </c>
      <c r="O315" s="39">
        <v>-4</v>
      </c>
      <c r="P315" s="39">
        <v>1</v>
      </c>
      <c r="Q315" s="39" t="s">
        <v>4611</v>
      </c>
      <c r="R315" s="39">
        <v>1.44</v>
      </c>
      <c r="S315" s="39">
        <v>2.81</v>
      </c>
      <c r="T315" s="39">
        <v>-5.73</v>
      </c>
      <c r="U315" s="39">
        <v>11.4</v>
      </c>
      <c r="V315" s="39">
        <v>34.840000000000003</v>
      </c>
      <c r="W315" s="39">
        <v>13.45</v>
      </c>
      <c r="X315" s="39">
        <v>-15.9</v>
      </c>
      <c r="Y315" s="39">
        <v>-40.869999999999997</v>
      </c>
      <c r="Z315" s="39">
        <v>6.48</v>
      </c>
      <c r="AA315" s="39" t="s">
        <v>4538</v>
      </c>
      <c r="AB315" s="39" t="s">
        <v>4538</v>
      </c>
      <c r="AC315" s="39" t="s">
        <v>4538</v>
      </c>
      <c r="AD315" s="39" t="s">
        <v>4606</v>
      </c>
      <c r="AE315" s="39" t="s">
        <v>134</v>
      </c>
      <c r="AF315" s="39">
        <v>10</v>
      </c>
      <c r="AG315" s="42">
        <v>0.154</v>
      </c>
      <c r="AH315" s="39">
        <v>45</v>
      </c>
      <c r="AI315" s="42">
        <v>6.1199999999999997E-2</v>
      </c>
      <c r="AJ315" s="39" t="s">
        <v>7616</v>
      </c>
      <c r="AK315" s="42">
        <v>0.2923</v>
      </c>
      <c r="AL315" s="39" t="s">
        <v>5000</v>
      </c>
      <c r="AM315" s="42">
        <v>6.8900000000000003E-2</v>
      </c>
      <c r="AN315" s="42">
        <v>7.1400000000000005E-2</v>
      </c>
      <c r="AO315" s="41">
        <v>70</v>
      </c>
      <c r="AP315" s="39">
        <v>23</v>
      </c>
      <c r="AQ315" s="39">
        <v>48</v>
      </c>
      <c r="AR315" s="45">
        <v>2461</v>
      </c>
      <c r="AS315" s="39">
        <v>14</v>
      </c>
      <c r="AT315" s="39" t="s">
        <v>4633</v>
      </c>
      <c r="AU315" s="39">
        <v>3</v>
      </c>
      <c r="AV315" s="39" t="s">
        <v>6513</v>
      </c>
      <c r="AW315" s="39">
        <v>2186.25</v>
      </c>
      <c r="AX315" s="39">
        <v>2209.3000000000002</v>
      </c>
      <c r="AY315" s="39">
        <v>2246.6</v>
      </c>
      <c r="AZ315" s="39">
        <v>2125.9</v>
      </c>
      <c r="BA315" s="39">
        <v>2088.6</v>
      </c>
      <c r="BB315" s="39">
        <v>2065.5500000000002</v>
      </c>
      <c r="BC315" s="39">
        <v>7</v>
      </c>
      <c r="BD315" s="39">
        <v>1</v>
      </c>
      <c r="BE315" s="39">
        <v>3</v>
      </c>
      <c r="BF315" s="39" t="s">
        <v>130</v>
      </c>
      <c r="BG315" s="39">
        <v>666.1</v>
      </c>
      <c r="BH315" s="39">
        <v>0.3</v>
      </c>
      <c r="BI315" s="39" t="s">
        <v>131</v>
      </c>
      <c r="BJ315" s="39" t="s">
        <v>132</v>
      </c>
    </row>
    <row r="316" spans="1:62" x14ac:dyDescent="0.35">
      <c r="A316" s="39" t="s">
        <v>1862</v>
      </c>
      <c r="B316" s="39" t="str">
        <f>IFERROR(INDEX(added_new_stocks!$F$6:$H$2155,MATCH($A316,added_new_stocks!$F$6:$F$2600,0),3),"")</f>
        <v>Small</v>
      </c>
      <c r="C316" s="39">
        <v>388.45</v>
      </c>
      <c r="D316" s="39">
        <v>71</v>
      </c>
      <c r="G316" s="39" t="s">
        <v>129</v>
      </c>
      <c r="H316" s="39" t="s">
        <v>7617</v>
      </c>
      <c r="I316" s="39" t="s">
        <v>4624</v>
      </c>
      <c r="J316" s="39" t="s">
        <v>7618</v>
      </c>
      <c r="K316" s="39" t="s">
        <v>4615</v>
      </c>
      <c r="L316" s="39" t="s">
        <v>7619</v>
      </c>
      <c r="M316" s="39" t="s">
        <v>5047</v>
      </c>
      <c r="N316" s="39">
        <v>19</v>
      </c>
      <c r="O316" s="39">
        <v>-5</v>
      </c>
      <c r="P316" s="39">
        <v>14</v>
      </c>
      <c r="Q316" s="39" t="s">
        <v>14</v>
      </c>
      <c r="R316" s="39">
        <v>1.78</v>
      </c>
      <c r="S316" s="39">
        <v>3.12</v>
      </c>
      <c r="T316" s="39">
        <v>7.04</v>
      </c>
      <c r="U316" s="39">
        <v>51.62</v>
      </c>
      <c r="V316" s="39">
        <v>75.77</v>
      </c>
      <c r="W316" s="39">
        <v>72.8</v>
      </c>
      <c r="X316" s="39">
        <v>75.14</v>
      </c>
      <c r="Y316" s="39">
        <v>36.270000000000003</v>
      </c>
      <c r="Z316" s="39">
        <v>68.56</v>
      </c>
      <c r="AA316" s="39">
        <v>57.11</v>
      </c>
      <c r="AB316" s="39">
        <v>3.32</v>
      </c>
      <c r="AC316" s="39" t="s">
        <v>4538</v>
      </c>
      <c r="AD316" s="39" t="s">
        <v>4606</v>
      </c>
      <c r="AE316" s="39" t="s">
        <v>134</v>
      </c>
      <c r="AF316" s="39">
        <v>6</v>
      </c>
      <c r="AG316" s="42">
        <v>0.1641</v>
      </c>
      <c r="AH316" s="39">
        <v>32</v>
      </c>
      <c r="AI316" s="42">
        <v>1.6500000000000001E-2</v>
      </c>
      <c r="AJ316" s="39" t="s">
        <v>7620</v>
      </c>
      <c r="AK316" s="42">
        <v>0.5222</v>
      </c>
      <c r="AL316" s="39" t="s">
        <v>5573</v>
      </c>
      <c r="AM316" s="42">
        <v>4.0300000000000002E-2</v>
      </c>
      <c r="AN316" s="42">
        <v>8.5699999999999998E-2</v>
      </c>
      <c r="AO316" s="41">
        <v>70</v>
      </c>
      <c r="AP316" s="39">
        <v>27</v>
      </c>
      <c r="AQ316" s="39">
        <v>48</v>
      </c>
      <c r="AR316" s="39">
        <v>854</v>
      </c>
      <c r="AS316" s="39">
        <v>4</v>
      </c>
      <c r="AT316" s="39" t="s">
        <v>4562</v>
      </c>
      <c r="AU316" s="39">
        <v>2</v>
      </c>
      <c r="AV316" s="39" t="s">
        <v>6514</v>
      </c>
      <c r="AX316" s="39">
        <v>825</v>
      </c>
      <c r="AY316" s="39">
        <v>831</v>
      </c>
      <c r="AZ316" s="39">
        <v>819.45</v>
      </c>
      <c r="BA316" s="39">
        <v>801.9</v>
      </c>
      <c r="BB316" s="39">
        <v>796.35</v>
      </c>
      <c r="BC316" s="39">
        <v>9</v>
      </c>
      <c r="BD316" s="39">
        <v>1</v>
      </c>
      <c r="BE316" s="39">
        <v>4</v>
      </c>
      <c r="BF316" s="39" t="s">
        <v>130</v>
      </c>
      <c r="BG316" s="39">
        <v>269.89999999999998</v>
      </c>
      <c r="BH316" s="39">
        <v>0.3</v>
      </c>
      <c r="BI316" s="39" t="s">
        <v>4565</v>
      </c>
      <c r="BJ316" s="39" t="s">
        <v>4563</v>
      </c>
    </row>
    <row r="317" spans="1:62" x14ac:dyDescent="0.35">
      <c r="A317" s="39" t="s">
        <v>699</v>
      </c>
      <c r="B317" s="39" t="str">
        <f>IFERROR(INDEX(added_new_stocks!$F$6:$H$2155,MATCH($A317,added_new_stocks!$F$6:$F$2600,0),3),"")</f>
        <v>Mid</v>
      </c>
      <c r="C317" s="48">
        <v>7139.15</v>
      </c>
      <c r="D317" s="39">
        <v>70</v>
      </c>
      <c r="G317" s="39" t="s">
        <v>129</v>
      </c>
      <c r="H317" s="39" t="s">
        <v>5659</v>
      </c>
      <c r="I317" s="39" t="s">
        <v>4624</v>
      </c>
      <c r="J317" s="39" t="s">
        <v>5660</v>
      </c>
      <c r="K317" s="39" t="s">
        <v>133</v>
      </c>
      <c r="L317" s="39" t="s">
        <v>7621</v>
      </c>
      <c r="M317" s="39" t="s">
        <v>135</v>
      </c>
      <c r="N317" s="39">
        <v>5</v>
      </c>
      <c r="O317" s="39">
        <v>-6</v>
      </c>
      <c r="P317" s="39">
        <v>-1</v>
      </c>
      <c r="Q317" s="39" t="s">
        <v>4611</v>
      </c>
      <c r="R317" s="39">
        <v>-0.11</v>
      </c>
      <c r="S317" s="39">
        <v>-0.28000000000000003</v>
      </c>
      <c r="T317" s="39">
        <v>2.93</v>
      </c>
      <c r="U317" s="39">
        <v>4.9000000000000004</v>
      </c>
      <c r="V317" s="39">
        <v>22.91</v>
      </c>
      <c r="W317" s="39">
        <v>22.04</v>
      </c>
      <c r="X317" s="39">
        <v>15.34</v>
      </c>
      <c r="Y317" s="39">
        <v>-19.02</v>
      </c>
      <c r="Z317" s="39">
        <v>-17.41</v>
      </c>
      <c r="AA317" s="39">
        <v>16.95</v>
      </c>
      <c r="AB317" s="39">
        <v>12.89</v>
      </c>
      <c r="AC317" s="39">
        <v>200.3</v>
      </c>
      <c r="AD317" s="39" t="s">
        <v>4606</v>
      </c>
      <c r="AE317" s="39" t="s">
        <v>134</v>
      </c>
      <c r="AF317" s="39">
        <v>19</v>
      </c>
      <c r="AG317" s="42">
        <v>9.5500000000000002E-2</v>
      </c>
      <c r="AH317" s="39">
        <v>140</v>
      </c>
      <c r="AI317" s="42">
        <v>6.7199999999999996E-2</v>
      </c>
      <c r="AJ317" s="39" t="s">
        <v>5662</v>
      </c>
      <c r="AK317" s="42">
        <v>0.60370000000000001</v>
      </c>
      <c r="AL317" s="39" t="s">
        <v>5663</v>
      </c>
      <c r="AM317" s="42">
        <v>5.9499999999999997E-2</v>
      </c>
      <c r="AN317" s="42">
        <v>8.8900000000000007E-2</v>
      </c>
      <c r="AO317" s="41">
        <v>65</v>
      </c>
      <c r="AP317" s="39">
        <v>43</v>
      </c>
      <c r="AQ317" s="39">
        <v>74</v>
      </c>
      <c r="AR317" s="39">
        <v>484</v>
      </c>
      <c r="AS317" s="39">
        <v>24</v>
      </c>
      <c r="AT317" s="39" t="s">
        <v>4633</v>
      </c>
      <c r="AU317" s="39">
        <v>3</v>
      </c>
      <c r="AV317" s="39" t="s">
        <v>6515</v>
      </c>
      <c r="AW317" s="39">
        <v>397.67</v>
      </c>
      <c r="AX317" s="39">
        <v>413.58</v>
      </c>
      <c r="AY317" s="39">
        <v>423.62</v>
      </c>
      <c r="AZ317" s="39">
        <v>371.72</v>
      </c>
      <c r="BA317" s="39">
        <v>361.68</v>
      </c>
      <c r="BB317" s="39">
        <v>345.77</v>
      </c>
      <c r="BC317" s="39">
        <v>1</v>
      </c>
      <c r="BD317" s="39">
        <v>6</v>
      </c>
      <c r="BE317" s="39" t="s">
        <v>130</v>
      </c>
      <c r="BF317" s="39">
        <v>-0.09</v>
      </c>
      <c r="BG317" s="39">
        <v>8</v>
      </c>
      <c r="BH317" s="39">
        <v>216.6</v>
      </c>
      <c r="BI317" s="39" t="s">
        <v>4563</v>
      </c>
      <c r="BJ317" s="39" t="s">
        <v>4563</v>
      </c>
    </row>
    <row r="318" spans="1:62" x14ac:dyDescent="0.35">
      <c r="A318" s="39" t="s">
        <v>1186</v>
      </c>
      <c r="B318" s="39" t="str">
        <f>IFERROR(INDEX(added_new_stocks!$F$6:$H$2155,MATCH($A318,added_new_stocks!$F$6:$F$2600,0),3),"")</f>
        <v>Small</v>
      </c>
      <c r="C318" s="39">
        <v>953.45</v>
      </c>
      <c r="D318" s="39">
        <v>62</v>
      </c>
      <c r="G318" s="39" t="s">
        <v>4562</v>
      </c>
      <c r="H318" s="39" t="s">
        <v>7622</v>
      </c>
      <c r="I318" s="39" t="s">
        <v>4624</v>
      </c>
      <c r="J318" s="39" t="s">
        <v>7623</v>
      </c>
      <c r="K318" s="39" t="s">
        <v>4615</v>
      </c>
      <c r="L318" s="39" t="s">
        <v>5008</v>
      </c>
      <c r="M318" s="39" t="s">
        <v>135</v>
      </c>
      <c r="N318" s="39">
        <v>6</v>
      </c>
      <c r="O318" s="39">
        <v>-2</v>
      </c>
      <c r="P318" s="39">
        <v>4</v>
      </c>
      <c r="Q318" s="39" t="s">
        <v>4611</v>
      </c>
      <c r="R318" s="39">
        <v>0.79</v>
      </c>
      <c r="S318" s="39">
        <v>1.1499999999999999</v>
      </c>
      <c r="T318" s="39">
        <v>2.71</v>
      </c>
      <c r="U318" s="39">
        <v>20.28</v>
      </c>
      <c r="V318" s="39">
        <v>29.66</v>
      </c>
      <c r="W318" s="39">
        <v>27.87</v>
      </c>
      <c r="X318" s="39">
        <v>31.61</v>
      </c>
      <c r="Y318" s="39" t="s">
        <v>4538</v>
      </c>
      <c r="Z318" s="39" t="s">
        <v>4538</v>
      </c>
      <c r="AA318" s="39" t="s">
        <v>4538</v>
      </c>
      <c r="AB318" s="39" t="s">
        <v>4538</v>
      </c>
      <c r="AC318" s="39" t="s">
        <v>4538</v>
      </c>
      <c r="AD318" s="39" t="s">
        <v>4606</v>
      </c>
      <c r="AE318" s="39" t="s">
        <v>134</v>
      </c>
      <c r="AF318" s="39">
        <v>4</v>
      </c>
      <c r="AG318" s="42">
        <v>0.17899999999999999</v>
      </c>
      <c r="AH318" s="39">
        <v>49</v>
      </c>
      <c r="AI318" s="42">
        <v>0.3034</v>
      </c>
      <c r="AJ318" s="39" t="s">
        <v>7624</v>
      </c>
      <c r="AK318" s="42">
        <v>0.19359999999999999</v>
      </c>
      <c r="AL318" s="39" t="s">
        <v>7625</v>
      </c>
      <c r="AM318" s="42">
        <v>0.18049999999999999</v>
      </c>
      <c r="AN318" s="42">
        <v>7.9899999999999999E-2</v>
      </c>
      <c r="AO318" s="41">
        <v>55</v>
      </c>
      <c r="AP318" s="39">
        <v>20</v>
      </c>
      <c r="AQ318" s="39">
        <v>62</v>
      </c>
      <c r="AR318" s="45">
        <v>7287</v>
      </c>
      <c r="AS318" s="39">
        <v>2</v>
      </c>
      <c r="AT318" s="39" t="s">
        <v>129</v>
      </c>
      <c r="AU318" s="39">
        <v>6</v>
      </c>
      <c r="AV318" s="39" t="s">
        <v>6516</v>
      </c>
      <c r="AW318" s="39">
        <v>7199.87</v>
      </c>
      <c r="AX318" s="39">
        <v>7247.53</v>
      </c>
      <c r="AY318" s="39">
        <v>7319.97</v>
      </c>
      <c r="AZ318" s="39">
        <v>7079.77</v>
      </c>
      <c r="BA318" s="39">
        <v>7007.33</v>
      </c>
      <c r="BB318" s="39">
        <v>6959.67</v>
      </c>
      <c r="BC318" s="39">
        <v>6</v>
      </c>
      <c r="BD318" s="39">
        <v>5</v>
      </c>
      <c r="BE318" s="39">
        <v>2</v>
      </c>
      <c r="BF318" s="39" t="s">
        <v>130</v>
      </c>
      <c r="BG318" s="48">
        <v>1766.6</v>
      </c>
      <c r="BH318" s="39">
        <v>0.2</v>
      </c>
      <c r="BI318" s="39" t="s">
        <v>131</v>
      </c>
      <c r="BJ318" s="39" t="s">
        <v>132</v>
      </c>
    </row>
    <row r="319" spans="1:62" x14ac:dyDescent="0.35">
      <c r="A319" s="39" t="s">
        <v>888</v>
      </c>
      <c r="B319" s="39" t="str">
        <f>IFERROR(INDEX(added_new_stocks!$F$6:$H$2155,MATCH($A319,added_new_stocks!$F$6:$F$2600,0),3),"")</f>
        <v>Mid</v>
      </c>
      <c r="C319" s="48">
        <v>1401.2</v>
      </c>
      <c r="D319" s="39">
        <v>65</v>
      </c>
      <c r="G319" s="39" t="s">
        <v>4562</v>
      </c>
      <c r="H319" s="39" t="s">
        <v>7626</v>
      </c>
      <c r="I319" s="39" t="s">
        <v>4624</v>
      </c>
      <c r="J319" s="39" t="s">
        <v>7627</v>
      </c>
      <c r="K319" s="39" t="s">
        <v>4615</v>
      </c>
      <c r="L319" s="39" t="s">
        <v>5008</v>
      </c>
      <c r="M319" s="39" t="s">
        <v>4620</v>
      </c>
      <c r="N319" s="39">
        <v>13</v>
      </c>
      <c r="O319" s="39">
        <v>-4</v>
      </c>
      <c r="P319" s="39">
        <v>9</v>
      </c>
      <c r="Q319" s="39" t="s">
        <v>14</v>
      </c>
      <c r="R319" s="39">
        <v>1.71</v>
      </c>
      <c r="S319" s="39">
        <v>2.97</v>
      </c>
      <c r="T319" s="39">
        <v>0.91</v>
      </c>
      <c r="U319" s="39">
        <v>0.88</v>
      </c>
      <c r="V319" s="39">
        <v>12.81</v>
      </c>
      <c r="W319" s="39">
        <v>5.0999999999999996</v>
      </c>
      <c r="X319" s="39">
        <v>3.94</v>
      </c>
      <c r="Y319" s="39" t="s">
        <v>4538</v>
      </c>
      <c r="Z319" s="39" t="s">
        <v>4538</v>
      </c>
      <c r="AA319" s="39" t="s">
        <v>4538</v>
      </c>
      <c r="AB319" s="39" t="s">
        <v>4538</v>
      </c>
      <c r="AC319" s="39" t="s">
        <v>4538</v>
      </c>
      <c r="AD319" s="39" t="s">
        <v>4606</v>
      </c>
      <c r="AE319" s="39" t="s">
        <v>134</v>
      </c>
      <c r="AF319" s="39">
        <v>13</v>
      </c>
      <c r="AG319" s="42">
        <v>0.22620000000000001</v>
      </c>
      <c r="AH319" s="39">
        <v>89</v>
      </c>
      <c r="AI319" s="42">
        <v>0.18659999999999999</v>
      </c>
      <c r="AJ319" s="39" t="s">
        <v>7628</v>
      </c>
      <c r="AK319" s="42">
        <v>0.31879999999999997</v>
      </c>
      <c r="AL319" s="39" t="s">
        <v>5248</v>
      </c>
      <c r="AM319" s="42">
        <v>8.2299999999999998E-2</v>
      </c>
      <c r="AN319" s="42">
        <v>4.1700000000000001E-2</v>
      </c>
      <c r="AO319" s="41">
        <v>60</v>
      </c>
      <c r="AP319" s="39">
        <v>33</v>
      </c>
      <c r="AQ319" s="39">
        <v>60</v>
      </c>
      <c r="AR319" s="45">
        <v>1140</v>
      </c>
      <c r="AS319" s="39">
        <v>20</v>
      </c>
      <c r="AT319" s="39" t="s">
        <v>129</v>
      </c>
      <c r="AU319" s="39">
        <v>4</v>
      </c>
      <c r="AV319" s="39" t="s">
        <v>6517</v>
      </c>
      <c r="AW319" s="39">
        <v>959.47</v>
      </c>
      <c r="AX319" s="39">
        <v>972.18</v>
      </c>
      <c r="AY319" s="39">
        <v>981.42</v>
      </c>
      <c r="AZ319" s="39">
        <v>937.52</v>
      </c>
      <c r="BA319" s="39">
        <v>928.28</v>
      </c>
      <c r="BB319" s="39">
        <v>915.57</v>
      </c>
      <c r="BC319" s="39">
        <v>12</v>
      </c>
      <c r="BD319" s="39">
        <v>1</v>
      </c>
      <c r="BE319" s="39">
        <v>4</v>
      </c>
      <c r="BF319" s="39" t="s">
        <v>130</v>
      </c>
      <c r="BG319" s="39">
        <v>382.9</v>
      </c>
      <c r="BH319" s="39">
        <v>0.4</v>
      </c>
      <c r="BI319" s="39" t="s">
        <v>4563</v>
      </c>
      <c r="BJ319" s="39" t="s">
        <v>4563</v>
      </c>
    </row>
    <row r="320" spans="1:62" x14ac:dyDescent="0.35">
      <c r="A320" s="39" t="s">
        <v>308</v>
      </c>
      <c r="B320" s="39" t="str">
        <f>IFERROR(INDEX(added_new_stocks!$F$6:$H$2155,MATCH($A320,added_new_stocks!$F$6:$F$2600,0),3),"")</f>
        <v>Large</v>
      </c>
      <c r="C320" s="39">
        <v>824.1</v>
      </c>
      <c r="D320" s="39">
        <v>55</v>
      </c>
      <c r="G320" s="39" t="s">
        <v>4562</v>
      </c>
      <c r="H320" s="39" t="s">
        <v>7629</v>
      </c>
      <c r="I320" s="39" t="s">
        <v>4996</v>
      </c>
      <c r="J320" s="39" t="s">
        <v>7630</v>
      </c>
      <c r="K320" s="39" t="s">
        <v>4957</v>
      </c>
      <c r="L320" s="39" t="s">
        <v>5075</v>
      </c>
      <c r="M320" s="39" t="s">
        <v>4959</v>
      </c>
      <c r="N320" s="39">
        <v>7</v>
      </c>
      <c r="O320" s="39">
        <v>-3</v>
      </c>
      <c r="P320" s="39">
        <v>4</v>
      </c>
      <c r="Q320" s="39" t="s">
        <v>4611</v>
      </c>
      <c r="R320" s="39">
        <v>-0.02</v>
      </c>
      <c r="S320" s="39">
        <v>-1.94</v>
      </c>
      <c r="T320" s="39">
        <v>-3.78</v>
      </c>
      <c r="U320" s="39">
        <v>-10.1</v>
      </c>
      <c r="V320" s="39">
        <v>10.23</v>
      </c>
      <c r="W320" s="39">
        <v>3.67</v>
      </c>
      <c r="X320" s="39">
        <v>-10.61</v>
      </c>
      <c r="Y320" s="39">
        <v>-24.71</v>
      </c>
      <c r="Z320" s="39">
        <v>-1.68</v>
      </c>
      <c r="AA320" s="39" t="s">
        <v>4538</v>
      </c>
      <c r="AB320" s="39" t="s">
        <v>4538</v>
      </c>
      <c r="AC320" s="39" t="s">
        <v>4538</v>
      </c>
      <c r="AD320" s="39" t="s">
        <v>4606</v>
      </c>
      <c r="AE320" s="39" t="s">
        <v>134</v>
      </c>
      <c r="AF320" s="39">
        <v>25</v>
      </c>
      <c r="AG320" s="42">
        <v>0.1179</v>
      </c>
      <c r="AH320" s="39">
        <v>483</v>
      </c>
      <c r="AI320" s="42">
        <v>9.4799999999999995E-2</v>
      </c>
      <c r="AJ320" s="39" t="s">
        <v>5668</v>
      </c>
      <c r="AK320" s="42">
        <v>0.68979999999999997</v>
      </c>
      <c r="AL320" s="39" t="s">
        <v>5663</v>
      </c>
      <c r="AM320" s="42">
        <v>3.8199999999999998E-2</v>
      </c>
      <c r="AN320" s="42">
        <v>3.7499999999999999E-2</v>
      </c>
      <c r="AO320" s="41">
        <v>75</v>
      </c>
      <c r="AP320" s="39">
        <v>32</v>
      </c>
      <c r="AQ320" s="39">
        <v>57</v>
      </c>
      <c r="AR320" s="45">
        <v>1536</v>
      </c>
      <c r="AS320" s="39">
        <v>10</v>
      </c>
      <c r="AT320" s="39" t="s">
        <v>129</v>
      </c>
      <c r="AU320" s="39">
        <v>15</v>
      </c>
      <c r="AV320" s="39" t="s">
        <v>6518</v>
      </c>
      <c r="AX320" s="39">
        <v>1413.47</v>
      </c>
      <c r="AY320" s="39">
        <v>1428.13</v>
      </c>
      <c r="AZ320" s="39">
        <v>1399.33</v>
      </c>
      <c r="BA320" s="39">
        <v>1355.87</v>
      </c>
      <c r="BB320" s="39">
        <v>1341.73</v>
      </c>
      <c r="BC320" s="39">
        <v>10</v>
      </c>
      <c r="BD320" s="39">
        <v>3</v>
      </c>
      <c r="BE320" s="39">
        <v>5</v>
      </c>
      <c r="BF320" s="39" t="s">
        <v>130</v>
      </c>
      <c r="BG320" s="39">
        <v>391.8</v>
      </c>
      <c r="BH320" s="39">
        <v>0.3</v>
      </c>
      <c r="BI320" s="39" t="s">
        <v>4651</v>
      </c>
      <c r="BJ320" s="39" t="s">
        <v>4563</v>
      </c>
    </row>
    <row r="321" spans="1:62" x14ac:dyDescent="0.35">
      <c r="A321" s="39" t="s">
        <v>252</v>
      </c>
      <c r="B321" s="39" t="str">
        <f>IFERROR(INDEX(added_new_stocks!$F$6:$H$2155,MATCH($A321,added_new_stocks!$F$6:$F$2600,0),3),"")</f>
        <v>Large</v>
      </c>
      <c r="C321" s="48">
        <v>1301.0999999999999</v>
      </c>
      <c r="D321" s="39">
        <v>78</v>
      </c>
      <c r="E321" s="39" t="s">
        <v>4987</v>
      </c>
      <c r="F321" s="39" t="s">
        <v>7631</v>
      </c>
      <c r="G321" s="39" t="s">
        <v>129</v>
      </c>
      <c r="H321" s="39" t="s">
        <v>5665</v>
      </c>
      <c r="I321" s="39" t="s">
        <v>4624</v>
      </c>
      <c r="J321" s="39" t="s">
        <v>7632</v>
      </c>
      <c r="K321" s="39" t="s">
        <v>133</v>
      </c>
      <c r="L321" s="39" t="s">
        <v>7633</v>
      </c>
      <c r="N321" s="39">
        <v>18</v>
      </c>
      <c r="O321" s="39">
        <v>0</v>
      </c>
      <c r="P321" s="39">
        <v>18</v>
      </c>
      <c r="Q321" s="39" t="s">
        <v>14</v>
      </c>
      <c r="R321" s="39">
        <v>0.17</v>
      </c>
      <c r="S321" s="39">
        <v>0.1</v>
      </c>
      <c r="T321" s="39">
        <v>0.83</v>
      </c>
      <c r="U321" s="39">
        <v>7.02</v>
      </c>
      <c r="V321" s="39">
        <v>18.27</v>
      </c>
      <c r="W321" s="39">
        <v>5.64</v>
      </c>
      <c r="X321" s="39">
        <v>-2.15</v>
      </c>
      <c r="Y321" s="39">
        <v>10.24</v>
      </c>
      <c r="Z321" s="39">
        <v>52.78</v>
      </c>
      <c r="AA321" s="39">
        <v>55.25</v>
      </c>
      <c r="AB321" s="39">
        <v>97.51</v>
      </c>
      <c r="AC321" s="39" t="s">
        <v>4538</v>
      </c>
      <c r="AD321" s="39" t="s">
        <v>4606</v>
      </c>
      <c r="AE321" s="39" t="s">
        <v>134</v>
      </c>
      <c r="AF321" s="39">
        <v>32</v>
      </c>
      <c r="AG321" s="42">
        <v>0.1057</v>
      </c>
      <c r="AH321" s="39">
        <v>757</v>
      </c>
      <c r="AI321" s="42">
        <v>0.26219999999999999</v>
      </c>
      <c r="AJ321" s="39" t="s">
        <v>5668</v>
      </c>
      <c r="AK321" s="42">
        <v>0.55449999999999999</v>
      </c>
      <c r="AL321" s="39" t="s">
        <v>5669</v>
      </c>
      <c r="AM321" s="42">
        <v>3.6700000000000003E-2</v>
      </c>
      <c r="AN321" s="42">
        <v>2.01E-2</v>
      </c>
      <c r="AO321" s="41">
        <v>40</v>
      </c>
      <c r="AP321" s="39">
        <v>18</v>
      </c>
      <c r="AQ321" s="39">
        <v>51</v>
      </c>
      <c r="AR321" s="39">
        <v>923</v>
      </c>
      <c r="AS321" s="39">
        <v>11</v>
      </c>
      <c r="AT321" s="39" t="s">
        <v>4562</v>
      </c>
      <c r="AU321" s="39">
        <v>23</v>
      </c>
      <c r="AV321" s="39" t="s">
        <v>6519</v>
      </c>
      <c r="AW321" s="39">
        <v>829.7</v>
      </c>
      <c r="AX321" s="39">
        <v>834.85</v>
      </c>
      <c r="AY321" s="39">
        <v>838.7</v>
      </c>
      <c r="AZ321" s="39">
        <v>820.7</v>
      </c>
      <c r="BA321" s="39">
        <v>816.85</v>
      </c>
      <c r="BB321" s="39">
        <v>811.7</v>
      </c>
      <c r="BC321" s="39">
        <v>7</v>
      </c>
      <c r="BD321" s="39">
        <v>4</v>
      </c>
      <c r="BE321" s="39">
        <v>4</v>
      </c>
      <c r="BF321" s="39">
        <v>1</v>
      </c>
      <c r="BG321" s="39">
        <v>234.4</v>
      </c>
      <c r="BH321" s="39">
        <v>0.3</v>
      </c>
      <c r="BI321" s="39" t="s">
        <v>4563</v>
      </c>
      <c r="BJ321" s="39" t="s">
        <v>132</v>
      </c>
    </row>
    <row r="322" spans="1:62" x14ac:dyDescent="0.35">
      <c r="A322" s="39" t="s">
        <v>197</v>
      </c>
      <c r="B322" s="39" t="str">
        <f>IFERROR(INDEX(added_new_stocks!$F$6:$H$2155,MATCH($A322,added_new_stocks!$F$6:$F$2600,0),3),"")</f>
        <v>Large</v>
      </c>
      <c r="C322" s="39">
        <v>567.65</v>
      </c>
      <c r="D322" s="39">
        <v>74</v>
      </c>
      <c r="G322" s="39" t="s">
        <v>129</v>
      </c>
      <c r="H322" s="39" t="s">
        <v>5670</v>
      </c>
      <c r="I322" s="39" t="s">
        <v>4989</v>
      </c>
      <c r="J322" s="39" t="s">
        <v>5671</v>
      </c>
      <c r="K322" s="39" t="s">
        <v>133</v>
      </c>
      <c r="L322" s="39" t="s">
        <v>5672</v>
      </c>
      <c r="M322" s="39" t="s">
        <v>135</v>
      </c>
      <c r="N322" s="39">
        <v>30</v>
      </c>
      <c r="O322" s="39">
        <v>-5</v>
      </c>
      <c r="P322" s="39">
        <v>25</v>
      </c>
      <c r="Q322" s="39" t="s">
        <v>5060</v>
      </c>
      <c r="R322" s="39">
        <v>-1.31</v>
      </c>
      <c r="S322" s="39">
        <v>-1.6</v>
      </c>
      <c r="T322" s="39">
        <v>-7.86</v>
      </c>
      <c r="U322" s="39">
        <v>-4.25</v>
      </c>
      <c r="V322" s="39">
        <v>6.34</v>
      </c>
      <c r="W322" s="39">
        <v>-7.43</v>
      </c>
      <c r="X322" s="39">
        <v>6.87</v>
      </c>
      <c r="Y322" s="39">
        <v>34.29</v>
      </c>
      <c r="Z322" s="39">
        <v>152.46</v>
      </c>
      <c r="AA322" s="39">
        <v>107.4</v>
      </c>
      <c r="AB322" s="39">
        <v>84.21</v>
      </c>
      <c r="AC322" s="39">
        <v>274.83</v>
      </c>
      <c r="AD322" s="39" t="s">
        <v>4606</v>
      </c>
      <c r="AE322" s="39" t="s">
        <v>134</v>
      </c>
      <c r="AF322" s="39">
        <v>70</v>
      </c>
      <c r="AG322" s="42">
        <v>0.12540000000000001</v>
      </c>
      <c r="AH322" s="39">
        <v>1018</v>
      </c>
      <c r="AI322" s="42">
        <v>0.1036</v>
      </c>
      <c r="AJ322" s="39" t="s">
        <v>5061</v>
      </c>
      <c r="AK322" s="42">
        <v>0.57469999999999999</v>
      </c>
      <c r="AL322" s="39" t="s">
        <v>136</v>
      </c>
      <c r="AM322" s="42">
        <v>8.7599999999999997E-2</v>
      </c>
      <c r="AN322" s="42">
        <v>6.3399999999999998E-2</v>
      </c>
      <c r="AO322" s="41">
        <v>50</v>
      </c>
      <c r="AP322" s="39">
        <v>30</v>
      </c>
      <c r="AQ322" s="39">
        <v>57</v>
      </c>
      <c r="AR322" s="45">
        <v>1576</v>
      </c>
      <c r="AS322" s="39">
        <v>21</v>
      </c>
      <c r="AT322" s="39" t="s">
        <v>129</v>
      </c>
      <c r="AU322" s="39">
        <v>30</v>
      </c>
      <c r="AV322" s="39" t="s">
        <v>6520</v>
      </c>
      <c r="AX322" s="39">
        <v>1307.93</v>
      </c>
      <c r="AY322" s="39">
        <v>1314.22</v>
      </c>
      <c r="AZ322" s="39">
        <v>1302.57</v>
      </c>
      <c r="BA322" s="39">
        <v>1284.6300000000001</v>
      </c>
      <c r="BB322" s="39">
        <v>1279.27</v>
      </c>
      <c r="BC322" s="39">
        <v>9</v>
      </c>
      <c r="BD322" s="39">
        <v>3</v>
      </c>
      <c r="BE322" s="39">
        <v>5</v>
      </c>
      <c r="BF322" s="39" t="s">
        <v>130</v>
      </c>
      <c r="BG322" s="39">
        <v>231.8</v>
      </c>
      <c r="BH322" s="39">
        <v>0.2</v>
      </c>
      <c r="BI322" s="39" t="s">
        <v>4639</v>
      </c>
      <c r="BJ322" s="39" t="s">
        <v>4563</v>
      </c>
    </row>
    <row r="323" spans="1:62" x14ac:dyDescent="0.35">
      <c r="A323" s="39" t="s">
        <v>371</v>
      </c>
      <c r="B323" s="39" t="str">
        <f>IFERROR(INDEX(added_new_stocks!$F$6:$H$2155,MATCH($A323,added_new_stocks!$F$6:$F$2600,0),3),"")</f>
        <v>Large</v>
      </c>
      <c r="C323" s="48">
        <v>3109.55</v>
      </c>
      <c r="D323" s="39">
        <v>58</v>
      </c>
      <c r="G323" s="39" t="s">
        <v>4562</v>
      </c>
      <c r="H323" s="39" t="s">
        <v>7634</v>
      </c>
      <c r="I323" s="39" t="s">
        <v>4989</v>
      </c>
      <c r="J323" s="39" t="s">
        <v>7635</v>
      </c>
      <c r="K323" s="39" t="s">
        <v>133</v>
      </c>
      <c r="L323" s="39" t="s">
        <v>7636</v>
      </c>
      <c r="M323" s="39" t="s">
        <v>4959</v>
      </c>
      <c r="N323" s="39">
        <v>5</v>
      </c>
      <c r="O323" s="39">
        <v>0</v>
      </c>
      <c r="P323" s="39">
        <v>5</v>
      </c>
      <c r="Q323" s="39" t="s">
        <v>4611</v>
      </c>
      <c r="R323" s="39">
        <v>1.0900000000000001</v>
      </c>
      <c r="S323" s="39">
        <v>2.66</v>
      </c>
      <c r="T323" s="39">
        <v>0.95</v>
      </c>
      <c r="U323" s="39">
        <v>8.98</v>
      </c>
      <c r="V323" s="39">
        <v>1.51</v>
      </c>
      <c r="W323" s="39">
        <v>13.3</v>
      </c>
      <c r="X323" s="39">
        <v>2.1800000000000002</v>
      </c>
      <c r="Y323" s="39">
        <v>116.94</v>
      </c>
      <c r="Z323" s="39">
        <v>293.94</v>
      </c>
      <c r="AA323" s="39">
        <v>282.56</v>
      </c>
      <c r="AB323" s="39">
        <v>187.16</v>
      </c>
      <c r="AC323" s="39">
        <v>1194.1400000000001</v>
      </c>
      <c r="AD323" s="39" t="s">
        <v>4606</v>
      </c>
      <c r="AE323" s="39" t="s">
        <v>134</v>
      </c>
      <c r="AF323" s="39">
        <v>27</v>
      </c>
      <c r="AG323" s="42">
        <v>0.14399999999999999</v>
      </c>
      <c r="AH323" s="39">
        <v>184</v>
      </c>
      <c r="AI323" s="42">
        <v>4.0399999999999998E-2</v>
      </c>
      <c r="AJ323" s="39" t="s">
        <v>7637</v>
      </c>
      <c r="AK323" s="42">
        <v>0.27279999999999999</v>
      </c>
      <c r="AL323" s="39" t="s">
        <v>5792</v>
      </c>
      <c r="AM323" s="42">
        <v>3.5400000000000001E-2</v>
      </c>
      <c r="AN323" s="42">
        <v>4.7800000000000002E-2</v>
      </c>
      <c r="AO323" s="41">
        <v>60</v>
      </c>
      <c r="AP323" s="39">
        <v>60</v>
      </c>
      <c r="AQ323" s="39">
        <v>53</v>
      </c>
      <c r="AR323" s="39">
        <v>711</v>
      </c>
      <c r="AS323" s="39">
        <v>25</v>
      </c>
      <c r="AT323" s="39" t="s">
        <v>129</v>
      </c>
      <c r="AU323" s="39">
        <v>37</v>
      </c>
      <c r="AV323" s="39" t="s">
        <v>6521</v>
      </c>
      <c r="AW323" s="39">
        <v>576.82000000000005</v>
      </c>
      <c r="AX323" s="39">
        <v>578.78</v>
      </c>
      <c r="AY323" s="39">
        <v>581.27</v>
      </c>
      <c r="BA323" s="39">
        <v>569.88</v>
      </c>
      <c r="BB323" s="39">
        <v>567.91999999999996</v>
      </c>
      <c r="BC323" s="39">
        <v>15</v>
      </c>
      <c r="BD323" s="39">
        <v>8</v>
      </c>
      <c r="BE323" s="39">
        <v>7</v>
      </c>
      <c r="BF323" s="39" t="s">
        <v>130</v>
      </c>
      <c r="BG323" s="39">
        <v>790.9</v>
      </c>
      <c r="BH323" s="39">
        <v>1.4</v>
      </c>
      <c r="BI323" s="39" t="s">
        <v>131</v>
      </c>
      <c r="BJ323" s="39" t="s">
        <v>4563</v>
      </c>
    </row>
    <row r="324" spans="1:62" x14ac:dyDescent="0.35">
      <c r="A324" s="39" t="s">
        <v>801</v>
      </c>
      <c r="B324" s="39" t="str">
        <f>IFERROR(INDEX(added_new_stocks!$F$6:$H$2155,MATCH($A324,added_new_stocks!$F$6:$F$2600,0),3),"")</f>
        <v>Mid</v>
      </c>
      <c r="C324" s="48">
        <v>1104.25</v>
      </c>
      <c r="D324" s="39">
        <v>44</v>
      </c>
      <c r="G324" s="39" t="s">
        <v>4625</v>
      </c>
      <c r="H324" s="39" t="s">
        <v>7638</v>
      </c>
      <c r="I324" s="39" t="s">
        <v>5677</v>
      </c>
      <c r="J324" s="39" t="s">
        <v>7639</v>
      </c>
      <c r="K324" s="39" t="s">
        <v>133</v>
      </c>
      <c r="L324" s="39" t="s">
        <v>5679</v>
      </c>
      <c r="M324" s="39" t="s">
        <v>5047</v>
      </c>
      <c r="N324" s="39">
        <v>2</v>
      </c>
      <c r="O324" s="39">
        <v>-6</v>
      </c>
      <c r="P324" s="39">
        <v>-4</v>
      </c>
      <c r="Q324" s="39" t="s">
        <v>4611</v>
      </c>
      <c r="R324" s="39">
        <v>0.01</v>
      </c>
      <c r="S324" s="39">
        <v>-1.56</v>
      </c>
      <c r="T324" s="39">
        <v>-7.3</v>
      </c>
      <c r="U324" s="39">
        <v>6.96</v>
      </c>
      <c r="V324" s="39">
        <v>-3.05</v>
      </c>
      <c r="W324" s="39">
        <v>-14.91</v>
      </c>
      <c r="X324" s="39">
        <v>-26.03</v>
      </c>
      <c r="Y324" s="39">
        <v>-5.5</v>
      </c>
      <c r="Z324" s="39">
        <v>60.06</v>
      </c>
      <c r="AA324" s="39">
        <v>80.489999999999995</v>
      </c>
      <c r="AB324" s="39">
        <v>29.05</v>
      </c>
      <c r="AC324" s="39" t="s">
        <v>4538</v>
      </c>
      <c r="AD324" s="39" t="s">
        <v>4606</v>
      </c>
      <c r="AE324" s="39" t="s">
        <v>134</v>
      </c>
      <c r="AF324" s="39">
        <v>8</v>
      </c>
      <c r="AG324" s="42">
        <v>0.21890000000000001</v>
      </c>
      <c r="AH324" s="39">
        <v>75</v>
      </c>
      <c r="AI324" s="42">
        <v>3.2099999999999997E-2</v>
      </c>
      <c r="AJ324" s="39" t="s">
        <v>5680</v>
      </c>
      <c r="AK324" s="42">
        <v>0.3503</v>
      </c>
      <c r="AL324" s="39" t="s">
        <v>5000</v>
      </c>
      <c r="AM324" s="42">
        <v>8.6800000000000002E-2</v>
      </c>
      <c r="AN324" s="42">
        <v>1.5800000000000002E-2</v>
      </c>
      <c r="AO324" s="41">
        <v>70</v>
      </c>
      <c r="AP324" s="39">
        <v>15</v>
      </c>
      <c r="AQ324" s="39">
        <v>56</v>
      </c>
      <c r="AR324" s="45">
        <v>3157</v>
      </c>
      <c r="AS324" s="39">
        <v>3</v>
      </c>
      <c r="AT324" s="39" t="s">
        <v>4562</v>
      </c>
      <c r="AU324" s="39">
        <v>7</v>
      </c>
      <c r="AV324" s="39" t="s">
        <v>6522</v>
      </c>
      <c r="AW324" s="39">
        <v>3117.43</v>
      </c>
      <c r="AX324" s="39">
        <v>3155.17</v>
      </c>
      <c r="AY324" s="39">
        <v>3190.88</v>
      </c>
      <c r="AZ324" s="39">
        <v>3043.98</v>
      </c>
      <c r="BA324" s="39">
        <v>3008.27</v>
      </c>
      <c r="BB324" s="39">
        <v>2970.53</v>
      </c>
      <c r="BC324" s="39">
        <v>9</v>
      </c>
      <c r="BD324" s="39">
        <v>2</v>
      </c>
      <c r="BE324" s="39">
        <v>2</v>
      </c>
      <c r="BF324" s="39" t="s">
        <v>130</v>
      </c>
      <c r="BG324" s="39">
        <v>597</v>
      </c>
      <c r="BH324" s="39">
        <v>0.2</v>
      </c>
      <c r="BI324" s="39" t="s">
        <v>131</v>
      </c>
      <c r="BJ324" s="39" t="s">
        <v>132</v>
      </c>
    </row>
    <row r="325" spans="1:62" x14ac:dyDescent="0.35">
      <c r="A325" s="39" t="s">
        <v>274</v>
      </c>
      <c r="B325" s="39" t="str">
        <f>IFERROR(INDEX(added_new_stocks!$F$6:$H$2155,MATCH($A325,added_new_stocks!$F$6:$F$2600,0),3),"")</f>
        <v>Large</v>
      </c>
      <c r="C325" s="48">
        <v>24047.85</v>
      </c>
      <c r="D325" s="39">
        <v>35</v>
      </c>
      <c r="G325" s="39" t="s">
        <v>4625</v>
      </c>
      <c r="H325" s="39" t="s">
        <v>7640</v>
      </c>
      <c r="I325" s="39" t="s">
        <v>4976</v>
      </c>
      <c r="J325" s="39" t="s">
        <v>7641</v>
      </c>
      <c r="K325" s="39" t="s">
        <v>4615</v>
      </c>
      <c r="L325" s="39" t="s">
        <v>7642</v>
      </c>
      <c r="M325" s="39" t="s">
        <v>4959</v>
      </c>
      <c r="N325" s="39">
        <v>10</v>
      </c>
      <c r="O325" s="39">
        <v>-8</v>
      </c>
      <c r="P325" s="39">
        <v>2</v>
      </c>
      <c r="Q325" s="39" t="s">
        <v>4611</v>
      </c>
      <c r="R325" s="39">
        <v>-0.34</v>
      </c>
      <c r="S325" s="39">
        <v>1.59</v>
      </c>
      <c r="T325" s="39" t="s">
        <v>4538</v>
      </c>
      <c r="U325" s="39">
        <v>-6.02</v>
      </c>
      <c r="V325" s="39">
        <v>-9.52</v>
      </c>
      <c r="W325" s="39">
        <v>3.26</v>
      </c>
      <c r="X325" s="39">
        <v>8.9499999999999993</v>
      </c>
      <c r="Y325" s="39">
        <v>-11.45</v>
      </c>
      <c r="Z325" s="39">
        <v>12.74</v>
      </c>
      <c r="AA325" s="39">
        <v>29.47</v>
      </c>
      <c r="AB325" s="39">
        <v>27.45</v>
      </c>
      <c r="AC325" s="39">
        <v>568.78</v>
      </c>
      <c r="AD325" s="39" t="s">
        <v>4606</v>
      </c>
      <c r="AE325" s="39" t="s">
        <v>134</v>
      </c>
      <c r="AF325" s="39">
        <v>23</v>
      </c>
      <c r="AG325" s="42">
        <v>7.1499999999999994E-2</v>
      </c>
      <c r="AH325" s="39">
        <v>501</v>
      </c>
      <c r="AI325" s="42">
        <v>0.12620000000000001</v>
      </c>
      <c r="AJ325" s="39" t="s">
        <v>7643</v>
      </c>
      <c r="AK325" s="42">
        <v>0.249</v>
      </c>
      <c r="AL325" s="39" t="s">
        <v>7644</v>
      </c>
      <c r="AM325" s="42">
        <v>9.98E-2</v>
      </c>
      <c r="AN325" s="43">
        <v>0.02</v>
      </c>
      <c r="AO325" s="41">
        <v>50</v>
      </c>
      <c r="AP325" s="39">
        <v>19</v>
      </c>
      <c r="AQ325" s="39">
        <v>37</v>
      </c>
      <c r="AR325" s="45">
        <v>1354</v>
      </c>
      <c r="AS325" s="39">
        <v>23</v>
      </c>
      <c r="AT325" s="39" t="s">
        <v>129</v>
      </c>
      <c r="AU325" s="39">
        <v>4</v>
      </c>
      <c r="AV325" s="39" t="s">
        <v>6523</v>
      </c>
      <c r="AW325" s="39">
        <v>1118.3699999999999</v>
      </c>
      <c r="AX325" s="39">
        <v>1134.18</v>
      </c>
      <c r="AY325" s="39">
        <v>1143.3699999999999</v>
      </c>
      <c r="AZ325" s="39">
        <v>1093.3699999999999</v>
      </c>
      <c r="BA325" s="39">
        <v>1084.18</v>
      </c>
      <c r="BB325" s="39">
        <v>1068.3699999999999</v>
      </c>
      <c r="BC325" s="39">
        <v>2</v>
      </c>
      <c r="BD325" s="39">
        <v>11</v>
      </c>
      <c r="BE325" s="39">
        <v>1</v>
      </c>
      <c r="BF325" s="39" t="s">
        <v>130</v>
      </c>
      <c r="BG325" s="39">
        <v>276.8</v>
      </c>
      <c r="BH325" s="39">
        <v>0.3</v>
      </c>
      <c r="BI325" s="39" t="s">
        <v>4565</v>
      </c>
      <c r="BJ325" s="39" t="s">
        <v>4563</v>
      </c>
    </row>
    <row r="326" spans="1:62" x14ac:dyDescent="0.35">
      <c r="A326" s="39" t="s">
        <v>354</v>
      </c>
      <c r="B326" s="39" t="str">
        <f>IFERROR(INDEX(added_new_stocks!$F$6:$H$2155,MATCH($A326,added_new_stocks!$F$6:$F$2600,0),3),"")</f>
        <v>Large</v>
      </c>
      <c r="C326" s="48">
        <v>1882.75</v>
      </c>
      <c r="D326" s="39">
        <v>72</v>
      </c>
      <c r="G326" s="39" t="s">
        <v>129</v>
      </c>
      <c r="H326" s="39" t="s">
        <v>7645</v>
      </c>
      <c r="I326" s="39" t="s">
        <v>4624</v>
      </c>
      <c r="J326" s="39" t="s">
        <v>7646</v>
      </c>
      <c r="K326" s="39" t="s">
        <v>133</v>
      </c>
      <c r="L326" s="39" t="s">
        <v>7647</v>
      </c>
      <c r="M326" s="39" t="s">
        <v>4620</v>
      </c>
      <c r="N326" s="39">
        <v>16</v>
      </c>
      <c r="O326" s="39">
        <v>-3</v>
      </c>
      <c r="P326" s="39">
        <v>13</v>
      </c>
      <c r="Q326" s="39" t="s">
        <v>14</v>
      </c>
      <c r="R326" s="39">
        <v>0.56999999999999995</v>
      </c>
      <c r="S326" s="39">
        <v>1.63</v>
      </c>
      <c r="T326" s="39">
        <v>3.61</v>
      </c>
      <c r="U326" s="39">
        <v>32.79</v>
      </c>
      <c r="V326" s="39">
        <v>55.46</v>
      </c>
      <c r="W326" s="39">
        <v>36.450000000000003</v>
      </c>
      <c r="X326" s="39">
        <v>38.99</v>
      </c>
      <c r="Y326" s="39">
        <v>40.98</v>
      </c>
      <c r="Z326" s="39">
        <v>143.85</v>
      </c>
      <c r="AA326" s="39">
        <v>94.86</v>
      </c>
      <c r="AB326" s="39">
        <v>40.340000000000003</v>
      </c>
      <c r="AC326" s="39">
        <v>262.83</v>
      </c>
      <c r="AD326" s="39" t="s">
        <v>4974</v>
      </c>
      <c r="AE326" s="39" t="s">
        <v>134</v>
      </c>
      <c r="AF326" s="39">
        <v>28</v>
      </c>
      <c r="AG326" s="42">
        <v>8.8400000000000006E-2</v>
      </c>
      <c r="AH326" s="39">
        <v>846</v>
      </c>
      <c r="AI326" s="42">
        <v>0.55359999999999998</v>
      </c>
      <c r="AJ326" s="39" t="s">
        <v>7648</v>
      </c>
      <c r="AK326" s="42">
        <v>0.17910000000000001</v>
      </c>
      <c r="AL326" s="39" t="s">
        <v>136</v>
      </c>
      <c r="AM326" s="42">
        <v>3.44E-2</v>
      </c>
      <c r="AN326" s="42">
        <v>3.5299999999999998E-2</v>
      </c>
      <c r="AO326" s="41">
        <v>60</v>
      </c>
      <c r="AP326" s="39">
        <v>21</v>
      </c>
      <c r="AQ326" s="39">
        <v>44</v>
      </c>
      <c r="AR326" s="45">
        <v>23717</v>
      </c>
      <c r="AS326" s="39">
        <v>-1</v>
      </c>
      <c r="AT326" s="39" t="s">
        <v>4625</v>
      </c>
      <c r="AU326" s="39">
        <v>40</v>
      </c>
      <c r="AV326" s="39" t="s">
        <v>6524</v>
      </c>
      <c r="AW326" s="39">
        <v>24196.1</v>
      </c>
      <c r="AX326" s="39">
        <v>24262</v>
      </c>
      <c r="AY326" s="39">
        <v>24356.05</v>
      </c>
      <c r="AZ326" s="39">
        <v>24036.15</v>
      </c>
      <c r="BA326" s="39">
        <v>23942.1</v>
      </c>
      <c r="BB326" s="39">
        <v>23876.2</v>
      </c>
      <c r="BC326" s="39">
        <v>6</v>
      </c>
      <c r="BD326" s="39">
        <v>4</v>
      </c>
      <c r="BE326" s="39">
        <v>2</v>
      </c>
      <c r="BF326" s="39" t="s">
        <v>130</v>
      </c>
      <c r="BG326" s="48">
        <v>7104.4</v>
      </c>
      <c r="BH326" s="39">
        <v>0.3</v>
      </c>
      <c r="BI326" s="39" t="s">
        <v>4651</v>
      </c>
      <c r="BJ326" s="39" t="s">
        <v>132</v>
      </c>
    </row>
    <row r="327" spans="1:62" x14ac:dyDescent="0.35">
      <c r="A327" s="39" t="s">
        <v>936</v>
      </c>
      <c r="B327" s="39" t="str">
        <f>IFERROR(INDEX(added_new_stocks!$F$6:$H$2155,MATCH($A327,added_new_stocks!$F$6:$F$2600,0),3),"")</f>
        <v>Mid</v>
      </c>
      <c r="C327" s="39">
        <v>473.4</v>
      </c>
      <c r="D327" s="39">
        <v>57</v>
      </c>
      <c r="G327" s="39" t="s">
        <v>4562</v>
      </c>
      <c r="H327" s="39" t="s">
        <v>7649</v>
      </c>
      <c r="I327" s="39" t="s">
        <v>4624</v>
      </c>
      <c r="J327" s="39" t="s">
        <v>7650</v>
      </c>
      <c r="K327" s="39" t="s">
        <v>133</v>
      </c>
      <c r="L327" s="39" t="s">
        <v>4998</v>
      </c>
      <c r="M327" s="39" t="s">
        <v>4959</v>
      </c>
      <c r="N327" s="39">
        <v>0</v>
      </c>
      <c r="O327" s="39">
        <v>-10</v>
      </c>
      <c r="P327" s="39">
        <v>-10</v>
      </c>
      <c r="Q327" s="39" t="s">
        <v>4605</v>
      </c>
      <c r="R327" s="39">
        <v>-0.79</v>
      </c>
      <c r="S327" s="39">
        <v>0.71</v>
      </c>
      <c r="T327" s="39">
        <v>20.399999999999999</v>
      </c>
      <c r="U327" s="39">
        <v>58.27</v>
      </c>
      <c r="V327" s="39">
        <v>73.03</v>
      </c>
      <c r="W327" s="39">
        <v>51</v>
      </c>
      <c r="X327" s="39">
        <v>56.81</v>
      </c>
      <c r="Y327" s="39">
        <v>19.940000000000001</v>
      </c>
      <c r="Z327" s="39" t="s">
        <v>4538</v>
      </c>
      <c r="AA327" s="39" t="s">
        <v>4538</v>
      </c>
      <c r="AB327" s="39" t="s">
        <v>4538</v>
      </c>
      <c r="AC327" s="39" t="s">
        <v>4538</v>
      </c>
      <c r="AD327" s="39" t="s">
        <v>4606</v>
      </c>
      <c r="AE327" s="39" t="s">
        <v>134</v>
      </c>
      <c r="AF327" s="39">
        <v>10</v>
      </c>
      <c r="AG327" s="42">
        <v>2.7199999999999998E-2</v>
      </c>
      <c r="AH327" s="39">
        <v>20</v>
      </c>
      <c r="AI327" s="42">
        <v>6.4999999999999997E-3</v>
      </c>
      <c r="AJ327" s="39" t="s">
        <v>7651</v>
      </c>
      <c r="AK327" s="42">
        <v>0.27650000000000002</v>
      </c>
      <c r="AL327" s="39" t="s">
        <v>7652</v>
      </c>
      <c r="AM327" s="42">
        <v>2.0299999999999999E-2</v>
      </c>
      <c r="AN327" s="42">
        <v>6.0499999999999998E-2</v>
      </c>
      <c r="AO327" s="41">
        <v>55</v>
      </c>
      <c r="AP327" s="39">
        <v>52</v>
      </c>
      <c r="AQ327" s="39">
        <v>64</v>
      </c>
      <c r="AR327" s="45">
        <v>2023</v>
      </c>
      <c r="AS327" s="39">
        <v>7</v>
      </c>
      <c r="AT327" s="39" t="s">
        <v>129</v>
      </c>
      <c r="AU327" s="39">
        <v>32</v>
      </c>
      <c r="AV327" s="39" t="s">
        <v>6525</v>
      </c>
      <c r="AX327" s="39">
        <v>1896.88</v>
      </c>
      <c r="AY327" s="39">
        <v>1915.77</v>
      </c>
      <c r="AZ327" s="39">
        <v>1884.57</v>
      </c>
      <c r="BA327" s="39">
        <v>1834.48</v>
      </c>
      <c r="BB327" s="39">
        <v>1822.17</v>
      </c>
      <c r="BC327" s="39">
        <v>12</v>
      </c>
      <c r="BD327" s="39">
        <v>4</v>
      </c>
      <c r="BE327" s="39">
        <v>8</v>
      </c>
      <c r="BF327" s="39" t="s">
        <v>130</v>
      </c>
      <c r="BG327" s="48">
        <v>2026.6</v>
      </c>
      <c r="BH327" s="39">
        <v>1.1000000000000001</v>
      </c>
      <c r="BI327" s="39" t="s">
        <v>131</v>
      </c>
      <c r="BJ327" s="39" t="s">
        <v>4565</v>
      </c>
    </row>
    <row r="328" spans="1:62" x14ac:dyDescent="0.35">
      <c r="A328" s="39" t="s">
        <v>248</v>
      </c>
      <c r="B328" s="39" t="str">
        <f>IFERROR(INDEX(added_new_stocks!$F$6:$H$2155,MATCH($A328,added_new_stocks!$F$6:$F$2600,0),3),"")</f>
        <v>Large</v>
      </c>
      <c r="C328" s="48">
        <v>3868.5</v>
      </c>
      <c r="D328" s="39">
        <v>71</v>
      </c>
      <c r="G328" s="39" t="s">
        <v>129</v>
      </c>
      <c r="H328" s="39" t="s">
        <v>7653</v>
      </c>
      <c r="I328" s="39" t="s">
        <v>4624</v>
      </c>
      <c r="J328" s="39" t="s">
        <v>7654</v>
      </c>
      <c r="K328" s="39" t="s">
        <v>133</v>
      </c>
      <c r="L328" s="39" t="s">
        <v>5687</v>
      </c>
      <c r="M328" s="39" t="s">
        <v>4959</v>
      </c>
      <c r="N328" s="39">
        <v>16</v>
      </c>
      <c r="O328" s="39">
        <v>-1</v>
      </c>
      <c r="P328" s="39">
        <v>15</v>
      </c>
      <c r="Q328" s="39" t="s">
        <v>14</v>
      </c>
      <c r="R328" s="39">
        <v>0.09</v>
      </c>
      <c r="S328" s="39">
        <v>4.0599999999999996</v>
      </c>
      <c r="T328" s="39">
        <v>0.31</v>
      </c>
      <c r="U328" s="39">
        <v>8.69</v>
      </c>
      <c r="V328" s="39">
        <v>23.41</v>
      </c>
      <c r="W328" s="39">
        <v>36.92</v>
      </c>
      <c r="X328" s="39">
        <v>34.15</v>
      </c>
      <c r="Y328" s="39">
        <v>71.260000000000005</v>
      </c>
      <c r="Z328" s="39">
        <v>216.95</v>
      </c>
      <c r="AA328" s="39">
        <v>221.29</v>
      </c>
      <c r="AB328" s="39">
        <v>283.45999999999998</v>
      </c>
      <c r="AC328" s="39">
        <v>795.49</v>
      </c>
      <c r="AD328" s="39" t="s">
        <v>4606</v>
      </c>
      <c r="AE328" s="39" t="s">
        <v>134</v>
      </c>
      <c r="AF328" s="39">
        <v>29</v>
      </c>
      <c r="AG328" s="42">
        <v>3.2800000000000003E-2</v>
      </c>
      <c r="AH328" s="39">
        <v>647</v>
      </c>
      <c r="AI328" s="42">
        <v>7.5899999999999995E-2</v>
      </c>
      <c r="AJ328" s="39" t="s">
        <v>5688</v>
      </c>
      <c r="AK328" s="42">
        <v>0.47699999999999998</v>
      </c>
      <c r="AL328" s="39" t="s">
        <v>136</v>
      </c>
      <c r="AM328" s="42">
        <v>2.63E-2</v>
      </c>
      <c r="AN328" s="42">
        <v>7.5399999999999995E-2</v>
      </c>
      <c r="AO328" s="41">
        <v>55</v>
      </c>
      <c r="AP328" s="39">
        <v>55</v>
      </c>
      <c r="AQ328" s="39">
        <v>61</v>
      </c>
      <c r="AR328" s="39">
        <v>584</v>
      </c>
      <c r="AS328" s="39">
        <v>24</v>
      </c>
      <c r="AT328" s="39" t="s">
        <v>4633</v>
      </c>
      <c r="AU328" s="39">
        <v>3</v>
      </c>
      <c r="AV328" s="39" t="s">
        <v>6526</v>
      </c>
      <c r="AW328" s="39">
        <v>483.07</v>
      </c>
      <c r="AX328" s="39">
        <v>488.33</v>
      </c>
      <c r="AY328" s="39">
        <v>491.87</v>
      </c>
      <c r="BA328" s="39">
        <v>470.73</v>
      </c>
      <c r="BB328" s="39">
        <v>465.47</v>
      </c>
      <c r="BC328" s="39">
        <v>9</v>
      </c>
      <c r="BD328" s="39">
        <v>5</v>
      </c>
      <c r="BE328" s="39">
        <v>3</v>
      </c>
      <c r="BF328" s="39">
        <v>1</v>
      </c>
      <c r="BG328" s="39">
        <v>420.3</v>
      </c>
      <c r="BH328" s="39">
        <v>0.9</v>
      </c>
      <c r="BI328" s="39" t="s">
        <v>4565</v>
      </c>
      <c r="BJ328" s="39" t="s">
        <v>4563</v>
      </c>
    </row>
    <row r="329" spans="1:62" x14ac:dyDescent="0.35">
      <c r="A329" s="39" t="s">
        <v>1112</v>
      </c>
      <c r="B329" s="39" t="str">
        <f>IFERROR(INDEX(added_new_stocks!$F$6:$H$2155,MATCH($A329,added_new_stocks!$F$6:$F$2600,0),3),"")</f>
        <v>Small</v>
      </c>
      <c r="C329" s="48">
        <v>2366</v>
      </c>
      <c r="D329" s="39">
        <v>58</v>
      </c>
      <c r="G329" s="39" t="s">
        <v>4562</v>
      </c>
      <c r="H329" s="39" t="s">
        <v>5473</v>
      </c>
      <c r="I329" s="39" t="s">
        <v>4989</v>
      </c>
      <c r="J329" s="39" t="s">
        <v>7433</v>
      </c>
      <c r="K329" s="39" t="s">
        <v>4957</v>
      </c>
      <c r="L329" s="39" t="s">
        <v>7434</v>
      </c>
      <c r="M329" s="39" t="s">
        <v>4620</v>
      </c>
      <c r="N329" s="39">
        <v>0</v>
      </c>
      <c r="O329" s="39">
        <v>-6</v>
      </c>
      <c r="P329" s="39">
        <v>-6</v>
      </c>
      <c r="Q329" s="39" t="s">
        <v>4605</v>
      </c>
      <c r="R329" s="39">
        <v>2.4</v>
      </c>
      <c r="S329" s="39">
        <v>0.49</v>
      </c>
      <c r="T329" s="39">
        <v>5.16</v>
      </c>
      <c r="U329" s="39">
        <v>19.920000000000002</v>
      </c>
      <c r="V329" s="39">
        <v>15.53</v>
      </c>
      <c r="W329" s="39">
        <v>19.78</v>
      </c>
      <c r="X329" s="39">
        <v>11.03</v>
      </c>
      <c r="Y329" s="39">
        <v>-17.48</v>
      </c>
      <c r="Z329" s="39">
        <v>103.17</v>
      </c>
      <c r="AA329" s="39">
        <v>142.53</v>
      </c>
      <c r="AB329" s="39">
        <v>87.64</v>
      </c>
      <c r="AC329" s="39">
        <v>458.15</v>
      </c>
      <c r="AD329" s="39" t="s">
        <v>4606</v>
      </c>
      <c r="AE329" s="39" t="s">
        <v>134</v>
      </c>
      <c r="AF329" s="39">
        <v>125</v>
      </c>
      <c r="AG329" s="42">
        <v>0.13039999999999999</v>
      </c>
      <c r="AH329" s="39">
        <v>528</v>
      </c>
      <c r="AI329" s="42">
        <v>0.1719</v>
      </c>
      <c r="AJ329" s="39" t="s">
        <v>5476</v>
      </c>
      <c r="AK329" s="42">
        <v>0.55579999999999996</v>
      </c>
      <c r="AL329" s="39" t="s">
        <v>136</v>
      </c>
      <c r="AM329" s="39" t="s">
        <v>5477</v>
      </c>
      <c r="AN329" s="42">
        <v>4.6300000000000001E-2</v>
      </c>
      <c r="AO329" s="41">
        <v>75</v>
      </c>
      <c r="AP329" s="39">
        <v>14</v>
      </c>
      <c r="AQ329" s="39">
        <v>67</v>
      </c>
      <c r="AR329" s="45">
        <v>3800</v>
      </c>
      <c r="AS329" s="39">
        <v>-2</v>
      </c>
      <c r="AT329" s="39" t="s">
        <v>4562</v>
      </c>
      <c r="AU329" s="39">
        <v>22</v>
      </c>
      <c r="AV329" s="39" t="s">
        <v>6527</v>
      </c>
      <c r="AW329" s="39">
        <v>3883.07</v>
      </c>
      <c r="AX329" s="39">
        <v>3900.78</v>
      </c>
      <c r="AY329" s="39">
        <v>3916.57</v>
      </c>
      <c r="AZ329" s="39">
        <v>3849.57</v>
      </c>
      <c r="BA329" s="39">
        <v>3833.78</v>
      </c>
      <c r="BB329" s="39">
        <v>3816.07</v>
      </c>
      <c r="BC329" s="39">
        <v>14</v>
      </c>
      <c r="BD329" s="39">
        <v>2</v>
      </c>
      <c r="BE329" s="39">
        <v>5</v>
      </c>
      <c r="BF329" s="39" t="s">
        <v>130</v>
      </c>
      <c r="BG329" s="39">
        <v>649</v>
      </c>
      <c r="BH329" s="39">
        <v>0.2</v>
      </c>
      <c r="BI329" s="39" t="s">
        <v>4639</v>
      </c>
      <c r="BJ329" s="39" t="s">
        <v>4563</v>
      </c>
    </row>
    <row r="330" spans="1:62" x14ac:dyDescent="0.35">
      <c r="A330" s="39" t="s">
        <v>1868</v>
      </c>
      <c r="B330" s="39" t="str">
        <f>IFERROR(INDEX(added_new_stocks!$F$6:$H$2155,MATCH($A330,added_new_stocks!$F$6:$F$2600,0),3),"")</f>
        <v>Small</v>
      </c>
      <c r="C330" s="39">
        <v>676.65</v>
      </c>
      <c r="D330" s="39">
        <v>65</v>
      </c>
      <c r="G330" s="39" t="s">
        <v>4562</v>
      </c>
      <c r="H330" s="39" t="s">
        <v>7655</v>
      </c>
      <c r="I330" s="39" t="s">
        <v>4624</v>
      </c>
      <c r="J330" s="39" t="s">
        <v>7656</v>
      </c>
      <c r="K330" s="39" t="s">
        <v>133</v>
      </c>
      <c r="L330" s="39" t="s">
        <v>4998</v>
      </c>
      <c r="M330" s="39" t="s">
        <v>4959</v>
      </c>
      <c r="N330" s="39">
        <v>1</v>
      </c>
      <c r="O330" s="39">
        <v>0</v>
      </c>
      <c r="P330" s="39">
        <v>1</v>
      </c>
      <c r="Q330" s="39" t="s">
        <v>4611</v>
      </c>
      <c r="R330" s="39">
        <v>2.17</v>
      </c>
      <c r="S330" s="39">
        <v>4.3</v>
      </c>
      <c r="T330" s="39">
        <v>4.84</v>
      </c>
      <c r="U330" s="39">
        <v>41.34</v>
      </c>
      <c r="V330" s="39">
        <v>58.3</v>
      </c>
      <c r="W330" s="39">
        <v>37.47</v>
      </c>
      <c r="X330" s="39">
        <v>40.409999999999997</v>
      </c>
      <c r="Y330" s="39" t="s">
        <v>4538</v>
      </c>
      <c r="Z330" s="39" t="s">
        <v>4538</v>
      </c>
      <c r="AA330" s="39" t="s">
        <v>4538</v>
      </c>
      <c r="AB330" s="39" t="s">
        <v>4538</v>
      </c>
      <c r="AC330" s="39" t="s">
        <v>4538</v>
      </c>
      <c r="AD330" s="39" t="s">
        <v>4606</v>
      </c>
      <c r="AE330" s="39" t="s">
        <v>134</v>
      </c>
      <c r="AF330" s="39">
        <v>4</v>
      </c>
      <c r="AG330" s="42">
        <v>9.1499999999999998E-2</v>
      </c>
      <c r="AH330" s="39">
        <v>11</v>
      </c>
      <c r="AI330" s="42">
        <v>5.3199999999999997E-2</v>
      </c>
      <c r="AJ330" s="39" t="s">
        <v>7657</v>
      </c>
      <c r="AK330" s="42">
        <v>0.34150000000000003</v>
      </c>
      <c r="AL330" s="39" t="s">
        <v>5118</v>
      </c>
      <c r="AM330" s="42">
        <v>4.4400000000000002E-2</v>
      </c>
      <c r="AN330" s="42">
        <v>0.24990000000000001</v>
      </c>
      <c r="AO330" s="41">
        <v>70</v>
      </c>
      <c r="AP330" s="39">
        <v>30</v>
      </c>
      <c r="AQ330" s="39">
        <v>58</v>
      </c>
      <c r="AR330" s="45">
        <v>2270</v>
      </c>
      <c r="AS330" s="39">
        <v>-4</v>
      </c>
      <c r="AT330" s="39" t="s">
        <v>4562</v>
      </c>
      <c r="AU330" s="39">
        <v>27</v>
      </c>
      <c r="AV330" s="39" t="s">
        <v>6528</v>
      </c>
      <c r="AY330" s="39">
        <v>2376</v>
      </c>
      <c r="AZ330" s="39">
        <v>2335.0500000000002</v>
      </c>
      <c r="BA330" s="39">
        <v>2359.1</v>
      </c>
      <c r="BB330" s="39">
        <v>2253.15</v>
      </c>
      <c r="BC330" s="39">
        <v>11</v>
      </c>
      <c r="BD330" s="39">
        <v>7</v>
      </c>
      <c r="BE330" s="39">
        <v>5</v>
      </c>
      <c r="BF330" s="39" t="s">
        <v>130</v>
      </c>
      <c r="BG330" s="39">
        <v>905.3</v>
      </c>
      <c r="BH330" s="39">
        <v>0.4</v>
      </c>
      <c r="BI330" s="39" t="s">
        <v>131</v>
      </c>
      <c r="BJ330" s="39" t="s">
        <v>4563</v>
      </c>
    </row>
    <row r="331" spans="1:62" x14ac:dyDescent="0.35">
      <c r="A331" s="39" t="s">
        <v>559</v>
      </c>
      <c r="B331" s="39" t="str">
        <f>IFERROR(INDEX(added_new_stocks!$F$6:$H$2155,MATCH($A331,added_new_stocks!$F$6:$F$2600,0),3),"")</f>
        <v>Large</v>
      </c>
      <c r="C331" s="48">
        <v>5186.95</v>
      </c>
      <c r="D331" s="39">
        <v>64</v>
      </c>
      <c r="G331" s="39" t="s">
        <v>4562</v>
      </c>
      <c r="H331" s="39" t="s">
        <v>7658</v>
      </c>
      <c r="I331" s="39" t="s">
        <v>4624</v>
      </c>
      <c r="J331" s="39" t="s">
        <v>7659</v>
      </c>
      <c r="K331" s="39" t="s">
        <v>133</v>
      </c>
      <c r="L331" s="39" t="s">
        <v>5413</v>
      </c>
      <c r="M331" s="39" t="s">
        <v>4959</v>
      </c>
      <c r="N331" s="39">
        <v>8</v>
      </c>
      <c r="O331" s="39">
        <v>0</v>
      </c>
      <c r="P331" s="39">
        <v>8</v>
      </c>
      <c r="Q331" s="39" t="s">
        <v>14</v>
      </c>
      <c r="R331" s="39">
        <v>1.96</v>
      </c>
      <c r="S331" s="39">
        <v>1.78</v>
      </c>
      <c r="T331" s="39">
        <v>-2.48</v>
      </c>
      <c r="U331" s="39">
        <v>16.64</v>
      </c>
      <c r="V331" s="39">
        <v>16.54</v>
      </c>
      <c r="W331" s="39">
        <v>15.24</v>
      </c>
      <c r="X331" s="39">
        <v>6.74</v>
      </c>
      <c r="Y331" s="39">
        <v>70.38</v>
      </c>
      <c r="Z331" s="39">
        <v>214.32</v>
      </c>
      <c r="AA331" s="39">
        <v>179.49</v>
      </c>
      <c r="AB331" s="39">
        <v>194.56</v>
      </c>
      <c r="AC331" s="39">
        <v>988.21</v>
      </c>
      <c r="AD331" s="39" t="s">
        <v>4606</v>
      </c>
      <c r="AE331" s="39" t="s">
        <v>134</v>
      </c>
      <c r="AF331" s="39">
        <v>25</v>
      </c>
      <c r="AG331" s="42">
        <v>0.26390000000000002</v>
      </c>
      <c r="AH331" s="39">
        <v>126</v>
      </c>
      <c r="AI331" s="42">
        <v>6.4199999999999993E-2</v>
      </c>
      <c r="AJ331" s="39" t="s">
        <v>5414</v>
      </c>
      <c r="AK331" s="42">
        <v>0.45850000000000002</v>
      </c>
      <c r="AL331" s="39" t="s">
        <v>5410</v>
      </c>
      <c r="AM331" s="42">
        <v>8.3099999999999993E-2</v>
      </c>
      <c r="AN331" s="42">
        <v>8.9399999999999993E-2</v>
      </c>
      <c r="AO331" s="41">
        <v>65</v>
      </c>
      <c r="AP331" s="39">
        <v>28</v>
      </c>
      <c r="AQ331" s="39">
        <v>60</v>
      </c>
      <c r="AR331" s="39">
        <v>729</v>
      </c>
      <c r="AS331" s="39">
        <v>7</v>
      </c>
      <c r="AT331" s="39" t="s">
        <v>4633</v>
      </c>
      <c r="AU331" s="39">
        <v>3</v>
      </c>
      <c r="AV331" s="39" t="s">
        <v>6529</v>
      </c>
      <c r="AX331" s="39">
        <v>694.13</v>
      </c>
      <c r="AY331" s="39">
        <v>719.07</v>
      </c>
      <c r="AZ331" s="39">
        <v>678.37</v>
      </c>
      <c r="BA331" s="39">
        <v>612.73</v>
      </c>
      <c r="BB331" s="39">
        <v>596.97</v>
      </c>
      <c r="BC331" s="39">
        <v>10</v>
      </c>
      <c r="BD331" s="39">
        <v>3</v>
      </c>
      <c r="BE331" s="39">
        <v>9</v>
      </c>
      <c r="BF331" s="39" t="s">
        <v>130</v>
      </c>
      <c r="BG331" s="39">
        <v>263.2</v>
      </c>
      <c r="BH331" s="39">
        <v>0.4</v>
      </c>
      <c r="BI331" s="39" t="s">
        <v>4563</v>
      </c>
      <c r="BJ331" s="39" t="s">
        <v>4563</v>
      </c>
    </row>
    <row r="332" spans="1:62" x14ac:dyDescent="0.35">
      <c r="A332" s="39" t="s">
        <v>444</v>
      </c>
      <c r="B332" s="39" t="str">
        <f>IFERROR(INDEX(added_new_stocks!$F$6:$H$2155,MATCH($A332,added_new_stocks!$F$6:$F$2600,0),3),"")</f>
        <v>Large</v>
      </c>
      <c r="C332" s="48">
        <v>4898.25</v>
      </c>
      <c r="D332" s="39">
        <v>71</v>
      </c>
      <c r="G332" s="39" t="s">
        <v>129</v>
      </c>
      <c r="H332" s="39" t="s">
        <v>7660</v>
      </c>
      <c r="I332" s="39" t="s">
        <v>4624</v>
      </c>
      <c r="J332" s="39" t="s">
        <v>7661</v>
      </c>
      <c r="K332" s="39" t="s">
        <v>133</v>
      </c>
      <c r="L332" s="39" t="s">
        <v>5691</v>
      </c>
      <c r="M332" s="39" t="s">
        <v>4959</v>
      </c>
      <c r="N332" s="39">
        <v>13</v>
      </c>
      <c r="O332" s="39">
        <v>-5</v>
      </c>
      <c r="P332" s="39">
        <v>8</v>
      </c>
      <c r="Q332" s="39" t="s">
        <v>14</v>
      </c>
      <c r="R332" s="39">
        <v>0.12</v>
      </c>
      <c r="S332" s="39">
        <v>12</v>
      </c>
      <c r="T332" s="39">
        <v>28.43</v>
      </c>
      <c r="U332" s="39">
        <v>29.24</v>
      </c>
      <c r="V332" s="39">
        <v>26.72</v>
      </c>
      <c r="W332" s="39">
        <v>11.12</v>
      </c>
      <c r="X332" s="39">
        <v>47.21</v>
      </c>
      <c r="Y332" s="39">
        <v>180.1</v>
      </c>
      <c r="Z332" s="39">
        <v>326.16000000000003</v>
      </c>
      <c r="AA332" s="39">
        <v>339.03</v>
      </c>
      <c r="AB332" s="39">
        <v>318.48</v>
      </c>
      <c r="AC332" s="39">
        <v>2887.83</v>
      </c>
      <c r="AD332" s="39" t="s">
        <v>4606</v>
      </c>
      <c r="AE332" s="39" t="s">
        <v>134</v>
      </c>
      <c r="AF332" s="39">
        <v>21</v>
      </c>
      <c r="AG332" s="42">
        <v>0.1467</v>
      </c>
      <c r="AH332" s="39">
        <v>127</v>
      </c>
      <c r="AI332" s="42">
        <v>5.79E-2</v>
      </c>
      <c r="AJ332" s="39" t="s">
        <v>5692</v>
      </c>
      <c r="AK332" s="42">
        <v>0.38929999999999998</v>
      </c>
      <c r="AL332" s="39" t="s">
        <v>5693</v>
      </c>
      <c r="AM332" s="42">
        <v>6.3799999999999996E-2</v>
      </c>
      <c r="AN332" s="42">
        <v>4.53E-2</v>
      </c>
      <c r="AO332" s="41">
        <v>85</v>
      </c>
      <c r="AP332" s="39">
        <v>19</v>
      </c>
      <c r="AQ332" s="39">
        <v>48</v>
      </c>
      <c r="AR332" s="45">
        <v>5039</v>
      </c>
      <c r="AS332" s="39">
        <v>-4</v>
      </c>
      <c r="AT332" s="39" t="s">
        <v>4562</v>
      </c>
      <c r="AU332" s="39">
        <v>9</v>
      </c>
      <c r="AV332" s="39" t="s">
        <v>6530</v>
      </c>
      <c r="AZ332" s="39">
        <v>5138.8</v>
      </c>
      <c r="BA332" s="39">
        <v>5185.3</v>
      </c>
      <c r="BB332" s="39">
        <v>5233.7</v>
      </c>
      <c r="BC332" s="39">
        <v>14</v>
      </c>
      <c r="BD332" s="39" t="s">
        <v>130</v>
      </c>
      <c r="BE332" s="39">
        <v>4</v>
      </c>
      <c r="BF332" s="39" t="s">
        <v>130</v>
      </c>
      <c r="BG332" s="48">
        <v>1088.5999999999999</v>
      </c>
      <c r="BH332" s="39">
        <v>0.2</v>
      </c>
      <c r="BI332" s="39" t="s">
        <v>131</v>
      </c>
      <c r="BJ332" s="39" t="s">
        <v>132</v>
      </c>
    </row>
    <row r="333" spans="1:62" x14ac:dyDescent="0.35">
      <c r="A333" s="39" t="s">
        <v>1505</v>
      </c>
      <c r="B333" s="39" t="str">
        <f>IFERROR(INDEX(added_new_stocks!$F$6:$H$2155,MATCH($A333,added_new_stocks!$F$6:$F$2600,0),3),"")</f>
        <v>Small</v>
      </c>
      <c r="C333" s="39">
        <v>710.05</v>
      </c>
      <c r="D333" s="39">
        <v>50</v>
      </c>
      <c r="G333" s="39" t="s">
        <v>4562</v>
      </c>
      <c r="H333" s="39" t="s">
        <v>7662</v>
      </c>
      <c r="I333" s="39" t="s">
        <v>4989</v>
      </c>
      <c r="J333" s="39" t="s">
        <v>7663</v>
      </c>
      <c r="K333" s="39" t="s">
        <v>4615</v>
      </c>
      <c r="L333" s="39" t="s">
        <v>7664</v>
      </c>
      <c r="M333" s="39" t="s">
        <v>5047</v>
      </c>
      <c r="N333" s="39">
        <v>0</v>
      </c>
      <c r="O333" s="39">
        <v>-8</v>
      </c>
      <c r="P333" s="39">
        <v>-8</v>
      </c>
      <c r="Q333" s="39" t="s">
        <v>4605</v>
      </c>
      <c r="R333" s="39">
        <v>0.94</v>
      </c>
      <c r="S333" s="39">
        <v>3.5</v>
      </c>
      <c r="T333" s="39">
        <v>-3.57</v>
      </c>
      <c r="U333" s="39">
        <v>12.63</v>
      </c>
      <c r="V333" s="39">
        <v>31.92</v>
      </c>
      <c r="W333" s="39">
        <v>49.89</v>
      </c>
      <c r="X333" s="39">
        <v>10.4</v>
      </c>
      <c r="Y333" s="39">
        <v>1.53</v>
      </c>
      <c r="Z333" s="39">
        <v>328.9</v>
      </c>
      <c r="AA333" s="39">
        <v>145.44</v>
      </c>
      <c r="AB333" s="39">
        <v>47.3</v>
      </c>
      <c r="AC333" s="39">
        <v>914.36</v>
      </c>
      <c r="AD333" s="39" t="s">
        <v>4606</v>
      </c>
      <c r="AE333" s="39" t="s">
        <v>134</v>
      </c>
      <c r="AF333" s="39">
        <v>9</v>
      </c>
      <c r="AG333" s="42">
        <v>0.1852</v>
      </c>
      <c r="AH333" s="39">
        <v>45</v>
      </c>
      <c r="AI333" s="42">
        <v>1.5699999999999999E-2</v>
      </c>
      <c r="AJ333" s="39" t="s">
        <v>7665</v>
      </c>
      <c r="AK333" s="42">
        <v>0.23730000000000001</v>
      </c>
      <c r="AL333" s="39" t="s">
        <v>5238</v>
      </c>
      <c r="AM333" s="42">
        <v>6.83E-2</v>
      </c>
      <c r="AN333" s="42">
        <v>0.16159999999999999</v>
      </c>
      <c r="AO333" s="41">
        <v>90</v>
      </c>
      <c r="AP333" s="39">
        <v>16</v>
      </c>
      <c r="AQ333" s="39">
        <v>59</v>
      </c>
      <c r="AR333" s="45">
        <v>4490</v>
      </c>
      <c r="AS333" s="39">
        <v>-8</v>
      </c>
      <c r="AT333" s="39" t="s">
        <v>129</v>
      </c>
      <c r="AU333" s="39">
        <v>7</v>
      </c>
      <c r="AV333" s="39" t="s">
        <v>6531</v>
      </c>
      <c r="AW333" s="39">
        <v>4936.45</v>
      </c>
      <c r="AX333" s="39">
        <v>4979.05</v>
      </c>
      <c r="AY333" s="39">
        <v>5044.6499999999996</v>
      </c>
      <c r="AZ333" s="39">
        <v>4828.25</v>
      </c>
      <c r="BA333" s="39">
        <v>4762.6499999999996</v>
      </c>
      <c r="BB333" s="39">
        <v>4720.05</v>
      </c>
      <c r="BC333" s="39">
        <v>12</v>
      </c>
      <c r="BD333" s="39">
        <v>2</v>
      </c>
      <c r="BE333" s="39">
        <v>1</v>
      </c>
      <c r="BF333" s="39" t="s">
        <v>130</v>
      </c>
      <c r="BG333" s="39">
        <v>769.9</v>
      </c>
      <c r="BH333" s="39">
        <v>0.2</v>
      </c>
      <c r="BI333" s="39" t="s">
        <v>4639</v>
      </c>
      <c r="BJ333" s="39" t="s">
        <v>132</v>
      </c>
    </row>
    <row r="334" spans="1:62" x14ac:dyDescent="0.35">
      <c r="A334" s="39" t="s">
        <v>528</v>
      </c>
      <c r="B334" s="39" t="str">
        <f>IFERROR(INDEX(added_new_stocks!$F$6:$H$2155,MATCH($A334,added_new_stocks!$F$6:$F$2600,0),3),"")</f>
        <v>Large</v>
      </c>
      <c r="C334" s="39">
        <v>579.04999999999995</v>
      </c>
      <c r="D334" s="39">
        <v>78</v>
      </c>
      <c r="E334" s="39" t="s">
        <v>4987</v>
      </c>
      <c r="F334" s="39" t="s">
        <v>7666</v>
      </c>
      <c r="G334" s="39" t="s">
        <v>129</v>
      </c>
      <c r="H334" s="39" t="s">
        <v>7667</v>
      </c>
      <c r="I334" s="39" t="s">
        <v>4624</v>
      </c>
      <c r="J334" s="39" t="s">
        <v>7668</v>
      </c>
      <c r="K334" s="39" t="s">
        <v>4957</v>
      </c>
      <c r="L334" s="39" t="s">
        <v>5075</v>
      </c>
      <c r="M334" s="39" t="s">
        <v>4959</v>
      </c>
      <c r="N334" s="39">
        <v>17</v>
      </c>
      <c r="O334" s="39">
        <v>-2</v>
      </c>
      <c r="P334" s="39">
        <v>15</v>
      </c>
      <c r="Q334" s="39" t="s">
        <v>14</v>
      </c>
      <c r="R334" s="39">
        <v>-0.13</v>
      </c>
      <c r="S334" s="39">
        <v>-1.35</v>
      </c>
      <c r="T334" s="39">
        <v>2.5099999999999998</v>
      </c>
      <c r="U334" s="39">
        <v>8.6300000000000008</v>
      </c>
      <c r="V334" s="39">
        <v>27.6</v>
      </c>
      <c r="W334" s="39">
        <v>37.97</v>
      </c>
      <c r="X334" s="39">
        <v>10.93</v>
      </c>
      <c r="Y334" s="39">
        <v>12.84</v>
      </c>
      <c r="Z334" s="39" t="s">
        <v>4538</v>
      </c>
      <c r="AA334" s="39" t="s">
        <v>4538</v>
      </c>
      <c r="AB334" s="39" t="s">
        <v>4538</v>
      </c>
      <c r="AC334" s="39" t="s">
        <v>4538</v>
      </c>
      <c r="AD334" s="39" t="s">
        <v>4974</v>
      </c>
      <c r="AE334" s="39" t="s">
        <v>134</v>
      </c>
      <c r="AF334" s="39">
        <v>20</v>
      </c>
      <c r="AG334" s="42">
        <v>0.24079999999999999</v>
      </c>
      <c r="AH334" s="39">
        <v>433</v>
      </c>
      <c r="AI334" s="42">
        <v>0.31680000000000003</v>
      </c>
      <c r="AJ334" s="39" t="s">
        <v>7669</v>
      </c>
      <c r="AK334" s="43">
        <v>0.33</v>
      </c>
      <c r="AL334" s="39" t="s">
        <v>7670</v>
      </c>
      <c r="AM334" s="42">
        <v>6.2899999999999998E-2</v>
      </c>
      <c r="AN334" s="42">
        <v>8.7800000000000003E-2</v>
      </c>
      <c r="AO334" s="41">
        <v>65</v>
      </c>
      <c r="AP334" s="39">
        <v>34</v>
      </c>
      <c r="AQ334" s="39">
        <v>52</v>
      </c>
      <c r="AR334" s="39">
        <v>806</v>
      </c>
      <c r="AS334" s="39">
        <v>14</v>
      </c>
      <c r="AT334" s="39" t="s">
        <v>129</v>
      </c>
      <c r="AU334" s="39">
        <v>15</v>
      </c>
      <c r="AV334" s="39" t="s">
        <v>6532</v>
      </c>
      <c r="AW334" s="39">
        <v>711.15</v>
      </c>
      <c r="AX334" s="39">
        <v>717.9</v>
      </c>
      <c r="AY334" s="39">
        <v>727.95</v>
      </c>
      <c r="AZ334" s="39">
        <v>694.35</v>
      </c>
      <c r="BA334" s="39">
        <v>684.3</v>
      </c>
      <c r="BB334" s="39">
        <v>677.55</v>
      </c>
      <c r="BC334" s="39">
        <v>3</v>
      </c>
      <c r="BD334" s="39">
        <v>6</v>
      </c>
      <c r="BE334" s="39">
        <v>2</v>
      </c>
      <c r="BF334" s="39" t="s">
        <v>130</v>
      </c>
      <c r="BG334" s="39">
        <v>270.39999999999998</v>
      </c>
      <c r="BH334" s="39">
        <v>0.4</v>
      </c>
      <c r="BI334" s="39" t="s">
        <v>4565</v>
      </c>
      <c r="BJ334" s="39" t="s">
        <v>4565</v>
      </c>
    </row>
    <row r="335" spans="1:62" x14ac:dyDescent="0.35">
      <c r="A335" s="39" t="s">
        <v>730</v>
      </c>
      <c r="B335" s="39" t="str">
        <f>IFERROR(INDEX(added_new_stocks!$F$6:$H$2155,MATCH($A335,added_new_stocks!$F$6:$F$2600,0),3),"")</f>
        <v>Mid</v>
      </c>
      <c r="C335" s="48">
        <v>1020.95</v>
      </c>
      <c r="D335" s="39">
        <v>70</v>
      </c>
      <c r="G335" s="39" t="s">
        <v>129</v>
      </c>
      <c r="H335" s="39" t="s">
        <v>7671</v>
      </c>
      <c r="I335" s="39" t="s">
        <v>4989</v>
      </c>
      <c r="J335" s="39" t="s">
        <v>7672</v>
      </c>
      <c r="K335" s="39" t="s">
        <v>4957</v>
      </c>
      <c r="L335" s="39" t="s">
        <v>7673</v>
      </c>
      <c r="M335" s="39" t="s">
        <v>135</v>
      </c>
      <c r="N335" s="39">
        <v>8</v>
      </c>
      <c r="O335" s="39">
        <v>-7</v>
      </c>
      <c r="P335" s="39">
        <v>1</v>
      </c>
      <c r="Q335" s="39" t="s">
        <v>4611</v>
      </c>
      <c r="R335" s="39">
        <v>0.41</v>
      </c>
      <c r="S335" s="39">
        <v>0.06</v>
      </c>
      <c r="T335" s="39">
        <v>-3.85</v>
      </c>
      <c r="U335" s="39">
        <v>4.96</v>
      </c>
      <c r="V335" s="39">
        <v>27.43</v>
      </c>
      <c r="W335" s="39">
        <v>81.44</v>
      </c>
      <c r="X335" s="39">
        <v>90.13</v>
      </c>
      <c r="Y335" s="39">
        <v>60.96</v>
      </c>
      <c r="Z335" s="39">
        <v>327.39999999999998</v>
      </c>
      <c r="AA335" s="39">
        <v>342.26</v>
      </c>
      <c r="AB335" s="39">
        <v>290.44</v>
      </c>
      <c r="AC335" s="39">
        <v>5377.93</v>
      </c>
      <c r="AD335" s="39" t="s">
        <v>5015</v>
      </c>
      <c r="AE335" s="39" t="s">
        <v>134</v>
      </c>
      <c r="AF335" s="39">
        <v>13</v>
      </c>
      <c r="AG335" s="42">
        <v>0.13569999999999999</v>
      </c>
      <c r="AH335" s="39">
        <v>187</v>
      </c>
      <c r="AI335" s="42">
        <v>0.13589999999999999</v>
      </c>
      <c r="AJ335" s="39" t="s">
        <v>7674</v>
      </c>
      <c r="AK335" s="42">
        <v>7.85E-2</v>
      </c>
      <c r="AL335" s="39" t="s">
        <v>7675</v>
      </c>
      <c r="AM335" s="42">
        <v>9.1300000000000006E-2</v>
      </c>
      <c r="AN335" s="42">
        <v>0.3589</v>
      </c>
      <c r="AO335" s="41">
        <v>60</v>
      </c>
      <c r="AP335" s="39">
        <v>11</v>
      </c>
      <c r="AQ335" s="39">
        <v>69</v>
      </c>
      <c r="AR335" s="39">
        <v>608</v>
      </c>
      <c r="AS335" s="39">
        <v>5</v>
      </c>
      <c r="AT335" s="39" t="s">
        <v>4562</v>
      </c>
      <c r="AU335" s="39">
        <v>15</v>
      </c>
      <c r="AV335" s="39" t="s">
        <v>6533</v>
      </c>
      <c r="AW335" s="39">
        <v>589.73</v>
      </c>
      <c r="AX335" s="39">
        <v>599.52</v>
      </c>
      <c r="AY335" s="39">
        <v>605.33000000000004</v>
      </c>
      <c r="AZ335" s="39">
        <v>574.13</v>
      </c>
      <c r="BA335" s="39">
        <v>568.32000000000005</v>
      </c>
      <c r="BB335" s="39">
        <v>558.53</v>
      </c>
      <c r="BC335" s="39">
        <v>11</v>
      </c>
      <c r="BD335" s="39">
        <v>3</v>
      </c>
      <c r="BE335" s="39">
        <v>3</v>
      </c>
      <c r="BF335" s="39" t="s">
        <v>130</v>
      </c>
      <c r="BG335" s="39">
        <v>80.5</v>
      </c>
      <c r="BH335" s="39">
        <v>0.1</v>
      </c>
      <c r="BI335" s="39" t="s">
        <v>4563</v>
      </c>
      <c r="BJ335" s="39" t="s">
        <v>132</v>
      </c>
    </row>
    <row r="336" spans="1:62" x14ac:dyDescent="0.35">
      <c r="A336" s="39" t="s">
        <v>2107</v>
      </c>
      <c r="B336" s="39" t="str">
        <f>IFERROR(INDEX(added_new_stocks!$F$6:$H$2155,MATCH($A336,added_new_stocks!$F$6:$F$2600,0),3),"")</f>
        <v>Small</v>
      </c>
      <c r="C336" s="39">
        <v>586.1</v>
      </c>
      <c r="D336" s="39">
        <v>51</v>
      </c>
      <c r="G336" s="39" t="s">
        <v>4562</v>
      </c>
      <c r="H336" s="39" t="s">
        <v>7676</v>
      </c>
      <c r="I336" s="39" t="s">
        <v>4624</v>
      </c>
      <c r="J336" s="39" t="s">
        <v>7677</v>
      </c>
      <c r="K336" s="39" t="s">
        <v>4615</v>
      </c>
      <c r="L336" s="39" t="s">
        <v>7678</v>
      </c>
      <c r="M336" s="39" t="s">
        <v>4620</v>
      </c>
      <c r="N336" s="39">
        <v>2</v>
      </c>
      <c r="O336" s="39">
        <v>-12</v>
      </c>
      <c r="P336" s="39">
        <v>-10</v>
      </c>
      <c r="Q336" s="39" t="s">
        <v>4605</v>
      </c>
      <c r="R336" s="39">
        <v>2.81</v>
      </c>
      <c r="S336" s="39">
        <v>11.73</v>
      </c>
      <c r="T336" s="39">
        <v>26.99</v>
      </c>
      <c r="U336" s="39">
        <v>42.46</v>
      </c>
      <c r="V336" s="39">
        <v>82.5</v>
      </c>
      <c r="W336" s="39">
        <v>80.03</v>
      </c>
      <c r="X336" s="39">
        <v>30.35</v>
      </c>
      <c r="Y336" s="39">
        <v>97.01</v>
      </c>
      <c r="Z336" s="39">
        <v>457.66</v>
      </c>
      <c r="AA336" s="39">
        <v>207.18</v>
      </c>
      <c r="AB336" s="39">
        <v>89.65</v>
      </c>
      <c r="AC336" s="39" t="s">
        <v>4538</v>
      </c>
      <c r="AD336" s="39" t="s">
        <v>4606</v>
      </c>
      <c r="AE336" s="39" t="s">
        <v>134</v>
      </c>
      <c r="AF336" s="39">
        <v>5</v>
      </c>
      <c r="AG336" s="42">
        <v>0.16919999999999999</v>
      </c>
      <c r="AH336" s="39">
        <v>22</v>
      </c>
      <c r="AI336" s="42">
        <v>1.0699999999999999E-2</v>
      </c>
      <c r="AJ336" s="39" t="s">
        <v>7679</v>
      </c>
      <c r="AK336" s="42">
        <v>0.49969999999999998</v>
      </c>
      <c r="AL336" s="39" t="s">
        <v>5206</v>
      </c>
      <c r="AM336" s="42">
        <v>8.3699999999999997E-2</v>
      </c>
      <c r="AN336" s="42">
        <v>0.14849999999999999</v>
      </c>
      <c r="AQ336" s="39">
        <v>52</v>
      </c>
      <c r="AR336" s="45">
        <v>1066</v>
      </c>
      <c r="AS336" s="39">
        <v>4</v>
      </c>
      <c r="AT336" s="39" t="s">
        <v>129</v>
      </c>
      <c r="AU336" s="39">
        <v>4</v>
      </c>
      <c r="AV336" s="39" t="s">
        <v>6534</v>
      </c>
      <c r="AW336" s="39">
        <v>1031</v>
      </c>
      <c r="AX336" s="39">
        <v>1043</v>
      </c>
      <c r="AY336" s="39">
        <v>1053</v>
      </c>
      <c r="AZ336" s="39">
        <v>1009</v>
      </c>
      <c r="BA336" s="39">
        <v>999</v>
      </c>
      <c r="BB336" s="39">
        <v>987</v>
      </c>
      <c r="BC336" s="39">
        <v>0.86</v>
      </c>
      <c r="BD336" s="39">
        <v>1</v>
      </c>
      <c r="BE336" s="39">
        <v>1</v>
      </c>
      <c r="BF336" s="39">
        <v>47.1</v>
      </c>
      <c r="BG336" s="39">
        <v>120.12</v>
      </c>
      <c r="BH336" s="48">
        <v>2015.53</v>
      </c>
      <c r="BI336" s="39" t="s">
        <v>6535</v>
      </c>
      <c r="BJ336" s="39" t="s">
        <v>6536</v>
      </c>
    </row>
    <row r="337" spans="1:62" x14ac:dyDescent="0.35">
      <c r="A337" s="39" t="s">
        <v>302</v>
      </c>
      <c r="B337" s="39" t="str">
        <f>IFERROR(INDEX(added_new_stocks!$F$6:$H$2155,MATCH($A337,added_new_stocks!$F$6:$F$2600,0),3),"")</f>
        <v>Large</v>
      </c>
      <c r="C337" s="48">
        <v>2368.9</v>
      </c>
      <c r="D337" s="39">
        <v>34</v>
      </c>
      <c r="G337" s="39" t="s">
        <v>4625</v>
      </c>
      <c r="H337" s="39" t="s">
        <v>7680</v>
      </c>
      <c r="I337" s="39" t="s">
        <v>4976</v>
      </c>
      <c r="J337" s="39" t="s">
        <v>7681</v>
      </c>
      <c r="K337" s="39" t="s">
        <v>133</v>
      </c>
      <c r="L337" s="39" t="s">
        <v>4998</v>
      </c>
      <c r="M337" s="39" t="s">
        <v>4959</v>
      </c>
      <c r="N337" s="39">
        <v>9</v>
      </c>
      <c r="O337" s="39">
        <v>-23</v>
      </c>
      <c r="P337" s="39">
        <v>-14</v>
      </c>
      <c r="Q337" s="39" t="s">
        <v>4605</v>
      </c>
      <c r="R337" s="39">
        <v>-0.21</v>
      </c>
      <c r="S337" s="39">
        <v>2.46</v>
      </c>
      <c r="T337" s="39">
        <v>9.18</v>
      </c>
      <c r="U337" s="39">
        <v>-6.28</v>
      </c>
      <c r="V337" s="39">
        <v>5.51</v>
      </c>
      <c r="W337" s="39">
        <v>3.37</v>
      </c>
      <c r="X337" s="39">
        <v>-6.9</v>
      </c>
      <c r="Y337" s="39">
        <v>21.96</v>
      </c>
      <c r="Z337" s="39">
        <v>180.5</v>
      </c>
      <c r="AA337" s="39">
        <v>326.81</v>
      </c>
      <c r="AB337" s="39">
        <v>480.4</v>
      </c>
      <c r="AC337" s="39">
        <v>8722.7199999999993</v>
      </c>
      <c r="AD337" s="39" t="s">
        <v>4606</v>
      </c>
      <c r="AE337" s="39" t="s">
        <v>134</v>
      </c>
      <c r="AF337" s="39">
        <v>27</v>
      </c>
      <c r="AG337" s="42">
        <v>7.2900000000000006E-2</v>
      </c>
      <c r="AH337" s="39">
        <v>591</v>
      </c>
      <c r="AI337" s="42">
        <v>0.20039999999999999</v>
      </c>
      <c r="AJ337" s="39" t="s">
        <v>7682</v>
      </c>
      <c r="AK337" s="42">
        <v>0.50480000000000003</v>
      </c>
      <c r="AL337" s="39" t="s">
        <v>7683</v>
      </c>
      <c r="AM337" s="42">
        <v>4.1500000000000002E-2</v>
      </c>
      <c r="AN337" s="42">
        <v>0.1159</v>
      </c>
      <c r="AO337" s="41">
        <v>50</v>
      </c>
      <c r="AP337" s="39">
        <v>41</v>
      </c>
      <c r="AQ337" s="39">
        <v>73</v>
      </c>
      <c r="AR337" s="39">
        <v>523</v>
      </c>
      <c r="AS337" s="39">
        <v>-10</v>
      </c>
      <c r="AT337" s="39" t="s">
        <v>4633</v>
      </c>
      <c r="AU337" s="39">
        <v>2</v>
      </c>
      <c r="AV337" s="39" t="s">
        <v>6537</v>
      </c>
      <c r="AW337" s="39">
        <v>593.73</v>
      </c>
      <c r="AX337" s="39">
        <v>616.77</v>
      </c>
      <c r="AY337" s="39">
        <v>641.13</v>
      </c>
      <c r="AZ337" s="39">
        <v>546.33000000000004</v>
      </c>
      <c r="BA337" s="39">
        <v>521.97</v>
      </c>
      <c r="BB337" s="39">
        <v>498.93</v>
      </c>
      <c r="BC337" s="39">
        <v>4</v>
      </c>
      <c r="BD337" s="39">
        <v>4</v>
      </c>
      <c r="BE337" s="39" t="s">
        <v>130</v>
      </c>
      <c r="BF337" s="39">
        <v>1.06</v>
      </c>
      <c r="BG337" s="39">
        <v>9</v>
      </c>
      <c r="BH337" s="39">
        <v>413.1</v>
      </c>
      <c r="BI337" s="39" t="s">
        <v>4563</v>
      </c>
      <c r="BJ337" s="39" t="s">
        <v>4563</v>
      </c>
    </row>
    <row r="338" spans="1:62" x14ac:dyDescent="0.35">
      <c r="A338" s="39" t="s">
        <v>1385</v>
      </c>
      <c r="B338" s="39" t="str">
        <f>IFERROR(INDEX(added_new_stocks!$F$6:$H$2155,MATCH($A338,added_new_stocks!$F$6:$F$2600,0),3),"")</f>
        <v>Small</v>
      </c>
      <c r="C338" s="39">
        <v>628</v>
      </c>
      <c r="D338" s="39">
        <v>64</v>
      </c>
      <c r="G338" s="39" t="s">
        <v>4562</v>
      </c>
      <c r="H338" s="39" t="s">
        <v>7684</v>
      </c>
      <c r="I338" s="39" t="s">
        <v>4624</v>
      </c>
      <c r="J338" s="39" t="s">
        <v>7685</v>
      </c>
      <c r="K338" s="39" t="s">
        <v>4615</v>
      </c>
      <c r="L338" s="39" t="s">
        <v>5008</v>
      </c>
      <c r="M338" s="39" t="s">
        <v>4959</v>
      </c>
      <c r="N338" s="39">
        <v>22</v>
      </c>
      <c r="O338" s="39">
        <v>-4</v>
      </c>
      <c r="P338" s="39">
        <v>18</v>
      </c>
      <c r="Q338" s="39" t="s">
        <v>14</v>
      </c>
      <c r="R338" s="39">
        <v>0.22</v>
      </c>
      <c r="S338" s="39">
        <v>1.36</v>
      </c>
      <c r="T338" s="39">
        <v>0.73</v>
      </c>
      <c r="U338" s="39">
        <v>15.58</v>
      </c>
      <c r="V338" s="39">
        <v>11.32</v>
      </c>
      <c r="W338" s="39">
        <v>10.91</v>
      </c>
      <c r="X338" s="39">
        <v>-14.12</v>
      </c>
      <c r="Y338" s="39" t="s">
        <v>4538</v>
      </c>
      <c r="Z338" s="39" t="s">
        <v>4538</v>
      </c>
      <c r="AA338" s="39" t="s">
        <v>4538</v>
      </c>
      <c r="AB338" s="39" t="s">
        <v>4538</v>
      </c>
      <c r="AC338" s="39" t="s">
        <v>4538</v>
      </c>
      <c r="AD338" s="39" t="s">
        <v>4606</v>
      </c>
      <c r="AE338" s="39" t="s">
        <v>134</v>
      </c>
      <c r="AF338" s="39">
        <v>16</v>
      </c>
      <c r="AG338" s="42">
        <v>1.4999999999999999E-2</v>
      </c>
      <c r="AH338" s="39">
        <v>119</v>
      </c>
      <c r="AI338" s="42">
        <v>0.33100000000000002</v>
      </c>
      <c r="AJ338" s="39" t="s">
        <v>7686</v>
      </c>
      <c r="AK338" s="42">
        <v>0.40749999999999997</v>
      </c>
      <c r="AL338" s="39" t="s">
        <v>7687</v>
      </c>
      <c r="AM338" s="42">
        <v>4.8000000000000001E-2</v>
      </c>
      <c r="AN338" s="42">
        <v>3.6999999999999998E-2</v>
      </c>
      <c r="AO338" s="41">
        <v>55</v>
      </c>
      <c r="AP338" s="39">
        <v>24</v>
      </c>
      <c r="AQ338" s="39">
        <v>53</v>
      </c>
      <c r="AR338" s="45">
        <v>2618</v>
      </c>
      <c r="AS338" s="39">
        <v>10</v>
      </c>
      <c r="AT338" s="39" t="s">
        <v>129</v>
      </c>
      <c r="AU338" s="39">
        <v>26</v>
      </c>
      <c r="AV338" s="39" t="s">
        <v>6538</v>
      </c>
      <c r="AW338" s="39">
        <v>2403.8200000000002</v>
      </c>
      <c r="AX338" s="39">
        <v>2433.2800000000002</v>
      </c>
      <c r="AY338" s="39">
        <v>2479.5700000000002</v>
      </c>
      <c r="AZ338" s="39">
        <v>2328.0700000000002</v>
      </c>
      <c r="BA338" s="39">
        <v>2281.7800000000002</v>
      </c>
      <c r="BB338" s="39">
        <v>2252.3200000000002</v>
      </c>
      <c r="BC338" s="39">
        <v>7</v>
      </c>
      <c r="BD338" s="39">
        <v>6</v>
      </c>
      <c r="BE338" s="39">
        <v>3</v>
      </c>
      <c r="BF338" s="39" t="s">
        <v>130</v>
      </c>
      <c r="BG338" s="39">
        <v>710.2</v>
      </c>
      <c r="BH338" s="39">
        <v>0.3</v>
      </c>
      <c r="BI338" s="39" t="s">
        <v>131</v>
      </c>
      <c r="BJ338" s="39" t="s">
        <v>4563</v>
      </c>
    </row>
    <row r="339" spans="1:62" x14ac:dyDescent="0.35">
      <c r="A339" s="39" t="s">
        <v>475</v>
      </c>
      <c r="B339" s="39" t="str">
        <f>IFERROR(INDEX(added_new_stocks!$F$6:$H$2155,MATCH($A339,added_new_stocks!$F$6:$F$2600,0),3),"")</f>
        <v>Large</v>
      </c>
      <c r="C339" s="39">
        <v>628</v>
      </c>
      <c r="D339" s="39">
        <v>64</v>
      </c>
      <c r="G339" s="39" t="s">
        <v>4562</v>
      </c>
      <c r="H339" s="39" t="s">
        <v>7684</v>
      </c>
      <c r="I339" s="39" t="s">
        <v>4624</v>
      </c>
      <c r="J339" s="39" t="s">
        <v>7685</v>
      </c>
      <c r="K339" s="39" t="s">
        <v>4615</v>
      </c>
      <c r="L339" s="39" t="s">
        <v>5008</v>
      </c>
      <c r="M339" s="39" t="s">
        <v>4959</v>
      </c>
      <c r="N339" s="39">
        <v>22</v>
      </c>
      <c r="O339" s="39">
        <v>-4</v>
      </c>
      <c r="P339" s="39">
        <v>18</v>
      </c>
      <c r="Q339" s="39" t="s">
        <v>14</v>
      </c>
      <c r="R339" s="39">
        <v>0.22</v>
      </c>
      <c r="S339" s="39">
        <v>1.36</v>
      </c>
      <c r="T339" s="39">
        <v>0.73</v>
      </c>
      <c r="U339" s="39">
        <v>15.58</v>
      </c>
      <c r="V339" s="39">
        <v>11.32</v>
      </c>
      <c r="W339" s="39">
        <v>10.91</v>
      </c>
      <c r="X339" s="39">
        <v>-14.12</v>
      </c>
      <c r="Y339" s="39" t="s">
        <v>4538</v>
      </c>
      <c r="Z339" s="39" t="s">
        <v>4538</v>
      </c>
      <c r="AA339" s="39" t="s">
        <v>4538</v>
      </c>
      <c r="AB339" s="39" t="s">
        <v>4538</v>
      </c>
      <c r="AC339" s="39" t="s">
        <v>4538</v>
      </c>
      <c r="AD339" s="39" t="s">
        <v>4606</v>
      </c>
      <c r="AE339" s="39" t="s">
        <v>134</v>
      </c>
      <c r="AF339" s="39">
        <v>16</v>
      </c>
      <c r="AG339" s="42">
        <v>1.4999999999999999E-2</v>
      </c>
      <c r="AH339" s="39">
        <v>119</v>
      </c>
      <c r="AI339" s="42">
        <v>0.33100000000000002</v>
      </c>
      <c r="AJ339" s="39" t="s">
        <v>7686</v>
      </c>
      <c r="AK339" s="42">
        <v>0.40749999999999997</v>
      </c>
      <c r="AL339" s="39" t="s">
        <v>7687</v>
      </c>
      <c r="AM339" s="42">
        <v>4.8000000000000001E-2</v>
      </c>
      <c r="AN339" s="42">
        <v>3.6999999999999998E-2</v>
      </c>
      <c r="AO339" s="41" t="s">
        <v>130</v>
      </c>
      <c r="AP339" s="39">
        <v>29</v>
      </c>
      <c r="AQ339" s="39">
        <v>39</v>
      </c>
      <c r="AS339" s="39" t="s">
        <v>4564</v>
      </c>
      <c r="AZ339" s="39">
        <v>1.9</v>
      </c>
      <c r="BA339" s="39">
        <v>1.9</v>
      </c>
      <c r="BB339" s="39">
        <v>1.9</v>
      </c>
      <c r="BC339" s="39" t="s">
        <v>130</v>
      </c>
      <c r="BD339" s="39">
        <v>0.84</v>
      </c>
      <c r="BE339" s="39">
        <v>0.54</v>
      </c>
      <c r="BF339" s="39">
        <v>0.1</v>
      </c>
      <c r="BG339" s="39">
        <v>1</v>
      </c>
      <c r="BH339" s="39">
        <v>6</v>
      </c>
      <c r="BI339" s="39" t="s">
        <v>132</v>
      </c>
      <c r="BJ339" s="39" t="s">
        <v>4563</v>
      </c>
    </row>
    <row r="340" spans="1:62" x14ac:dyDescent="0.35">
      <c r="A340" s="39" t="s">
        <v>1838</v>
      </c>
      <c r="B340" s="39" t="str">
        <f>IFERROR(INDEX(added_new_stocks!$F$6:$H$2155,MATCH($A340,added_new_stocks!$F$6:$F$2600,0),3),"")</f>
        <v>Small</v>
      </c>
      <c r="C340" s="48">
        <v>1111.95</v>
      </c>
      <c r="D340" s="39">
        <v>51</v>
      </c>
      <c r="G340" s="39" t="s">
        <v>4562</v>
      </c>
      <c r="H340" s="39" t="s">
        <v>7688</v>
      </c>
      <c r="I340" s="39" t="s">
        <v>4989</v>
      </c>
      <c r="J340" s="39" t="s">
        <v>7689</v>
      </c>
      <c r="K340" s="39" t="s">
        <v>4615</v>
      </c>
      <c r="L340" s="39" t="s">
        <v>7690</v>
      </c>
      <c r="M340" s="39" t="s">
        <v>4620</v>
      </c>
      <c r="N340" s="39">
        <v>0</v>
      </c>
      <c r="O340" s="39">
        <v>-19</v>
      </c>
      <c r="P340" s="39">
        <v>-19</v>
      </c>
      <c r="Q340" s="39" t="s">
        <v>4605</v>
      </c>
      <c r="R340" s="39">
        <v>-1.43</v>
      </c>
      <c r="S340" s="39">
        <v>2.2000000000000002</v>
      </c>
      <c r="T340" s="39">
        <v>-5.45</v>
      </c>
      <c r="U340" s="39">
        <v>27.35</v>
      </c>
      <c r="V340" s="39">
        <v>43.75</v>
      </c>
      <c r="W340" s="39">
        <v>43.26</v>
      </c>
      <c r="X340" s="39">
        <v>20.02</v>
      </c>
      <c r="Y340" s="39">
        <v>-17.760000000000002</v>
      </c>
      <c r="Z340" s="39">
        <v>111.78</v>
      </c>
      <c r="AA340" s="39">
        <v>84.39</v>
      </c>
      <c r="AB340" s="39">
        <v>36.93</v>
      </c>
      <c r="AC340" s="39">
        <v>219.62</v>
      </c>
      <c r="AD340" s="39" t="s">
        <v>4606</v>
      </c>
      <c r="AE340" s="39">
        <v>100</v>
      </c>
      <c r="AF340" s="39">
        <v>2</v>
      </c>
      <c r="AG340" s="42">
        <v>4.0300000000000002E-2</v>
      </c>
      <c r="AH340" s="39">
        <v>46</v>
      </c>
      <c r="AI340" s="42">
        <v>2.18E-2</v>
      </c>
      <c r="AJ340" s="39" t="s">
        <v>7691</v>
      </c>
      <c r="AK340" s="42">
        <v>0.62729999999999997</v>
      </c>
      <c r="AL340" s="39" t="s">
        <v>5573</v>
      </c>
      <c r="AM340" s="42">
        <v>4.02E-2</v>
      </c>
      <c r="AN340" s="42">
        <v>0.2392</v>
      </c>
      <c r="AO340" s="41">
        <v>65</v>
      </c>
      <c r="AP340" s="39">
        <v>24</v>
      </c>
      <c r="AQ340" s="39">
        <v>51</v>
      </c>
      <c r="AR340" s="39">
        <v>685</v>
      </c>
      <c r="AS340" s="39">
        <v>9</v>
      </c>
      <c r="AT340" s="39" t="s">
        <v>4562</v>
      </c>
      <c r="AU340" s="39">
        <v>17</v>
      </c>
      <c r="AV340" s="39" t="s">
        <v>6539</v>
      </c>
      <c r="AW340" s="39">
        <v>635.70000000000005</v>
      </c>
      <c r="AX340" s="39">
        <v>644.95000000000005</v>
      </c>
      <c r="AY340" s="39">
        <v>656.55</v>
      </c>
      <c r="AZ340" s="39">
        <v>614.85</v>
      </c>
      <c r="BA340" s="39">
        <v>603.25</v>
      </c>
      <c r="BB340" s="39">
        <v>594</v>
      </c>
      <c r="BC340" s="39">
        <v>14</v>
      </c>
      <c r="BD340" s="39">
        <v>1</v>
      </c>
      <c r="BE340" s="39">
        <v>6</v>
      </c>
      <c r="BF340" s="39">
        <v>1</v>
      </c>
      <c r="BG340" s="39">
        <v>158.19999999999999</v>
      </c>
      <c r="BH340" s="39">
        <v>0.3</v>
      </c>
      <c r="BI340" s="39" t="s">
        <v>4563</v>
      </c>
    </row>
    <row r="341" spans="1:62" x14ac:dyDescent="0.35">
      <c r="A341" s="39" t="s">
        <v>1546</v>
      </c>
      <c r="B341" s="39" t="str">
        <f>IFERROR(INDEX(added_new_stocks!$F$6:$H$2155,MATCH($A341,added_new_stocks!$F$6:$F$2600,0),3),"")</f>
        <v>Small</v>
      </c>
      <c r="C341" s="39">
        <v>412.45</v>
      </c>
      <c r="D341" s="39">
        <v>51</v>
      </c>
      <c r="G341" s="39" t="s">
        <v>4562</v>
      </c>
      <c r="H341" s="39" t="s">
        <v>7692</v>
      </c>
      <c r="I341" s="39" t="s">
        <v>4989</v>
      </c>
      <c r="J341" s="39" t="s">
        <v>7693</v>
      </c>
      <c r="K341" s="39" t="s">
        <v>4615</v>
      </c>
      <c r="L341" s="39" t="s">
        <v>7694</v>
      </c>
      <c r="M341" s="39" t="s">
        <v>4959</v>
      </c>
      <c r="N341" s="39">
        <v>1</v>
      </c>
      <c r="O341" s="39">
        <v>-1</v>
      </c>
      <c r="P341" s="39">
        <v>0</v>
      </c>
      <c r="Q341" s="39" t="s">
        <v>4611</v>
      </c>
      <c r="R341" s="39">
        <v>8.73</v>
      </c>
      <c r="S341" s="39">
        <v>7.65</v>
      </c>
      <c r="T341" s="39">
        <v>-0.95</v>
      </c>
      <c r="U341" s="39">
        <v>25.4</v>
      </c>
      <c r="V341" s="39">
        <v>47.59</v>
      </c>
      <c r="W341" s="39">
        <v>37.94</v>
      </c>
      <c r="X341" s="39">
        <v>23.41</v>
      </c>
      <c r="Y341" s="39">
        <v>31.12</v>
      </c>
      <c r="Z341" s="39">
        <v>64.290000000000006</v>
      </c>
      <c r="AA341" s="39">
        <v>85.75</v>
      </c>
      <c r="AB341" s="39">
        <v>23.14</v>
      </c>
      <c r="AC341" s="39">
        <v>2015.13</v>
      </c>
      <c r="AD341" s="39" t="s">
        <v>4606</v>
      </c>
      <c r="AE341" s="39" t="s">
        <v>134</v>
      </c>
      <c r="AF341" s="39">
        <v>8</v>
      </c>
      <c r="AG341" s="42">
        <v>0.1246</v>
      </c>
      <c r="AH341" s="39">
        <v>24</v>
      </c>
      <c r="AI341" s="42">
        <v>0.32590000000000002</v>
      </c>
      <c r="AJ341" s="39" t="s">
        <v>7695</v>
      </c>
      <c r="AK341" s="42">
        <v>0.15540000000000001</v>
      </c>
      <c r="AL341" s="39" t="s">
        <v>7696</v>
      </c>
      <c r="AM341" s="43">
        <v>0.2</v>
      </c>
      <c r="AN341" s="42">
        <v>9.4100000000000003E-2</v>
      </c>
      <c r="AO341" s="41">
        <v>40</v>
      </c>
      <c r="AP341" s="39">
        <v>52</v>
      </c>
      <c r="AQ341" s="39">
        <v>63</v>
      </c>
      <c r="AS341" s="39" t="s">
        <v>4564</v>
      </c>
      <c r="AW341" s="39">
        <v>1141.8800000000001</v>
      </c>
      <c r="AX341" s="39">
        <v>1154.47</v>
      </c>
      <c r="AY341" s="39">
        <v>1175.3800000000001</v>
      </c>
      <c r="AZ341" s="39">
        <v>1108.3800000000001</v>
      </c>
      <c r="BA341" s="39">
        <v>1087.47</v>
      </c>
      <c r="BB341" s="39">
        <v>1074.8800000000001</v>
      </c>
      <c r="BC341" s="39">
        <v>11</v>
      </c>
      <c r="BD341" s="39">
        <v>2</v>
      </c>
      <c r="BE341" s="39">
        <v>1</v>
      </c>
      <c r="BF341" s="39">
        <v>0.11</v>
      </c>
      <c r="BG341" s="39">
        <v>2</v>
      </c>
      <c r="BH341" s="39">
        <v>818</v>
      </c>
      <c r="BI341" s="39" t="s">
        <v>132</v>
      </c>
      <c r="BJ341" s="39" t="s">
        <v>131</v>
      </c>
    </row>
    <row r="342" spans="1:62" x14ac:dyDescent="0.35">
      <c r="A342" s="39" t="s">
        <v>1363</v>
      </c>
      <c r="B342" s="39" t="str">
        <f>IFERROR(INDEX(added_new_stocks!$F$6:$H$2155,MATCH($A342,added_new_stocks!$F$6:$F$2600,0),3),"")</f>
        <v>Small</v>
      </c>
      <c r="C342" s="39">
        <v>518.6</v>
      </c>
      <c r="D342" s="39">
        <v>60</v>
      </c>
      <c r="G342" s="39" t="s">
        <v>4562</v>
      </c>
      <c r="H342" s="39" t="s">
        <v>7697</v>
      </c>
      <c r="I342" s="39" t="s">
        <v>4624</v>
      </c>
      <c r="J342" s="39" t="s">
        <v>7698</v>
      </c>
      <c r="K342" s="39" t="s">
        <v>4615</v>
      </c>
      <c r="L342" s="39" t="s">
        <v>7699</v>
      </c>
      <c r="M342" s="39" t="s">
        <v>4620</v>
      </c>
      <c r="N342" s="39">
        <v>11</v>
      </c>
      <c r="O342" s="39">
        <v>-11</v>
      </c>
      <c r="P342" s="39">
        <v>0</v>
      </c>
      <c r="Q342" s="39" t="s">
        <v>4611</v>
      </c>
      <c r="R342" s="39">
        <v>0.97</v>
      </c>
      <c r="S342" s="39">
        <v>2.69</v>
      </c>
      <c r="T342" s="39">
        <v>6.5</v>
      </c>
      <c r="U342" s="39">
        <v>14.68</v>
      </c>
      <c r="V342" s="39">
        <v>37.14</v>
      </c>
      <c r="W342" s="39">
        <v>32.92</v>
      </c>
      <c r="X342" s="39">
        <v>12.82</v>
      </c>
      <c r="Y342" s="39">
        <v>-24.06</v>
      </c>
      <c r="Z342" s="39">
        <v>9.61</v>
      </c>
      <c r="AA342" s="39">
        <v>62.85</v>
      </c>
      <c r="AB342" s="39">
        <v>16.829999999999998</v>
      </c>
      <c r="AC342" s="39">
        <v>1628.67</v>
      </c>
      <c r="AD342" s="39" t="s">
        <v>5015</v>
      </c>
      <c r="AE342" s="39" t="s">
        <v>134</v>
      </c>
      <c r="AF342" s="39">
        <v>4</v>
      </c>
      <c r="AG342" s="42">
        <v>0.1221</v>
      </c>
      <c r="AH342" s="39">
        <v>43</v>
      </c>
      <c r="AI342" s="42">
        <v>3.4799999999999998E-2</v>
      </c>
      <c r="AJ342" s="39" t="s">
        <v>7700</v>
      </c>
      <c r="AK342" s="42">
        <v>7.8700000000000006E-2</v>
      </c>
      <c r="AL342" s="39" t="s">
        <v>7701</v>
      </c>
      <c r="AM342" s="42">
        <v>8.1000000000000003E-2</v>
      </c>
      <c r="AN342" s="42">
        <v>0.39460000000000001</v>
      </c>
      <c r="AO342" s="41">
        <v>85</v>
      </c>
      <c r="AP342" s="39">
        <v>39</v>
      </c>
      <c r="AQ342" s="39">
        <v>52</v>
      </c>
      <c r="AR342" s="39">
        <v>425</v>
      </c>
      <c r="AS342" s="39">
        <v>8</v>
      </c>
      <c r="AT342" s="39" t="s">
        <v>4562</v>
      </c>
      <c r="AU342" s="39">
        <v>3</v>
      </c>
      <c r="AV342" s="39" t="s">
        <v>6540</v>
      </c>
      <c r="AZ342" s="39">
        <v>383.73</v>
      </c>
      <c r="BA342" s="39">
        <v>388.52</v>
      </c>
      <c r="BB342" s="39">
        <v>391.33</v>
      </c>
      <c r="BC342" s="39">
        <v>2</v>
      </c>
      <c r="BD342" s="39">
        <v>4</v>
      </c>
      <c r="BE342" s="39" t="s">
        <v>130</v>
      </c>
      <c r="BF342" s="39">
        <v>0.99</v>
      </c>
      <c r="BG342" s="39">
        <v>4</v>
      </c>
      <c r="BH342" s="39">
        <v>151.6</v>
      </c>
      <c r="BI342" s="39" t="s">
        <v>132</v>
      </c>
      <c r="BJ342" s="39" t="s">
        <v>4563</v>
      </c>
    </row>
    <row r="343" spans="1:62" x14ac:dyDescent="0.35">
      <c r="A343" s="39" t="s">
        <v>1314</v>
      </c>
      <c r="B343" s="39" t="str">
        <f>IFERROR(INDEX(added_new_stocks!$F$6:$H$2155,MATCH($A343,added_new_stocks!$F$6:$F$2600,0),3),"")</f>
        <v>Small</v>
      </c>
      <c r="C343" s="39">
        <v>508.7</v>
      </c>
      <c r="D343" s="39">
        <v>58</v>
      </c>
      <c r="G343" s="39" t="s">
        <v>4562</v>
      </c>
      <c r="H343" s="39" t="s">
        <v>7702</v>
      </c>
      <c r="I343" s="39" t="s">
        <v>4989</v>
      </c>
      <c r="J343" s="39" t="s">
        <v>7703</v>
      </c>
      <c r="K343" s="39" t="s">
        <v>133</v>
      </c>
      <c r="L343" s="39" t="s">
        <v>4998</v>
      </c>
      <c r="M343" s="39" t="s">
        <v>4959</v>
      </c>
      <c r="N343" s="39">
        <v>0</v>
      </c>
      <c r="O343" s="39">
        <v>-5</v>
      </c>
      <c r="P343" s="39">
        <v>-5</v>
      </c>
      <c r="Q343" s="39" t="s">
        <v>4611</v>
      </c>
      <c r="R343" s="39">
        <v>-0.57999999999999996</v>
      </c>
      <c r="S343" s="39">
        <v>-0.25</v>
      </c>
      <c r="T343" s="39">
        <v>3.43</v>
      </c>
      <c r="U343" s="39">
        <v>21.45</v>
      </c>
      <c r="V343" s="39">
        <v>43.7</v>
      </c>
      <c r="W343" s="39">
        <v>53.32</v>
      </c>
      <c r="X343" s="39" t="s">
        <v>4538</v>
      </c>
      <c r="Y343" s="39" t="s">
        <v>4538</v>
      </c>
      <c r="Z343" s="39" t="s">
        <v>4538</v>
      </c>
      <c r="AA343" s="39" t="s">
        <v>4538</v>
      </c>
      <c r="AB343" s="39" t="s">
        <v>4538</v>
      </c>
      <c r="AC343" s="39" t="s">
        <v>4538</v>
      </c>
      <c r="AD343" s="39" t="s">
        <v>5015</v>
      </c>
      <c r="AE343" s="39">
        <v>9.56</v>
      </c>
      <c r="AF343" s="39">
        <v>5</v>
      </c>
      <c r="AG343" s="42">
        <v>8.9700000000000002E-2</v>
      </c>
      <c r="AH343" s="39">
        <v>17</v>
      </c>
      <c r="AI343" s="42">
        <v>6.7799999999999999E-2</v>
      </c>
      <c r="AJ343" s="39" t="s">
        <v>7704</v>
      </c>
      <c r="AK343" s="42">
        <v>0.25979999999999998</v>
      </c>
      <c r="AL343" s="39" t="s">
        <v>7705</v>
      </c>
      <c r="AM343" s="42">
        <v>0.18640000000000001</v>
      </c>
      <c r="AN343" s="42">
        <v>0.19639999999999999</v>
      </c>
      <c r="AO343" s="41">
        <v>65</v>
      </c>
      <c r="AP343" s="39">
        <v>58</v>
      </c>
      <c r="AQ343" s="39">
        <v>61</v>
      </c>
      <c r="AR343" s="39">
        <v>537</v>
      </c>
      <c r="AS343" s="39">
        <v>4</v>
      </c>
      <c r="AT343" s="39" t="s">
        <v>4562</v>
      </c>
      <c r="AU343" s="39">
        <v>8</v>
      </c>
      <c r="AV343" s="39" t="s">
        <v>6541</v>
      </c>
      <c r="AW343" s="39">
        <v>523.54999999999995</v>
      </c>
      <c r="AX343" s="39">
        <v>532.15</v>
      </c>
      <c r="AY343" s="39">
        <v>545.4</v>
      </c>
      <c r="AZ343" s="39">
        <v>501.7</v>
      </c>
      <c r="BA343" s="39">
        <v>488.45</v>
      </c>
      <c r="BB343" s="39">
        <v>479.85</v>
      </c>
      <c r="BC343" s="39">
        <v>8</v>
      </c>
      <c r="BD343" s="39">
        <v>6</v>
      </c>
      <c r="BE343" s="39">
        <v>8</v>
      </c>
      <c r="BF343" s="39" t="s">
        <v>130</v>
      </c>
      <c r="BG343" s="39">
        <v>344.2</v>
      </c>
      <c r="BH343" s="39">
        <v>0.7</v>
      </c>
      <c r="BI343" s="39" t="s">
        <v>4565</v>
      </c>
      <c r="BJ343" s="39" t="s">
        <v>4565</v>
      </c>
    </row>
    <row r="344" spans="1:62" x14ac:dyDescent="0.35">
      <c r="A344" s="39" t="s">
        <v>553</v>
      </c>
      <c r="B344" s="39" t="str">
        <f>IFERROR(INDEX(added_new_stocks!$F$6:$H$2155,MATCH($A344,added_new_stocks!$F$6:$F$2600,0),3),"")</f>
        <v>Large</v>
      </c>
      <c r="C344" s="39">
        <v>441.25</v>
      </c>
      <c r="D344" s="39">
        <v>50</v>
      </c>
      <c r="G344" s="39" t="s">
        <v>4562</v>
      </c>
      <c r="H344" s="39" t="s">
        <v>7706</v>
      </c>
      <c r="I344" s="39" t="s">
        <v>4989</v>
      </c>
      <c r="J344" s="39" t="s">
        <v>7707</v>
      </c>
      <c r="K344" s="39" t="s">
        <v>133</v>
      </c>
      <c r="L344" s="39" t="s">
        <v>7708</v>
      </c>
      <c r="M344" s="39" t="s">
        <v>4959</v>
      </c>
      <c r="N344" s="39">
        <v>2</v>
      </c>
      <c r="O344" s="39">
        <v>-11</v>
      </c>
      <c r="P344" s="39">
        <v>-9</v>
      </c>
      <c r="Q344" s="39" t="s">
        <v>4605</v>
      </c>
      <c r="R344" s="39">
        <v>2.1800000000000002</v>
      </c>
      <c r="S344" s="39">
        <v>8.6300000000000008</v>
      </c>
      <c r="T344" s="39">
        <v>8.4</v>
      </c>
      <c r="U344" s="39">
        <v>11.34</v>
      </c>
      <c r="V344" s="39">
        <v>-1.41</v>
      </c>
      <c r="W344" s="39">
        <v>-9.6300000000000008</v>
      </c>
      <c r="X344" s="39">
        <v>-9.8699999999999992</v>
      </c>
      <c r="Y344" s="39">
        <v>4.87</v>
      </c>
      <c r="Z344" s="39">
        <v>55.48</v>
      </c>
      <c r="AA344" s="39" t="s">
        <v>4538</v>
      </c>
      <c r="AB344" s="39" t="s">
        <v>4538</v>
      </c>
      <c r="AC344" s="39" t="s">
        <v>4538</v>
      </c>
      <c r="AD344" s="39" t="s">
        <v>4606</v>
      </c>
      <c r="AE344" s="39" t="s">
        <v>134</v>
      </c>
      <c r="AF344" s="39">
        <v>25</v>
      </c>
      <c r="AG344" s="42">
        <v>3.3399999999999999E-2</v>
      </c>
      <c r="AH344" s="39">
        <v>106</v>
      </c>
      <c r="AI344" s="42">
        <v>2.5100000000000001E-2</v>
      </c>
      <c r="AJ344" s="39" t="s">
        <v>7709</v>
      </c>
      <c r="AK344" s="43">
        <v>0.75</v>
      </c>
      <c r="AL344" s="39" t="s">
        <v>7710</v>
      </c>
      <c r="AM344" s="42">
        <v>1.4200000000000001E-2</v>
      </c>
      <c r="AN344" s="42">
        <v>0.1191</v>
      </c>
      <c r="AO344" s="41">
        <v>60</v>
      </c>
      <c r="AP344" s="39">
        <v>56</v>
      </c>
      <c r="AQ344" s="39">
        <v>71</v>
      </c>
      <c r="AS344" s="39" t="s">
        <v>4564</v>
      </c>
      <c r="AW344" s="39">
        <v>35.43</v>
      </c>
      <c r="AX344" s="39">
        <v>36.119999999999997</v>
      </c>
      <c r="AY344" s="39">
        <v>36.83</v>
      </c>
      <c r="AZ344" s="39">
        <v>34.03</v>
      </c>
      <c r="BA344" s="39">
        <v>33.32</v>
      </c>
      <c r="BB344" s="39">
        <v>32.630000000000003</v>
      </c>
      <c r="BC344" s="39">
        <v>1</v>
      </c>
      <c r="BD344" s="39">
        <v>8</v>
      </c>
      <c r="BE344" s="39" t="s">
        <v>130</v>
      </c>
      <c r="BF344" s="39">
        <v>3.3</v>
      </c>
      <c r="BG344" s="39">
        <v>12</v>
      </c>
      <c r="BH344" s="39">
        <v>6.1</v>
      </c>
      <c r="BI344" s="39" t="s">
        <v>131</v>
      </c>
      <c r="BJ344" s="39" t="s">
        <v>132</v>
      </c>
    </row>
    <row r="345" spans="1:62" x14ac:dyDescent="0.35">
      <c r="A345" s="39" t="s">
        <v>512</v>
      </c>
      <c r="B345" s="39" t="str">
        <f>IFERROR(INDEX(added_new_stocks!$F$6:$H$2155,MATCH($A345,added_new_stocks!$F$6:$F$2600,0),3),"")</f>
        <v>Large</v>
      </c>
      <c r="C345" s="48">
        <v>2581.9</v>
      </c>
      <c r="D345" s="39">
        <v>65</v>
      </c>
      <c r="G345" s="39" t="s">
        <v>4562</v>
      </c>
      <c r="H345" s="39" t="s">
        <v>7711</v>
      </c>
      <c r="I345" s="39" t="s">
        <v>4989</v>
      </c>
      <c r="J345" s="39" t="s">
        <v>7712</v>
      </c>
      <c r="K345" s="39" t="s">
        <v>133</v>
      </c>
      <c r="L345" s="39" t="s">
        <v>7713</v>
      </c>
      <c r="M345" s="39" t="s">
        <v>4620</v>
      </c>
      <c r="N345" s="39">
        <v>13</v>
      </c>
      <c r="O345" s="39">
        <v>-2</v>
      </c>
      <c r="P345" s="39">
        <v>11</v>
      </c>
      <c r="Q345" s="39" t="s">
        <v>14</v>
      </c>
      <c r="R345" s="39">
        <v>-0.53</v>
      </c>
      <c r="S345" s="39">
        <v>-0.57999999999999996</v>
      </c>
      <c r="T345" s="39">
        <v>-2.54</v>
      </c>
      <c r="U345" s="39">
        <v>1.02</v>
      </c>
      <c r="V345" s="39">
        <v>10.83</v>
      </c>
      <c r="W345" s="39">
        <v>11.82</v>
      </c>
      <c r="X345" s="39">
        <v>23.34</v>
      </c>
      <c r="Y345" s="39">
        <v>-0.62</v>
      </c>
      <c r="Z345" s="39">
        <v>54.44</v>
      </c>
      <c r="AA345" s="39">
        <v>70.34</v>
      </c>
      <c r="AB345" s="39">
        <v>57.18</v>
      </c>
      <c r="AC345" s="39">
        <v>432.95</v>
      </c>
      <c r="AD345" s="39" t="s">
        <v>4606</v>
      </c>
      <c r="AE345" s="39" t="s">
        <v>134</v>
      </c>
      <c r="AF345" s="39">
        <v>22</v>
      </c>
      <c r="AG345" s="42">
        <v>0.1298</v>
      </c>
      <c r="AH345" s="39">
        <v>75</v>
      </c>
      <c r="AI345" s="42">
        <v>7.7799999999999994E-2</v>
      </c>
      <c r="AJ345" s="39" t="s">
        <v>5702</v>
      </c>
      <c r="AK345" s="42">
        <v>2.6100000000000002E-2</v>
      </c>
      <c r="AL345" s="39" t="s">
        <v>5703</v>
      </c>
      <c r="AM345" s="42">
        <v>5.3499999999999999E-2</v>
      </c>
      <c r="AN345" s="42">
        <v>0.25800000000000001</v>
      </c>
      <c r="AO345" s="41">
        <v>65</v>
      </c>
      <c r="AP345" s="39">
        <v>15</v>
      </c>
      <c r="AQ345" s="39">
        <v>43</v>
      </c>
      <c r="AR345" s="39">
        <v>454</v>
      </c>
      <c r="AS345" s="39">
        <v>3</v>
      </c>
      <c r="AT345" s="39" t="s">
        <v>4562</v>
      </c>
      <c r="AU345" s="39">
        <v>8</v>
      </c>
      <c r="AV345" s="39" t="s">
        <v>6542</v>
      </c>
      <c r="AW345" s="39">
        <v>442.23</v>
      </c>
      <c r="AX345" s="39">
        <v>452.12</v>
      </c>
      <c r="AY345" s="39">
        <v>469.23</v>
      </c>
      <c r="AZ345" s="39">
        <v>415.23</v>
      </c>
      <c r="BA345" s="39">
        <v>398.12</v>
      </c>
      <c r="BB345" s="39">
        <v>388.23</v>
      </c>
      <c r="BC345" s="39">
        <v>8</v>
      </c>
      <c r="BD345" s="39">
        <v>7</v>
      </c>
      <c r="BE345" s="39">
        <v>3</v>
      </c>
      <c r="BF345" s="39" t="s">
        <v>130</v>
      </c>
      <c r="BG345" s="39">
        <v>95.7</v>
      </c>
      <c r="BH345" s="39">
        <v>0.2</v>
      </c>
      <c r="BI345" s="39" t="s">
        <v>4563</v>
      </c>
      <c r="BJ345" s="39" t="s">
        <v>132</v>
      </c>
    </row>
    <row r="346" spans="1:62" x14ac:dyDescent="0.35">
      <c r="A346" s="39" t="s">
        <v>1622</v>
      </c>
      <c r="B346" s="39" t="str">
        <f>IFERROR(INDEX(added_new_stocks!$F$6:$H$2155,MATCH($A346,added_new_stocks!$F$6:$F$2600,0),3),"")</f>
        <v>Small</v>
      </c>
      <c r="C346" s="39">
        <v>120.25</v>
      </c>
      <c r="D346" s="39">
        <v>54</v>
      </c>
      <c r="G346" s="39" t="s">
        <v>4562</v>
      </c>
      <c r="H346" s="39" t="s">
        <v>7714</v>
      </c>
      <c r="I346" s="39" t="s">
        <v>4624</v>
      </c>
      <c r="J346" s="39" t="s">
        <v>7715</v>
      </c>
      <c r="K346" s="39" t="s">
        <v>4603</v>
      </c>
      <c r="L346" s="39" t="s">
        <v>7716</v>
      </c>
      <c r="M346" s="39" t="s">
        <v>135</v>
      </c>
      <c r="N346" s="39">
        <v>14</v>
      </c>
      <c r="O346" s="39">
        <v>0</v>
      </c>
      <c r="P346" s="39">
        <v>14</v>
      </c>
      <c r="Q346" s="39" t="s">
        <v>14</v>
      </c>
      <c r="R346" s="39">
        <v>0.59</v>
      </c>
      <c r="S346" s="39">
        <v>-0.21</v>
      </c>
      <c r="T346" s="39">
        <v>-1.19</v>
      </c>
      <c r="U346" s="39">
        <v>39.42</v>
      </c>
      <c r="V346" s="39">
        <v>47</v>
      </c>
      <c r="W346" s="39">
        <v>27.79</v>
      </c>
      <c r="X346" s="39">
        <v>49.94</v>
      </c>
      <c r="Y346" s="39">
        <v>52.7</v>
      </c>
      <c r="Z346" s="39">
        <v>99.25</v>
      </c>
      <c r="AA346" s="39">
        <v>67.13</v>
      </c>
      <c r="AB346" s="39">
        <v>-5.94</v>
      </c>
      <c r="AC346" s="39" t="s">
        <v>4538</v>
      </c>
      <c r="AD346" s="39" t="s">
        <v>4606</v>
      </c>
      <c r="AE346" s="39" t="s">
        <v>134</v>
      </c>
      <c r="AF346" s="39">
        <v>2</v>
      </c>
      <c r="AG346" s="42">
        <v>4.2299999999999997E-2</v>
      </c>
      <c r="AH346" s="39">
        <v>17</v>
      </c>
      <c r="AI346" s="42">
        <v>1.9E-3</v>
      </c>
      <c r="AJ346" s="39" t="s">
        <v>7717</v>
      </c>
      <c r="AK346" s="42">
        <v>0.2349</v>
      </c>
      <c r="AL346" s="39" t="s">
        <v>5573</v>
      </c>
      <c r="AM346" s="42">
        <v>4.2299999999999997E-2</v>
      </c>
      <c r="AN346" s="42">
        <v>0.2651</v>
      </c>
      <c r="AO346" s="41">
        <v>65</v>
      </c>
      <c r="AP346" s="39">
        <v>45</v>
      </c>
      <c r="AQ346" s="39">
        <v>65</v>
      </c>
      <c r="AR346" s="45">
        <v>2846</v>
      </c>
      <c r="AS346" s="39">
        <v>10</v>
      </c>
      <c r="AT346" s="39" t="s">
        <v>129</v>
      </c>
      <c r="AU346" s="39">
        <v>8</v>
      </c>
      <c r="AV346" s="39" t="s">
        <v>6543</v>
      </c>
      <c r="AW346" s="39">
        <v>2613.27</v>
      </c>
      <c r="AX346" s="39">
        <v>2629.13</v>
      </c>
      <c r="AY346" s="39">
        <v>2643.27</v>
      </c>
      <c r="AZ346" s="39">
        <v>2583.27</v>
      </c>
      <c r="BA346" s="39">
        <v>2569.13</v>
      </c>
      <c r="BB346" s="39">
        <v>2553.27</v>
      </c>
      <c r="BC346" s="39">
        <v>11</v>
      </c>
      <c r="BD346" s="39">
        <v>3</v>
      </c>
      <c r="BE346" s="39">
        <v>5</v>
      </c>
      <c r="BF346" s="39" t="s">
        <v>130</v>
      </c>
      <c r="BG346" s="45">
        <v>1826</v>
      </c>
      <c r="BH346" s="39">
        <v>0.7</v>
      </c>
      <c r="BI346" s="39" t="s">
        <v>131</v>
      </c>
      <c r="BJ346" s="39" t="s">
        <v>4563</v>
      </c>
    </row>
    <row r="347" spans="1:62" x14ac:dyDescent="0.35">
      <c r="A347" s="39" t="s">
        <v>573</v>
      </c>
      <c r="B347" s="39" t="str">
        <f>IFERROR(INDEX(added_new_stocks!$F$6:$H$2155,MATCH($A347,added_new_stocks!$F$6:$F$2600,0),3),"")</f>
        <v>Large</v>
      </c>
      <c r="C347" s="48">
        <v>1253</v>
      </c>
      <c r="D347" s="39">
        <v>65</v>
      </c>
      <c r="G347" s="39" t="s">
        <v>4562</v>
      </c>
      <c r="H347" s="39" t="s">
        <v>7718</v>
      </c>
      <c r="I347" s="39" t="s">
        <v>4624</v>
      </c>
      <c r="J347" s="39" t="s">
        <v>7719</v>
      </c>
      <c r="K347" s="39" t="s">
        <v>133</v>
      </c>
      <c r="L347" s="39" t="s">
        <v>7720</v>
      </c>
      <c r="M347" s="39" t="s">
        <v>4959</v>
      </c>
      <c r="N347" s="39">
        <v>6</v>
      </c>
      <c r="O347" s="39">
        <v>-1</v>
      </c>
      <c r="P347" s="39">
        <v>5</v>
      </c>
      <c r="Q347" s="39" t="s">
        <v>4611</v>
      </c>
      <c r="R347" s="39">
        <v>2.63</v>
      </c>
      <c r="S347" s="39">
        <v>0.01</v>
      </c>
      <c r="T347" s="39">
        <v>0.99</v>
      </c>
      <c r="U347" s="39">
        <v>14.02</v>
      </c>
      <c r="V347" s="39">
        <v>26.7</v>
      </c>
      <c r="W347" s="39">
        <v>28.59</v>
      </c>
      <c r="X347" s="39">
        <v>50.04</v>
      </c>
      <c r="Y347" s="39">
        <v>56.56</v>
      </c>
      <c r="Z347" s="39">
        <v>166.65</v>
      </c>
      <c r="AA347" s="39">
        <v>193.96</v>
      </c>
      <c r="AB347" s="39">
        <v>87.06</v>
      </c>
      <c r="AC347" s="39">
        <v>3640.3</v>
      </c>
      <c r="AD347" s="39" t="s">
        <v>4606</v>
      </c>
      <c r="AE347" s="39" t="s">
        <v>134</v>
      </c>
      <c r="AF347" s="39">
        <v>30</v>
      </c>
      <c r="AG347" s="42">
        <v>0.14219999999999999</v>
      </c>
      <c r="AH347" s="39">
        <v>123</v>
      </c>
      <c r="AI347" s="42">
        <v>0.1195</v>
      </c>
      <c r="AJ347" s="39" t="s">
        <v>7721</v>
      </c>
      <c r="AK347" s="42">
        <v>0.48359999999999997</v>
      </c>
      <c r="AL347" s="39" t="s">
        <v>5159</v>
      </c>
      <c r="AM347" s="42">
        <v>5.3900000000000003E-2</v>
      </c>
      <c r="AN347" s="42">
        <v>0.1779</v>
      </c>
      <c r="AO347" s="41">
        <v>70</v>
      </c>
      <c r="AP347" s="39">
        <v>56</v>
      </c>
      <c r="AQ347" s="39">
        <v>60</v>
      </c>
      <c r="AS347" s="39" t="s">
        <v>4564</v>
      </c>
      <c r="AW347" s="39">
        <v>121.5</v>
      </c>
      <c r="AX347" s="39">
        <v>123.45</v>
      </c>
      <c r="AY347" s="39">
        <v>124.55</v>
      </c>
      <c r="AZ347" s="39">
        <v>118.45</v>
      </c>
      <c r="BA347" s="39">
        <v>117.35</v>
      </c>
      <c r="BB347" s="39">
        <v>115.4</v>
      </c>
      <c r="BC347" s="39">
        <v>1</v>
      </c>
      <c r="BD347" s="39">
        <v>4</v>
      </c>
      <c r="BE347" s="39" t="s">
        <v>130</v>
      </c>
      <c r="BF347" s="39">
        <v>-0.96</v>
      </c>
      <c r="BG347" s="39">
        <v>11</v>
      </c>
      <c r="BH347" s="39">
        <v>208.5</v>
      </c>
      <c r="BI347" s="39" t="s">
        <v>4563</v>
      </c>
      <c r="BJ347" s="39" t="s">
        <v>4565</v>
      </c>
    </row>
    <row r="348" spans="1:62" x14ac:dyDescent="0.35">
      <c r="A348" s="39" t="s">
        <v>213</v>
      </c>
      <c r="B348" s="39" t="str">
        <f>IFERROR(INDEX(added_new_stocks!$F$6:$H$2155,MATCH($A348,added_new_stocks!$F$6:$F$2600,0),3),"")</f>
        <v>Large</v>
      </c>
      <c r="C348" s="48">
        <v>1113.6500000000001</v>
      </c>
      <c r="D348" s="39">
        <v>70</v>
      </c>
      <c r="G348" s="39" t="s">
        <v>129</v>
      </c>
      <c r="H348" s="39" t="s">
        <v>7722</v>
      </c>
      <c r="I348" s="39" t="s">
        <v>4624</v>
      </c>
      <c r="J348" s="39" t="s">
        <v>7723</v>
      </c>
      <c r="K348" s="39" t="s">
        <v>133</v>
      </c>
      <c r="L348" s="39" t="s">
        <v>5706</v>
      </c>
      <c r="M348" s="39" t="s">
        <v>135</v>
      </c>
      <c r="N348" s="39">
        <v>6</v>
      </c>
      <c r="O348" s="39">
        <v>-3</v>
      </c>
      <c r="P348" s="39">
        <v>3</v>
      </c>
      <c r="Q348" s="39" t="s">
        <v>4611</v>
      </c>
      <c r="R348" s="39">
        <v>0.22</v>
      </c>
      <c r="S348" s="39">
        <v>-0.82</v>
      </c>
      <c r="T348" s="39">
        <v>-2.12</v>
      </c>
      <c r="U348" s="39">
        <v>16.100000000000001</v>
      </c>
      <c r="V348" s="39">
        <v>15.38</v>
      </c>
      <c r="W348" s="39">
        <v>11.29</v>
      </c>
      <c r="X348" s="39">
        <v>24.67</v>
      </c>
      <c r="Y348" s="39">
        <v>41.59</v>
      </c>
      <c r="Z348" s="39">
        <v>100.37</v>
      </c>
      <c r="AA348" s="39">
        <v>147.12</v>
      </c>
      <c r="AB348" s="39">
        <v>74.14</v>
      </c>
      <c r="AC348" s="39">
        <v>114.25</v>
      </c>
      <c r="AD348" s="39" t="s">
        <v>4606</v>
      </c>
      <c r="AE348" s="39">
        <v>2.29</v>
      </c>
      <c r="AF348" s="39">
        <v>41</v>
      </c>
      <c r="AG348" s="42">
        <v>0.13159999999999999</v>
      </c>
      <c r="AH348" s="39">
        <v>923</v>
      </c>
      <c r="AI348" s="42">
        <v>0.1648</v>
      </c>
      <c r="AJ348" s="39" t="s">
        <v>5707</v>
      </c>
      <c r="AK348" s="42">
        <v>0.40300000000000002</v>
      </c>
      <c r="AL348" s="39" t="s">
        <v>136</v>
      </c>
      <c r="AM348" s="42">
        <v>3.2800000000000003E-2</v>
      </c>
      <c r="AN348" s="42">
        <v>5.6500000000000002E-2</v>
      </c>
      <c r="AO348" s="41">
        <v>70</v>
      </c>
      <c r="AP348" s="39">
        <v>17</v>
      </c>
      <c r="AQ348" s="39">
        <v>57</v>
      </c>
      <c r="AR348" s="45">
        <v>1271</v>
      </c>
      <c r="AS348" s="39">
        <v>3</v>
      </c>
      <c r="AT348" s="39" t="s">
        <v>4633</v>
      </c>
      <c r="AU348" s="39">
        <v>4</v>
      </c>
      <c r="AV348" s="39" t="s">
        <v>6544</v>
      </c>
      <c r="AW348" s="39">
        <v>1244.02</v>
      </c>
      <c r="AX348" s="39">
        <v>1266.68</v>
      </c>
      <c r="AY348" s="39">
        <v>1279.42</v>
      </c>
      <c r="AZ348" s="39">
        <v>1208.6199999999999</v>
      </c>
      <c r="BA348" s="39">
        <v>1195.8800000000001</v>
      </c>
      <c r="BB348" s="39">
        <v>1173.22</v>
      </c>
      <c r="BC348" s="39">
        <v>13</v>
      </c>
      <c r="BD348" s="39">
        <v>3</v>
      </c>
      <c r="BE348" s="39">
        <v>6</v>
      </c>
      <c r="BF348" s="39" t="s">
        <v>130</v>
      </c>
      <c r="BG348" s="39">
        <v>274.2</v>
      </c>
      <c r="BH348" s="39">
        <v>0.2</v>
      </c>
      <c r="BI348" s="39" t="s">
        <v>4563</v>
      </c>
      <c r="BJ348" s="39" t="s">
        <v>132</v>
      </c>
    </row>
    <row r="349" spans="1:62" x14ac:dyDescent="0.35">
      <c r="A349" s="39" t="s">
        <v>1101</v>
      </c>
      <c r="B349" s="39" t="str">
        <f>IFERROR(INDEX(added_new_stocks!$F$6:$H$2155,MATCH($A349,added_new_stocks!$F$6:$F$2600,0),3),"")</f>
        <v>Small</v>
      </c>
      <c r="C349" s="39">
        <v>409.2</v>
      </c>
      <c r="D349" s="39">
        <v>50</v>
      </c>
      <c r="G349" s="39" t="s">
        <v>4562</v>
      </c>
      <c r="H349" s="39" t="s">
        <v>7724</v>
      </c>
      <c r="I349" s="39" t="s">
        <v>4989</v>
      </c>
      <c r="J349" s="39" t="s">
        <v>7725</v>
      </c>
      <c r="K349" s="39" t="s">
        <v>133</v>
      </c>
      <c r="L349" s="39" t="s">
        <v>7726</v>
      </c>
      <c r="M349" s="39" t="s">
        <v>4959</v>
      </c>
      <c r="N349" s="39">
        <v>4</v>
      </c>
      <c r="O349" s="39">
        <v>-16</v>
      </c>
      <c r="P349" s="39">
        <v>-12</v>
      </c>
      <c r="Q349" s="39" t="s">
        <v>4605</v>
      </c>
      <c r="R349" s="39">
        <v>0.63</v>
      </c>
      <c r="S349" s="39">
        <v>5.15</v>
      </c>
      <c r="T349" s="39">
        <v>-2.0299999999999998</v>
      </c>
      <c r="U349" s="39">
        <v>5.13</v>
      </c>
      <c r="V349" s="39">
        <v>10.029999999999999</v>
      </c>
      <c r="W349" s="39">
        <v>24.06</v>
      </c>
      <c r="X349" s="39">
        <v>20.32</v>
      </c>
      <c r="Y349" s="39">
        <v>26.69</v>
      </c>
      <c r="Z349" s="39">
        <v>123.61</v>
      </c>
      <c r="AA349" s="39">
        <v>147.18</v>
      </c>
      <c r="AB349" s="39">
        <v>66.61</v>
      </c>
      <c r="AC349" s="39">
        <v>1166.8699999999999</v>
      </c>
      <c r="AD349" s="39" t="s">
        <v>4606</v>
      </c>
      <c r="AE349" s="39" t="s">
        <v>134</v>
      </c>
      <c r="AF349" s="39">
        <v>28</v>
      </c>
      <c r="AG349" s="42">
        <v>0.14729999999999999</v>
      </c>
      <c r="AH349" s="39">
        <v>72</v>
      </c>
      <c r="AI349" s="42">
        <v>5.11E-2</v>
      </c>
      <c r="AJ349" s="39" t="s">
        <v>7727</v>
      </c>
      <c r="AK349" s="42">
        <v>0.38040000000000002</v>
      </c>
      <c r="AL349" s="39" t="s">
        <v>7728</v>
      </c>
      <c r="AM349" s="42">
        <v>7.3499999999999996E-2</v>
      </c>
      <c r="AN349" s="42">
        <v>0.2777</v>
      </c>
      <c r="AO349" s="41">
        <v>60</v>
      </c>
      <c r="AP349" s="39">
        <v>32</v>
      </c>
      <c r="AQ349" s="39">
        <v>61</v>
      </c>
      <c r="AR349" s="45">
        <v>1236</v>
      </c>
      <c r="AS349" s="39">
        <v>11</v>
      </c>
      <c r="AT349" s="39" t="s">
        <v>129</v>
      </c>
      <c r="AU349" s="39">
        <v>36</v>
      </c>
      <c r="AV349" s="39" t="s">
        <v>6545</v>
      </c>
      <c r="AW349" s="39">
        <v>1122.28</v>
      </c>
      <c r="AX349" s="39">
        <v>1132.97</v>
      </c>
      <c r="AY349" s="39">
        <v>1140.8800000000001</v>
      </c>
      <c r="AZ349" s="39">
        <v>1103.68</v>
      </c>
      <c r="BA349" s="39">
        <v>1095.77</v>
      </c>
      <c r="BB349" s="39">
        <v>1085.08</v>
      </c>
      <c r="BC349" s="39">
        <v>9</v>
      </c>
      <c r="BD349" s="39">
        <v>4</v>
      </c>
      <c r="BE349" s="39">
        <v>5</v>
      </c>
      <c r="BF349" s="39">
        <v>1</v>
      </c>
      <c r="BG349" s="39">
        <v>442.2</v>
      </c>
      <c r="BH349" s="39">
        <v>0.4</v>
      </c>
      <c r="BI349" s="39" t="s">
        <v>4565</v>
      </c>
      <c r="BJ349" s="39" t="s">
        <v>4563</v>
      </c>
    </row>
    <row r="350" spans="1:62" x14ac:dyDescent="0.35">
      <c r="A350" s="39" t="s">
        <v>460</v>
      </c>
      <c r="B350" s="39" t="str">
        <f>IFERROR(INDEX(added_new_stocks!$F$6:$H$2155,MATCH($A350,added_new_stocks!$F$6:$F$2600,0),3),"")</f>
        <v>Large</v>
      </c>
      <c r="C350" s="48">
        <v>4406.6000000000004</v>
      </c>
      <c r="D350" s="39">
        <v>65</v>
      </c>
      <c r="G350" s="39" t="s">
        <v>4562</v>
      </c>
      <c r="H350" s="39" t="s">
        <v>7729</v>
      </c>
      <c r="I350" s="39" t="s">
        <v>4624</v>
      </c>
      <c r="J350" s="39" t="s">
        <v>7730</v>
      </c>
      <c r="K350" s="39" t="s">
        <v>133</v>
      </c>
      <c r="L350" s="39" t="s">
        <v>5710</v>
      </c>
      <c r="M350" s="39" t="s">
        <v>4959</v>
      </c>
      <c r="N350" s="39">
        <v>2</v>
      </c>
      <c r="O350" s="39">
        <v>-3</v>
      </c>
      <c r="P350" s="39">
        <v>-1</v>
      </c>
      <c r="Q350" s="39" t="s">
        <v>4611</v>
      </c>
      <c r="R350" s="39">
        <v>-1.1100000000000001</v>
      </c>
      <c r="S350" s="39">
        <v>-0.59</v>
      </c>
      <c r="T350" s="39">
        <v>31.16</v>
      </c>
      <c r="U350" s="39">
        <v>54.73</v>
      </c>
      <c r="V350" s="39">
        <v>63.08</v>
      </c>
      <c r="W350" s="39">
        <v>79.86</v>
      </c>
      <c r="X350" s="39">
        <v>124.19</v>
      </c>
      <c r="Y350" s="39">
        <v>105.87</v>
      </c>
      <c r="Z350" s="39">
        <v>231.02</v>
      </c>
      <c r="AA350" s="39">
        <v>298.64</v>
      </c>
      <c r="AB350" s="39">
        <v>270.45999999999998</v>
      </c>
      <c r="AC350" s="39">
        <v>1267.02</v>
      </c>
      <c r="AD350" s="39" t="s">
        <v>4606</v>
      </c>
      <c r="AE350" s="39" t="s">
        <v>134</v>
      </c>
      <c r="AF350" s="39">
        <v>86</v>
      </c>
      <c r="AG350" s="42">
        <v>0.15</v>
      </c>
      <c r="AH350" s="39">
        <v>254</v>
      </c>
      <c r="AI350" s="42">
        <v>0.1905</v>
      </c>
      <c r="AJ350" s="39" t="s">
        <v>5711</v>
      </c>
      <c r="AK350" s="42">
        <v>0.16120000000000001</v>
      </c>
      <c r="AL350" s="39" t="s">
        <v>5639</v>
      </c>
      <c r="AM350" s="42">
        <v>4.8099999999999997E-2</v>
      </c>
      <c r="AN350" s="42">
        <v>0.12230000000000001</v>
      </c>
      <c r="AO350" s="41">
        <v>55</v>
      </c>
      <c r="AP350" s="39">
        <v>29</v>
      </c>
      <c r="AQ350" s="39">
        <v>49</v>
      </c>
      <c r="AR350" s="39">
        <v>433</v>
      </c>
      <c r="AS350" s="39">
        <v>6</v>
      </c>
      <c r="AT350" s="39" t="s">
        <v>129</v>
      </c>
      <c r="AU350" s="39">
        <v>8</v>
      </c>
      <c r="AV350" s="39" t="s">
        <v>6546</v>
      </c>
      <c r="AW350" s="39">
        <v>409.95</v>
      </c>
      <c r="AX350" s="39">
        <v>417.05</v>
      </c>
      <c r="AY350" s="39">
        <v>428.9</v>
      </c>
      <c r="AZ350" s="39">
        <v>391</v>
      </c>
      <c r="BA350" s="39">
        <v>379.15</v>
      </c>
      <c r="BB350" s="39">
        <v>372.05</v>
      </c>
      <c r="BC350" s="39">
        <v>3</v>
      </c>
      <c r="BD350" s="39">
        <v>1</v>
      </c>
      <c r="BE350" s="39">
        <v>2</v>
      </c>
      <c r="BF350" s="39" t="s">
        <v>130</v>
      </c>
      <c r="BG350" s="39">
        <v>150.69999999999999</v>
      </c>
      <c r="BH350" s="39">
        <v>0.4</v>
      </c>
      <c r="BI350" s="39" t="s">
        <v>4563</v>
      </c>
      <c r="BJ350" s="39" t="s">
        <v>4563</v>
      </c>
    </row>
    <row r="351" spans="1:62" x14ac:dyDescent="0.35">
      <c r="A351" s="39" t="s">
        <v>1986</v>
      </c>
      <c r="B351" s="39" t="str">
        <f>IFERROR(INDEX(added_new_stocks!$F$6:$H$2155,MATCH($A351,added_new_stocks!$F$6:$F$2600,0),3),"")</f>
        <v>Small</v>
      </c>
      <c r="C351" s="39">
        <v>179</v>
      </c>
      <c r="D351" s="39">
        <v>85</v>
      </c>
      <c r="G351" s="39" t="s">
        <v>4633</v>
      </c>
      <c r="H351" s="39" t="s">
        <v>7731</v>
      </c>
      <c r="I351" s="39" t="s">
        <v>4989</v>
      </c>
      <c r="J351" s="39" t="s">
        <v>7732</v>
      </c>
      <c r="K351" s="39" t="s">
        <v>133</v>
      </c>
      <c r="L351" s="39" t="s">
        <v>4998</v>
      </c>
      <c r="M351" s="39" t="s">
        <v>4955</v>
      </c>
      <c r="N351" s="39">
        <v>31</v>
      </c>
      <c r="O351" s="39">
        <v>-1</v>
      </c>
      <c r="P351" s="39">
        <v>30</v>
      </c>
      <c r="Q351" s="39" t="s">
        <v>5076</v>
      </c>
      <c r="R351" s="39">
        <v>-0.57999999999999996</v>
      </c>
      <c r="S351" s="39">
        <v>-2</v>
      </c>
      <c r="T351" s="39">
        <v>1.7</v>
      </c>
      <c r="U351" s="39">
        <v>24.96</v>
      </c>
      <c r="V351" s="39">
        <v>80.77</v>
      </c>
      <c r="W351" s="39">
        <v>46.96</v>
      </c>
      <c r="X351" s="39">
        <v>74.63</v>
      </c>
      <c r="Y351" s="39">
        <v>15.63</v>
      </c>
      <c r="Z351" s="39" t="s">
        <v>4538</v>
      </c>
      <c r="AA351" s="39" t="s">
        <v>4538</v>
      </c>
      <c r="AB351" s="39" t="s">
        <v>4538</v>
      </c>
      <c r="AC351" s="39" t="s">
        <v>4538</v>
      </c>
      <c r="AD351" s="39" t="s">
        <v>5015</v>
      </c>
      <c r="AE351" s="39">
        <v>25.43</v>
      </c>
      <c r="AF351" s="39">
        <v>1</v>
      </c>
      <c r="AG351" s="42">
        <v>4.5600000000000002E-2</v>
      </c>
      <c r="AH351" s="39">
        <v>6</v>
      </c>
      <c r="AI351" s="42">
        <v>1.6799999999999999E-2</v>
      </c>
      <c r="AJ351" s="39" t="s">
        <v>7733</v>
      </c>
      <c r="AK351" s="42">
        <v>5.9400000000000001E-2</v>
      </c>
      <c r="AL351" s="39" t="s">
        <v>7734</v>
      </c>
      <c r="AM351" s="42">
        <v>4.5600000000000002E-2</v>
      </c>
      <c r="AN351" s="42">
        <v>0.27339999999999998</v>
      </c>
      <c r="AO351" s="41">
        <v>65</v>
      </c>
      <c r="AP351" s="39">
        <v>12</v>
      </c>
      <c r="AQ351" s="39">
        <v>73</v>
      </c>
      <c r="AR351" s="45">
        <v>3340</v>
      </c>
      <c r="AS351" s="39">
        <v>-24</v>
      </c>
      <c r="AT351" s="39" t="s">
        <v>4562</v>
      </c>
      <c r="AU351" s="39">
        <v>22</v>
      </c>
      <c r="AV351" s="39" t="s">
        <v>6547</v>
      </c>
      <c r="AW351" s="39">
        <v>4515.93</v>
      </c>
      <c r="AX351" s="39">
        <v>4575.92</v>
      </c>
      <c r="AY351" s="39">
        <v>4618.88</v>
      </c>
      <c r="AZ351" s="39">
        <v>4412.9799999999996</v>
      </c>
      <c r="BA351" s="39">
        <v>4370.0200000000004</v>
      </c>
      <c r="BB351" s="39">
        <v>4310.03</v>
      </c>
      <c r="BC351" s="39">
        <v>8</v>
      </c>
      <c r="BD351" s="39">
        <v>7</v>
      </c>
      <c r="BE351" s="39">
        <v>6</v>
      </c>
      <c r="BF351" s="39" t="s">
        <v>130</v>
      </c>
      <c r="BG351" s="39">
        <v>729.4</v>
      </c>
      <c r="BH351" s="39">
        <v>0.2</v>
      </c>
      <c r="BI351" s="39" t="s">
        <v>131</v>
      </c>
      <c r="BJ351" s="39" t="s">
        <v>132</v>
      </c>
    </row>
    <row r="352" spans="1:62" x14ac:dyDescent="0.35">
      <c r="A352" s="39" t="s">
        <v>723</v>
      </c>
      <c r="B352" s="39" t="str">
        <f>IFERROR(INDEX(added_new_stocks!$F$6:$H$2155,MATCH($A352,added_new_stocks!$F$6:$F$2600,0),3),"")</f>
        <v>Mid</v>
      </c>
      <c r="C352" s="39">
        <v>510</v>
      </c>
      <c r="D352" s="39">
        <v>65</v>
      </c>
      <c r="G352" s="39" t="s">
        <v>4562</v>
      </c>
      <c r="H352" s="39" t="s">
        <v>7735</v>
      </c>
      <c r="I352" s="39" t="s">
        <v>4624</v>
      </c>
      <c r="J352" s="39" t="s">
        <v>7736</v>
      </c>
      <c r="K352" s="39" t="s">
        <v>133</v>
      </c>
      <c r="L352" s="39" t="s">
        <v>4998</v>
      </c>
      <c r="M352" s="39" t="s">
        <v>4959</v>
      </c>
      <c r="N352" s="39">
        <v>3</v>
      </c>
      <c r="O352" s="39">
        <v>-2</v>
      </c>
      <c r="P352" s="39">
        <v>1</v>
      </c>
      <c r="Q352" s="39" t="s">
        <v>4611</v>
      </c>
      <c r="R352" s="39">
        <v>0.47</v>
      </c>
      <c r="S352" s="39">
        <v>-2.21</v>
      </c>
      <c r="T352" s="39">
        <v>3.17</v>
      </c>
      <c r="U352" s="39">
        <v>6.92</v>
      </c>
      <c r="V352" s="39">
        <v>6.87</v>
      </c>
      <c r="W352" s="39">
        <v>3.09</v>
      </c>
      <c r="X352" s="39">
        <v>4</v>
      </c>
      <c r="Y352" s="39">
        <v>-6.39</v>
      </c>
      <c r="Z352" s="39">
        <v>48.34</v>
      </c>
      <c r="AA352" s="39" t="s">
        <v>4538</v>
      </c>
      <c r="AB352" s="39" t="s">
        <v>4538</v>
      </c>
      <c r="AC352" s="39" t="s">
        <v>4538</v>
      </c>
      <c r="AD352" s="39" t="s">
        <v>4606</v>
      </c>
      <c r="AE352" s="39" t="s">
        <v>134</v>
      </c>
      <c r="AF352" s="39">
        <v>16</v>
      </c>
      <c r="AG352" s="42">
        <v>9.1200000000000003E-2</v>
      </c>
      <c r="AH352" s="39">
        <v>117</v>
      </c>
      <c r="AI352" s="42">
        <v>9.5000000000000001E-2</v>
      </c>
      <c r="AJ352" s="39" t="s">
        <v>7737</v>
      </c>
      <c r="AK352" s="43">
        <v>0.6</v>
      </c>
      <c r="AL352" s="39" t="s">
        <v>7738</v>
      </c>
      <c r="AM352" s="42">
        <v>3.9199999999999999E-2</v>
      </c>
      <c r="AN352" s="42">
        <v>0.128</v>
      </c>
      <c r="AO352" s="41">
        <v>50</v>
      </c>
      <c r="AP352" s="39">
        <v>57</v>
      </c>
      <c r="AQ352" s="39">
        <v>65</v>
      </c>
      <c r="AR352" s="39">
        <v>200</v>
      </c>
      <c r="AS352" s="39">
        <v>11</v>
      </c>
      <c r="AT352" s="39" t="s">
        <v>4633</v>
      </c>
      <c r="AU352" s="39">
        <v>2</v>
      </c>
      <c r="AV352" s="39" t="s">
        <v>6548</v>
      </c>
      <c r="AW352" s="39">
        <v>182.33</v>
      </c>
      <c r="AX352" s="39">
        <v>184.57</v>
      </c>
      <c r="AY352" s="39">
        <v>186.18</v>
      </c>
      <c r="AZ352" s="39">
        <v>178.48</v>
      </c>
      <c r="BA352" s="39">
        <v>176.87</v>
      </c>
      <c r="BB352" s="39">
        <v>174.63</v>
      </c>
      <c r="BC352" s="39">
        <v>10</v>
      </c>
      <c r="BD352" s="39">
        <v>4</v>
      </c>
      <c r="BE352" s="39">
        <v>4</v>
      </c>
      <c r="BF352" s="39" t="s">
        <v>130</v>
      </c>
      <c r="BG352" s="39">
        <v>192.9</v>
      </c>
      <c r="BH352" s="39">
        <v>1.1000000000000001</v>
      </c>
      <c r="BI352" s="39" t="s">
        <v>4563</v>
      </c>
      <c r="BJ352" s="39" t="s">
        <v>4563</v>
      </c>
    </row>
    <row r="353" spans="1:62" x14ac:dyDescent="0.35">
      <c r="A353" s="39" t="s">
        <v>1580</v>
      </c>
      <c r="B353" s="39" t="str">
        <f>IFERROR(INDEX(added_new_stocks!$F$6:$H$2155,MATCH($A353,added_new_stocks!$F$6:$F$2600,0),3),"")</f>
        <v>Small</v>
      </c>
      <c r="C353" s="48">
        <v>2025.05</v>
      </c>
      <c r="D353" s="39">
        <v>74</v>
      </c>
      <c r="G353" s="39" t="s">
        <v>129</v>
      </c>
      <c r="H353" s="39" t="s">
        <v>7739</v>
      </c>
      <c r="I353" s="39" t="s">
        <v>4989</v>
      </c>
      <c r="J353" s="39" t="s">
        <v>7740</v>
      </c>
      <c r="K353" s="39" t="s">
        <v>133</v>
      </c>
      <c r="L353" s="39" t="s">
        <v>7741</v>
      </c>
      <c r="M353" s="39" t="s">
        <v>4955</v>
      </c>
      <c r="N353" s="39">
        <v>16</v>
      </c>
      <c r="O353" s="39">
        <v>0</v>
      </c>
      <c r="P353" s="39">
        <v>16</v>
      </c>
      <c r="Q353" s="39" t="s">
        <v>14</v>
      </c>
      <c r="R353" s="39">
        <v>0.49</v>
      </c>
      <c r="S353" s="39">
        <v>-0.44</v>
      </c>
      <c r="T353" s="39">
        <v>1.76</v>
      </c>
      <c r="U353" s="39">
        <v>11.12</v>
      </c>
      <c r="V353" s="39">
        <v>28.98</v>
      </c>
      <c r="W353" s="39">
        <v>30.53</v>
      </c>
      <c r="X353" s="39">
        <v>26.8</v>
      </c>
      <c r="Y353" s="39">
        <v>21.22</v>
      </c>
      <c r="Z353" s="39">
        <v>23.33</v>
      </c>
      <c r="AA353" s="39">
        <v>71.75</v>
      </c>
      <c r="AB353" s="39">
        <v>15.53</v>
      </c>
      <c r="AC353" s="39">
        <v>345.07</v>
      </c>
      <c r="AD353" s="39" t="s">
        <v>4606</v>
      </c>
      <c r="AE353" s="39" t="s">
        <v>134</v>
      </c>
      <c r="AF353" s="39">
        <v>3</v>
      </c>
      <c r="AG353" s="42">
        <v>8.3099999999999993E-2</v>
      </c>
      <c r="AH353" s="39">
        <v>67</v>
      </c>
      <c r="AI353" s="42">
        <v>2.5000000000000001E-2</v>
      </c>
      <c r="AJ353" s="39" t="s">
        <v>7369</v>
      </c>
      <c r="AK353" s="42">
        <v>0.5212</v>
      </c>
      <c r="AL353" s="39" t="s">
        <v>5206</v>
      </c>
      <c r="AM353" s="42">
        <v>6.8199999999999997E-2</v>
      </c>
      <c r="AN353" s="42">
        <v>0.30740000000000001</v>
      </c>
      <c r="AO353" s="41">
        <v>60</v>
      </c>
      <c r="AP353" s="39">
        <v>21</v>
      </c>
      <c r="AQ353" s="39">
        <v>55</v>
      </c>
      <c r="AR353" s="39">
        <v>605</v>
      </c>
      <c r="AS353" s="39">
        <v>19</v>
      </c>
      <c r="AT353" s="39" t="s">
        <v>4633</v>
      </c>
      <c r="AU353" s="39">
        <v>1</v>
      </c>
      <c r="AV353" s="39" t="s">
        <v>6549</v>
      </c>
      <c r="AW353" s="39">
        <v>516.53</v>
      </c>
      <c r="AX353" s="39">
        <v>525.52</v>
      </c>
      <c r="AY353" s="39">
        <v>531.28</v>
      </c>
      <c r="AZ353" s="39">
        <v>501.78</v>
      </c>
      <c r="BA353" s="39">
        <v>496.02</v>
      </c>
      <c r="BB353" s="39">
        <v>487.03</v>
      </c>
      <c r="BC353" s="39">
        <v>8</v>
      </c>
      <c r="BD353" s="39">
        <v>4</v>
      </c>
      <c r="BE353" s="39">
        <v>3</v>
      </c>
      <c r="BF353" s="39" t="s">
        <v>130</v>
      </c>
      <c r="BG353" s="39">
        <v>159.9</v>
      </c>
      <c r="BH353" s="39">
        <v>0.3</v>
      </c>
      <c r="BI353" s="39" t="s">
        <v>4565</v>
      </c>
      <c r="BJ353" s="39" t="s">
        <v>132</v>
      </c>
    </row>
    <row r="354" spans="1:62" x14ac:dyDescent="0.35">
      <c r="A354" s="39" t="s">
        <v>916</v>
      </c>
      <c r="B354" s="39" t="str">
        <f>IFERROR(INDEX(added_new_stocks!$F$6:$H$2155,MATCH($A354,added_new_stocks!$F$6:$F$2600,0),3),"")</f>
        <v>Mid</v>
      </c>
      <c r="C354" s="39">
        <v>877.7</v>
      </c>
      <c r="D354" s="39">
        <v>38</v>
      </c>
      <c r="G354" s="39" t="s">
        <v>4625</v>
      </c>
      <c r="H354" s="39" t="s">
        <v>7742</v>
      </c>
      <c r="I354" s="39" t="s">
        <v>4976</v>
      </c>
      <c r="J354" s="39" t="s">
        <v>7743</v>
      </c>
      <c r="K354" s="39" t="s">
        <v>133</v>
      </c>
      <c r="L354" s="39" t="s">
        <v>7744</v>
      </c>
      <c r="N354" s="39">
        <v>2</v>
      </c>
      <c r="O354" s="39">
        <v>-15</v>
      </c>
      <c r="P354" s="39">
        <v>-13</v>
      </c>
      <c r="Q354" s="39" t="s">
        <v>4605</v>
      </c>
      <c r="R354" s="39">
        <v>-0.36</v>
      </c>
      <c r="S354" s="39">
        <v>-0.26</v>
      </c>
      <c r="T354" s="39">
        <v>1.1200000000000001</v>
      </c>
      <c r="U354" s="39">
        <v>3.22</v>
      </c>
      <c r="V354" s="39">
        <v>-25.23</v>
      </c>
      <c r="W354" s="39">
        <v>-2.9</v>
      </c>
      <c r="X354" s="39">
        <v>-6.18</v>
      </c>
      <c r="Y354" s="39">
        <v>-8.42</v>
      </c>
      <c r="Z354" s="39">
        <v>-2.46</v>
      </c>
      <c r="AA354" s="39">
        <v>-30.41</v>
      </c>
      <c r="AB354" s="39">
        <v>-21.43</v>
      </c>
      <c r="AC354" s="39">
        <v>491.74</v>
      </c>
      <c r="AD354" s="39" t="s">
        <v>4606</v>
      </c>
      <c r="AE354" s="39" t="s">
        <v>134</v>
      </c>
      <c r="AF354" s="39">
        <v>6</v>
      </c>
      <c r="AG354" s="42">
        <v>9.7900000000000001E-2</v>
      </c>
      <c r="AH354" s="39">
        <v>75</v>
      </c>
      <c r="AI354" s="42">
        <v>3.6299999999999999E-2</v>
      </c>
      <c r="AJ354" s="39" t="s">
        <v>7745</v>
      </c>
      <c r="AK354" s="42">
        <v>0.41909999999999997</v>
      </c>
      <c r="AL354" s="39" t="s">
        <v>7073</v>
      </c>
      <c r="AM354" s="42">
        <v>4.6699999999999998E-2</v>
      </c>
      <c r="AN354" s="42">
        <v>6.25E-2</v>
      </c>
      <c r="AO354" s="41">
        <v>60</v>
      </c>
      <c r="AP354" s="39">
        <v>40</v>
      </c>
      <c r="AQ354" s="39">
        <v>52</v>
      </c>
      <c r="AR354" s="45">
        <v>2000</v>
      </c>
      <c r="AS354" s="39">
        <v>-1</v>
      </c>
      <c r="AT354" s="39" t="s">
        <v>4562</v>
      </c>
      <c r="AU354" s="39">
        <v>2</v>
      </c>
      <c r="AV354" s="39" t="s">
        <v>6550</v>
      </c>
      <c r="AX354" s="39">
        <v>2032.43</v>
      </c>
      <c r="AY354" s="39">
        <v>2043.02</v>
      </c>
      <c r="AZ354" s="39">
        <v>2022.17</v>
      </c>
      <c r="BA354" s="39">
        <v>1990.73</v>
      </c>
      <c r="BB354" s="39">
        <v>1980.47</v>
      </c>
      <c r="BC354" s="39">
        <v>1</v>
      </c>
      <c r="BD354" s="39">
        <v>3</v>
      </c>
      <c r="BE354" s="39">
        <v>1</v>
      </c>
      <c r="BF354" s="39">
        <v>-0.32</v>
      </c>
      <c r="BG354" s="39">
        <v>13</v>
      </c>
      <c r="BH354" s="39">
        <v>839.2</v>
      </c>
      <c r="BI354" s="39" t="s">
        <v>131</v>
      </c>
      <c r="BJ354" s="39" t="s">
        <v>131</v>
      </c>
    </row>
    <row r="355" spans="1:62" x14ac:dyDescent="0.35">
      <c r="A355" s="39" t="s">
        <v>532</v>
      </c>
      <c r="B355" s="39" t="str">
        <f>IFERROR(INDEX(added_new_stocks!$F$6:$H$2155,MATCH($A355,added_new_stocks!$F$6:$F$2600,0),3),"")</f>
        <v>Large</v>
      </c>
      <c r="C355" s="39">
        <v>773.3</v>
      </c>
      <c r="D355" s="39">
        <v>58</v>
      </c>
      <c r="G355" s="39" t="s">
        <v>4562</v>
      </c>
      <c r="H355" s="39" t="s">
        <v>5712</v>
      </c>
      <c r="I355" s="39" t="s">
        <v>4989</v>
      </c>
      <c r="J355" s="39" t="s">
        <v>7746</v>
      </c>
      <c r="K355" s="39" t="s">
        <v>133</v>
      </c>
      <c r="L355" s="39" t="s">
        <v>7747</v>
      </c>
      <c r="M355" s="39" t="s">
        <v>4959</v>
      </c>
      <c r="N355" s="39">
        <v>12</v>
      </c>
      <c r="O355" s="39">
        <v>-9</v>
      </c>
      <c r="P355" s="39">
        <v>3</v>
      </c>
      <c r="Q355" s="39" t="s">
        <v>4611</v>
      </c>
      <c r="R355" s="39">
        <v>0.61</v>
      </c>
      <c r="S355" s="39">
        <v>-3.84</v>
      </c>
      <c r="T355" s="39">
        <v>-6.24</v>
      </c>
      <c r="U355" s="39">
        <v>8.19</v>
      </c>
      <c r="V355" s="39">
        <v>34.08</v>
      </c>
      <c r="W355" s="39">
        <v>32.11</v>
      </c>
      <c r="X355" s="39">
        <v>28.74</v>
      </c>
      <c r="Y355" s="39">
        <v>22.73</v>
      </c>
      <c r="Z355" s="39">
        <v>58.32</v>
      </c>
      <c r="AA355" s="39">
        <v>150.5</v>
      </c>
      <c r="AB355" s="39">
        <v>161.65</v>
      </c>
      <c r="AC355" s="39" t="s">
        <v>4538</v>
      </c>
      <c r="AD355" s="39" t="s">
        <v>4606</v>
      </c>
      <c r="AE355" s="39" t="s">
        <v>134</v>
      </c>
      <c r="AF355" s="39">
        <v>23</v>
      </c>
      <c r="AG355" s="42">
        <v>8.5800000000000001E-2</v>
      </c>
      <c r="AH355" s="39">
        <v>251</v>
      </c>
      <c r="AI355" s="42">
        <v>0.2319</v>
      </c>
      <c r="AJ355" s="39" t="s">
        <v>5715</v>
      </c>
      <c r="AK355" s="42">
        <v>0.54600000000000004</v>
      </c>
      <c r="AL355" s="39" t="s">
        <v>5669</v>
      </c>
      <c r="AM355" s="42">
        <v>3.9300000000000002E-2</v>
      </c>
      <c r="AN355" s="42">
        <v>8.1100000000000005E-2</v>
      </c>
      <c r="AO355" s="41">
        <v>65</v>
      </c>
      <c r="AP355" s="39">
        <v>17</v>
      </c>
      <c r="AQ355" s="39">
        <v>30</v>
      </c>
      <c r="AR355" s="45">
        <v>1016</v>
      </c>
      <c r="AS355" s="39">
        <v>16</v>
      </c>
      <c r="AT355" s="39" t="s">
        <v>4562</v>
      </c>
      <c r="AU355" s="39">
        <v>7</v>
      </c>
      <c r="AV355" s="39" t="s">
        <v>6551</v>
      </c>
      <c r="AW355" s="39">
        <v>888.53</v>
      </c>
      <c r="AX355" s="39">
        <v>896.77</v>
      </c>
      <c r="AY355" s="39">
        <v>904.53</v>
      </c>
      <c r="AZ355" s="39">
        <v>872.53</v>
      </c>
      <c r="BA355" s="39">
        <v>864.77</v>
      </c>
      <c r="BB355" s="39">
        <v>856.53</v>
      </c>
      <c r="BC355" s="39">
        <v>4</v>
      </c>
      <c r="BD355" s="39">
        <v>6</v>
      </c>
      <c r="BE355" s="39" t="s">
        <v>130</v>
      </c>
      <c r="BF355" s="39" t="s">
        <v>130</v>
      </c>
      <c r="BG355" s="39">
        <v>214.5</v>
      </c>
      <c r="BH355" s="39">
        <v>0.2</v>
      </c>
      <c r="BI355" s="39" t="s">
        <v>4563</v>
      </c>
      <c r="BJ355" s="39" t="s">
        <v>4563</v>
      </c>
    </row>
    <row r="356" spans="1:62" x14ac:dyDescent="0.35">
      <c r="A356" s="39" t="s">
        <v>1884</v>
      </c>
      <c r="B356" s="39" t="str">
        <f>IFERROR(INDEX(added_new_stocks!$F$6:$H$2155,MATCH($A356,added_new_stocks!$F$6:$F$2600,0),3),"")</f>
        <v>Small</v>
      </c>
      <c r="C356" s="39">
        <v>240.95</v>
      </c>
      <c r="D356" s="39">
        <v>53</v>
      </c>
      <c r="G356" s="39" t="s">
        <v>4562</v>
      </c>
      <c r="H356" s="39" t="s">
        <v>7748</v>
      </c>
      <c r="I356" s="39" t="s">
        <v>4989</v>
      </c>
      <c r="J356" s="39" t="s">
        <v>7749</v>
      </c>
      <c r="K356" s="39" t="s">
        <v>4603</v>
      </c>
      <c r="L356" s="39" t="s">
        <v>7750</v>
      </c>
      <c r="M356" s="39" t="s">
        <v>4955</v>
      </c>
      <c r="N356" s="39">
        <v>16</v>
      </c>
      <c r="O356" s="39">
        <v>-5</v>
      </c>
      <c r="P356" s="39">
        <v>11</v>
      </c>
      <c r="Q356" s="39" t="s">
        <v>14</v>
      </c>
      <c r="R356" s="39">
        <v>3.19</v>
      </c>
      <c r="S356" s="39">
        <v>2.75</v>
      </c>
      <c r="T356" s="39">
        <v>-7.65</v>
      </c>
      <c r="U356" s="39">
        <v>3.3</v>
      </c>
      <c r="V356" s="39">
        <v>27.02</v>
      </c>
      <c r="W356" s="39">
        <v>17.45</v>
      </c>
      <c r="X356" s="39">
        <v>40.78</v>
      </c>
      <c r="Y356" s="39">
        <v>94.55</v>
      </c>
      <c r="Z356" s="39">
        <v>59.31</v>
      </c>
      <c r="AA356" s="39">
        <v>99.54</v>
      </c>
      <c r="AB356" s="39">
        <v>21.23</v>
      </c>
      <c r="AC356" s="39">
        <v>331.42</v>
      </c>
      <c r="AD356" s="39" t="s">
        <v>4606</v>
      </c>
      <c r="AE356" s="39" t="s">
        <v>134</v>
      </c>
      <c r="AF356" s="39">
        <v>11</v>
      </c>
      <c r="AG356" s="42">
        <v>4.02E-2</v>
      </c>
      <c r="AH356" s="39">
        <v>21</v>
      </c>
      <c r="AI356" s="42">
        <v>9.2999999999999992E-3</v>
      </c>
      <c r="AJ356" s="39" t="s">
        <v>7751</v>
      </c>
      <c r="AK356" s="42">
        <v>0.49459999999999998</v>
      </c>
      <c r="AL356" s="39" t="s">
        <v>7752</v>
      </c>
      <c r="AM356" s="42">
        <v>2.3800000000000002E-2</v>
      </c>
      <c r="AN356" s="42">
        <v>0.14169999999999999</v>
      </c>
      <c r="AO356" s="41">
        <v>60</v>
      </c>
      <c r="AP356" s="39">
        <v>16</v>
      </c>
      <c r="AQ356" s="39">
        <v>52</v>
      </c>
      <c r="AR356" s="39">
        <v>825</v>
      </c>
      <c r="AS356" s="39">
        <v>7</v>
      </c>
      <c r="AT356" s="39" t="s">
        <v>129</v>
      </c>
      <c r="AU356" s="39">
        <v>8</v>
      </c>
      <c r="AV356" s="39" t="s">
        <v>6552</v>
      </c>
      <c r="AW356" s="39">
        <v>778.77</v>
      </c>
      <c r="AX356" s="39">
        <v>789.03</v>
      </c>
      <c r="AY356" s="39">
        <v>795.17</v>
      </c>
      <c r="AZ356" s="39">
        <v>762.37</v>
      </c>
      <c r="BA356" s="39">
        <v>756.23</v>
      </c>
      <c r="BB356" s="39">
        <v>745.97</v>
      </c>
      <c r="BC356" s="39">
        <v>8</v>
      </c>
      <c r="BD356" s="39">
        <v>3</v>
      </c>
      <c r="BE356" s="39">
        <v>4</v>
      </c>
      <c r="BF356" s="39" t="s">
        <v>130</v>
      </c>
      <c r="BG356" s="39">
        <v>156.1</v>
      </c>
      <c r="BH356" s="39">
        <v>0.2</v>
      </c>
      <c r="BI356" s="39" t="s">
        <v>4563</v>
      </c>
      <c r="BJ356" s="39" t="s">
        <v>132</v>
      </c>
    </row>
    <row r="357" spans="1:62" x14ac:dyDescent="0.35">
      <c r="A357" s="39" t="s">
        <v>1343</v>
      </c>
      <c r="B357" s="39" t="str">
        <f>IFERROR(INDEX(added_new_stocks!$F$6:$H$2155,MATCH($A357,added_new_stocks!$F$6:$F$2600,0),3),"")</f>
        <v>Small</v>
      </c>
      <c r="C357" s="39">
        <v>509.55</v>
      </c>
      <c r="D357" s="39">
        <v>48</v>
      </c>
      <c r="G357" s="39" t="s">
        <v>4625</v>
      </c>
      <c r="H357" s="39" t="s">
        <v>7753</v>
      </c>
      <c r="I357" s="39" t="s">
        <v>4976</v>
      </c>
      <c r="J357" s="39" t="s">
        <v>7754</v>
      </c>
      <c r="K357" s="39" t="s">
        <v>133</v>
      </c>
      <c r="L357" s="39" t="s">
        <v>4998</v>
      </c>
      <c r="M357" s="39" t="s">
        <v>4959</v>
      </c>
      <c r="N357" s="39">
        <v>8</v>
      </c>
      <c r="O357" s="39">
        <v>0</v>
      </c>
      <c r="P357" s="39">
        <v>8</v>
      </c>
      <c r="Q357" s="39" t="s">
        <v>14</v>
      </c>
      <c r="R357" s="39">
        <v>-0.65</v>
      </c>
      <c r="S357" s="39">
        <v>-1.65</v>
      </c>
      <c r="T357" s="39">
        <v>-14.86</v>
      </c>
      <c r="U357" s="39">
        <v>-11.02</v>
      </c>
      <c r="V357" s="39">
        <v>-14.61</v>
      </c>
      <c r="W357" s="39">
        <v>-26.49</v>
      </c>
      <c r="X357" s="39">
        <v>-33.67</v>
      </c>
      <c r="Y357" s="39" t="s">
        <v>4538</v>
      </c>
      <c r="Z357" s="39" t="s">
        <v>4538</v>
      </c>
      <c r="AA357" s="39" t="s">
        <v>4538</v>
      </c>
      <c r="AB357" s="39" t="s">
        <v>4538</v>
      </c>
      <c r="AC357" s="39" t="s">
        <v>4538</v>
      </c>
      <c r="AD357" s="39" t="s">
        <v>4606</v>
      </c>
      <c r="AE357" s="39" t="s">
        <v>134</v>
      </c>
      <c r="AF357" s="39">
        <v>5</v>
      </c>
      <c r="AG357" s="42">
        <v>6.6799999999999998E-2</v>
      </c>
      <c r="AH357" s="39">
        <v>44</v>
      </c>
      <c r="AI357" s="42">
        <v>8.6400000000000005E-2</v>
      </c>
      <c r="AJ357" s="39" t="s">
        <v>7755</v>
      </c>
      <c r="AK357" s="42">
        <v>0.26979999999999998</v>
      </c>
      <c r="AL357" s="39" t="s">
        <v>7756</v>
      </c>
      <c r="AM357" s="42">
        <v>0.23419999999999999</v>
      </c>
      <c r="AN357" s="42">
        <v>0.1135</v>
      </c>
      <c r="AO357" s="41">
        <v>85</v>
      </c>
      <c r="AP357" s="39">
        <v>49</v>
      </c>
      <c r="AQ357" s="39">
        <v>53</v>
      </c>
      <c r="AS357" s="39" t="s">
        <v>4564</v>
      </c>
      <c r="AZ357" s="39">
        <v>235.1</v>
      </c>
      <c r="BA357" s="39">
        <v>236.8</v>
      </c>
      <c r="BB357" s="39">
        <v>238.3</v>
      </c>
      <c r="BC357" s="39">
        <v>6</v>
      </c>
      <c r="BD357" s="39">
        <v>7</v>
      </c>
      <c r="BE357" s="39">
        <v>1</v>
      </c>
      <c r="BF357" s="39">
        <v>0.65</v>
      </c>
      <c r="BG357" s="39">
        <v>9</v>
      </c>
      <c r="BH357" s="39">
        <v>154.69999999999999</v>
      </c>
      <c r="BI357" s="39" t="s">
        <v>4565</v>
      </c>
      <c r="BJ357" s="39" t="s">
        <v>4563</v>
      </c>
    </row>
    <row r="358" spans="1:62" x14ac:dyDescent="0.35">
      <c r="A358" s="39" t="s">
        <v>521</v>
      </c>
      <c r="B358" s="39" t="str">
        <f>IFERROR(INDEX(added_new_stocks!$F$6:$H$2155,MATCH($A358,added_new_stocks!$F$6:$F$2600,0),3),"")</f>
        <v>Large</v>
      </c>
      <c r="C358" s="48">
        <v>1059.5999999999999</v>
      </c>
      <c r="D358" s="39">
        <v>65</v>
      </c>
      <c r="G358" s="39" t="s">
        <v>4562</v>
      </c>
      <c r="H358" s="39" t="s">
        <v>7757</v>
      </c>
      <c r="I358" s="39" t="s">
        <v>4624</v>
      </c>
      <c r="J358" s="39" t="s">
        <v>7758</v>
      </c>
      <c r="K358" s="39" t="s">
        <v>4615</v>
      </c>
      <c r="L358" s="39" t="s">
        <v>7759</v>
      </c>
      <c r="M358" s="39" t="s">
        <v>5047</v>
      </c>
      <c r="N358" s="39">
        <v>12</v>
      </c>
      <c r="O358" s="39">
        <v>-7</v>
      </c>
      <c r="P358" s="39">
        <v>5</v>
      </c>
      <c r="Q358" s="39" t="s">
        <v>4611</v>
      </c>
      <c r="R358" s="39">
        <v>-0.69</v>
      </c>
      <c r="S358" s="39">
        <v>5.49</v>
      </c>
      <c r="T358" s="39">
        <v>0.83</v>
      </c>
      <c r="U358" s="39">
        <v>9.3699999999999992</v>
      </c>
      <c r="V358" s="39">
        <v>7.15</v>
      </c>
      <c r="W358" s="39">
        <v>13.01</v>
      </c>
      <c r="X358" s="39">
        <v>-6.18</v>
      </c>
      <c r="Y358" s="39">
        <v>27.02</v>
      </c>
      <c r="Z358" s="39">
        <v>223.05</v>
      </c>
      <c r="AA358" s="39">
        <v>316.74</v>
      </c>
      <c r="AB358" s="39">
        <v>220.49</v>
      </c>
      <c r="AC358" s="39">
        <v>883.59</v>
      </c>
      <c r="AD358" s="39" t="s">
        <v>4606</v>
      </c>
      <c r="AE358" s="39" t="s">
        <v>134</v>
      </c>
      <c r="AF358" s="39">
        <v>31</v>
      </c>
      <c r="AG358" s="42">
        <v>8.5300000000000001E-2</v>
      </c>
      <c r="AH358" s="39">
        <v>219</v>
      </c>
      <c r="AI358" s="42">
        <v>0.1447</v>
      </c>
      <c r="AJ358" s="39" t="s">
        <v>5724</v>
      </c>
      <c r="AK358" s="42">
        <v>0.31900000000000001</v>
      </c>
      <c r="AL358" s="39" t="s">
        <v>136</v>
      </c>
      <c r="AM358" s="42">
        <v>7.1400000000000005E-2</v>
      </c>
      <c r="AN358" s="42">
        <v>0.23910000000000001</v>
      </c>
      <c r="AO358" s="41">
        <v>45</v>
      </c>
      <c r="AP358" s="39">
        <v>21</v>
      </c>
      <c r="AQ358" s="39">
        <v>34</v>
      </c>
      <c r="AR358" s="39">
        <v>692</v>
      </c>
      <c r="AS358" s="39">
        <v>36</v>
      </c>
      <c r="AT358" s="39" t="s">
        <v>4633</v>
      </c>
      <c r="AU358" s="39">
        <v>4</v>
      </c>
      <c r="AV358" s="39" t="s">
        <v>6553</v>
      </c>
      <c r="AW358" s="39">
        <v>514.82000000000005</v>
      </c>
      <c r="AX358" s="39">
        <v>516.92999999999995</v>
      </c>
      <c r="AY358" s="39">
        <v>519.91999999999996</v>
      </c>
      <c r="AZ358" s="39">
        <v>509.72</v>
      </c>
      <c r="BA358" s="39">
        <v>506.73</v>
      </c>
      <c r="BB358" s="39">
        <v>504.62</v>
      </c>
      <c r="BC358" s="39">
        <v>2</v>
      </c>
      <c r="BD358" s="39">
        <v>14</v>
      </c>
      <c r="BE358" s="39" t="s">
        <v>130</v>
      </c>
      <c r="BF358" s="39">
        <v>1</v>
      </c>
      <c r="BG358" s="39">
        <v>178</v>
      </c>
      <c r="BH358" s="39">
        <v>0.3</v>
      </c>
      <c r="BI358" s="39" t="s">
        <v>4563</v>
      </c>
      <c r="BJ358" s="39" t="s">
        <v>132</v>
      </c>
    </row>
    <row r="359" spans="1:62" x14ac:dyDescent="0.35">
      <c r="A359" s="39" t="s">
        <v>1194</v>
      </c>
      <c r="B359" s="39" t="str">
        <f>IFERROR(INDEX(added_new_stocks!$F$6:$H$2155,MATCH($A359,added_new_stocks!$F$6:$F$2600,0),3),"")</f>
        <v>Small</v>
      </c>
      <c r="C359" s="39">
        <v>248.5</v>
      </c>
      <c r="D359" s="39">
        <v>55</v>
      </c>
      <c r="G359" s="39" t="s">
        <v>4562</v>
      </c>
      <c r="H359" s="39" t="s">
        <v>7760</v>
      </c>
      <c r="I359" s="39" t="s">
        <v>4989</v>
      </c>
      <c r="J359" s="39" t="s">
        <v>7761</v>
      </c>
      <c r="K359" s="39" t="s">
        <v>4615</v>
      </c>
      <c r="L359" s="39" t="s">
        <v>7762</v>
      </c>
      <c r="M359" s="39" t="s">
        <v>135</v>
      </c>
      <c r="N359" s="39">
        <v>5</v>
      </c>
      <c r="O359" s="39">
        <v>-4</v>
      </c>
      <c r="P359" s="39">
        <v>1</v>
      </c>
      <c r="Q359" s="39" t="s">
        <v>4611</v>
      </c>
      <c r="R359" s="39">
        <v>1.24</v>
      </c>
      <c r="S359" s="39">
        <v>1.2</v>
      </c>
      <c r="T359" s="39">
        <v>-0.84</v>
      </c>
      <c r="U359" s="39">
        <v>8.09</v>
      </c>
      <c r="V359" s="39">
        <v>20.02</v>
      </c>
      <c r="W359" s="39">
        <v>14.17</v>
      </c>
      <c r="X359" s="39">
        <v>5.97</v>
      </c>
      <c r="Y359" s="39">
        <v>24.87</v>
      </c>
      <c r="Z359" s="39">
        <v>115.34</v>
      </c>
      <c r="AA359" s="39">
        <v>230.45</v>
      </c>
      <c r="AB359" s="39">
        <v>115.9</v>
      </c>
      <c r="AC359" s="39">
        <v>164.29</v>
      </c>
      <c r="AD359" s="39" t="s">
        <v>4606</v>
      </c>
      <c r="AE359" s="39" t="s">
        <v>134</v>
      </c>
      <c r="AF359" s="39">
        <v>10</v>
      </c>
      <c r="AG359" s="42">
        <v>3.1099999999999999E-2</v>
      </c>
      <c r="AH359" s="39">
        <v>66</v>
      </c>
      <c r="AI359" s="42">
        <v>4.4900000000000002E-2</v>
      </c>
      <c r="AJ359" s="39" t="s">
        <v>7763</v>
      </c>
      <c r="AK359" s="42">
        <v>0.57479999999999998</v>
      </c>
      <c r="AL359" s="39" t="s">
        <v>5352</v>
      </c>
      <c r="AM359" s="42">
        <v>1.43E-2</v>
      </c>
      <c r="AN359" s="42">
        <v>0.25140000000000001</v>
      </c>
      <c r="AO359" s="41">
        <v>80</v>
      </c>
      <c r="AP359" s="39">
        <v>66</v>
      </c>
      <c r="AQ359" s="39">
        <v>64</v>
      </c>
      <c r="AR359" s="45">
        <v>1010</v>
      </c>
      <c r="AS359" s="39">
        <v>-5</v>
      </c>
      <c r="AT359" s="39" t="s">
        <v>4562</v>
      </c>
      <c r="AU359" s="39">
        <v>7</v>
      </c>
      <c r="AV359" s="39" t="s">
        <v>6554</v>
      </c>
      <c r="AW359" s="39">
        <v>1082.5999999999999</v>
      </c>
      <c r="AX359" s="39">
        <v>1098.3</v>
      </c>
      <c r="AY359" s="39">
        <v>1119.5999999999999</v>
      </c>
      <c r="AZ359" s="39">
        <v>1045.5999999999999</v>
      </c>
      <c r="BA359" s="39">
        <v>1024.3</v>
      </c>
      <c r="BB359" s="39">
        <v>1008.6</v>
      </c>
      <c r="BC359" s="39">
        <v>11</v>
      </c>
      <c r="BD359" s="39">
        <v>4</v>
      </c>
      <c r="BE359" s="39">
        <v>4</v>
      </c>
      <c r="BF359" s="39" t="s">
        <v>130</v>
      </c>
      <c r="BG359" s="48">
        <v>1270.5</v>
      </c>
      <c r="BH359" s="39">
        <v>1.2</v>
      </c>
      <c r="BI359" s="39" t="s">
        <v>131</v>
      </c>
      <c r="BJ359" s="39" t="s">
        <v>4563</v>
      </c>
    </row>
    <row r="360" spans="1:62" x14ac:dyDescent="0.35">
      <c r="A360" s="39" t="s">
        <v>427</v>
      </c>
      <c r="B360" s="39" t="str">
        <f>IFERROR(INDEX(added_new_stocks!$F$6:$H$2155,MATCH($A360,added_new_stocks!$F$6:$F$2600,0),3),"")</f>
        <v>Large</v>
      </c>
      <c r="C360" s="48">
        <v>1803</v>
      </c>
      <c r="D360" s="39">
        <v>64</v>
      </c>
      <c r="G360" s="39" t="s">
        <v>4562</v>
      </c>
      <c r="H360" s="39" t="s">
        <v>5716</v>
      </c>
      <c r="I360" s="39" t="s">
        <v>4624</v>
      </c>
      <c r="J360" s="39" t="s">
        <v>5717</v>
      </c>
      <c r="K360" s="39" t="s">
        <v>133</v>
      </c>
      <c r="L360" s="39" t="s">
        <v>5718</v>
      </c>
      <c r="M360" s="39" t="s">
        <v>5047</v>
      </c>
      <c r="N360" s="39">
        <v>7</v>
      </c>
      <c r="O360" s="39">
        <v>-18</v>
      </c>
      <c r="P360" s="39">
        <v>-11</v>
      </c>
      <c r="Q360" s="39" t="s">
        <v>4605</v>
      </c>
      <c r="R360" s="39">
        <v>0.9</v>
      </c>
      <c r="S360" s="39">
        <v>-0.93</v>
      </c>
      <c r="T360" s="39">
        <v>1.65</v>
      </c>
      <c r="U360" s="39">
        <v>41.65</v>
      </c>
      <c r="V360" s="39">
        <v>50.09</v>
      </c>
      <c r="W360" s="39">
        <v>41.47</v>
      </c>
      <c r="X360" s="39">
        <v>50.07</v>
      </c>
      <c r="Y360" s="39">
        <v>26.44</v>
      </c>
      <c r="Z360" s="39">
        <v>106.47</v>
      </c>
      <c r="AA360" s="39">
        <v>319.3</v>
      </c>
      <c r="AB360" s="39">
        <v>222.83</v>
      </c>
      <c r="AC360" s="39">
        <v>995.72</v>
      </c>
      <c r="AD360" s="39" t="s">
        <v>4606</v>
      </c>
      <c r="AE360" s="39">
        <v>4.96</v>
      </c>
      <c r="AF360" s="39">
        <v>25</v>
      </c>
      <c r="AG360" s="42">
        <v>9.9500000000000005E-2</v>
      </c>
      <c r="AH360" s="39">
        <v>212</v>
      </c>
      <c r="AI360" s="42">
        <v>0.17169999999999999</v>
      </c>
      <c r="AJ360" s="39" t="s">
        <v>5719</v>
      </c>
      <c r="AK360" s="42">
        <v>0.44800000000000001</v>
      </c>
      <c r="AL360" s="39" t="s">
        <v>5720</v>
      </c>
      <c r="AM360" s="42">
        <v>4.4200000000000003E-2</v>
      </c>
      <c r="AN360" s="42">
        <v>7.7299999999999994E-2</v>
      </c>
      <c r="AO360" s="41">
        <v>80</v>
      </c>
      <c r="AP360" s="39">
        <v>55</v>
      </c>
      <c r="AQ360" s="39">
        <v>49</v>
      </c>
      <c r="AS360" s="39" t="s">
        <v>4564</v>
      </c>
      <c r="AX360" s="39">
        <v>250.9</v>
      </c>
      <c r="AY360" s="39">
        <v>253.45</v>
      </c>
      <c r="AZ360" s="39">
        <v>248.1</v>
      </c>
      <c r="BA360" s="39">
        <v>240.2</v>
      </c>
      <c r="BB360" s="39">
        <v>237.4</v>
      </c>
      <c r="BC360" s="39">
        <v>3</v>
      </c>
      <c r="BD360" s="39">
        <v>6</v>
      </c>
      <c r="BE360" s="39" t="s">
        <v>130</v>
      </c>
      <c r="BF360" s="39">
        <v>1.05</v>
      </c>
      <c r="BG360" s="39">
        <v>7</v>
      </c>
      <c r="BH360" s="39">
        <v>200.6</v>
      </c>
      <c r="BI360" s="39" t="s">
        <v>131</v>
      </c>
      <c r="BJ360" s="39" t="s">
        <v>4563</v>
      </c>
    </row>
    <row r="361" spans="1:62" x14ac:dyDescent="0.35">
      <c r="A361" s="39" t="s">
        <v>314</v>
      </c>
      <c r="B361" s="39" t="str">
        <f>IFERROR(INDEX(added_new_stocks!$F$6:$H$2155,MATCH($A361,added_new_stocks!$F$6:$F$2600,0),3),"")</f>
        <v>Large</v>
      </c>
      <c r="C361" s="39">
        <v>848.1</v>
      </c>
      <c r="D361" s="39">
        <v>68</v>
      </c>
      <c r="G361" s="39" t="s">
        <v>4562</v>
      </c>
      <c r="H361" s="39" t="s">
        <v>7764</v>
      </c>
      <c r="I361" s="39" t="s">
        <v>4989</v>
      </c>
      <c r="J361" s="39" t="s">
        <v>7765</v>
      </c>
      <c r="K361" s="39" t="s">
        <v>133</v>
      </c>
      <c r="L361" s="39" t="s">
        <v>7766</v>
      </c>
      <c r="M361" s="39" t="s">
        <v>135</v>
      </c>
      <c r="N361" s="39">
        <v>11</v>
      </c>
      <c r="O361" s="39">
        <v>-3</v>
      </c>
      <c r="P361" s="39">
        <v>8</v>
      </c>
      <c r="Q361" s="39" t="s">
        <v>14</v>
      </c>
      <c r="R361" s="39">
        <v>1.2</v>
      </c>
      <c r="S361" s="39">
        <v>0.46</v>
      </c>
      <c r="T361" s="39">
        <v>-1.26</v>
      </c>
      <c r="U361" s="39">
        <v>7.26</v>
      </c>
      <c r="V361" s="39">
        <v>19.7</v>
      </c>
      <c r="W361" s="39">
        <v>10.55</v>
      </c>
      <c r="X361" s="39">
        <v>4.75</v>
      </c>
      <c r="Y361" s="39">
        <v>-1.41</v>
      </c>
      <c r="Z361" s="39">
        <v>55.02</v>
      </c>
      <c r="AA361" s="39">
        <v>204.47</v>
      </c>
      <c r="AB361" s="39">
        <v>259.06</v>
      </c>
      <c r="AC361" s="39">
        <v>510.14</v>
      </c>
      <c r="AD361" s="39" t="s">
        <v>4606</v>
      </c>
      <c r="AE361" s="39">
        <v>1.2</v>
      </c>
      <c r="AF361" s="39">
        <v>54</v>
      </c>
      <c r="AG361" s="42">
        <v>6.0999999999999999E-2</v>
      </c>
      <c r="AH361" s="39">
        <v>697</v>
      </c>
      <c r="AI361" s="42">
        <v>0.25390000000000001</v>
      </c>
      <c r="AJ361" s="39" t="s">
        <v>5724</v>
      </c>
      <c r="AK361" s="42">
        <v>0.29160000000000003</v>
      </c>
      <c r="AL361" s="39" t="s">
        <v>136</v>
      </c>
      <c r="AM361" s="42">
        <v>7.0199999999999999E-2</v>
      </c>
      <c r="AN361" s="42">
        <v>0.19309999999999999</v>
      </c>
      <c r="AO361" s="41">
        <v>60</v>
      </c>
      <c r="AP361" s="39">
        <v>25</v>
      </c>
      <c r="AQ361" s="39">
        <v>69</v>
      </c>
      <c r="AR361" s="45">
        <v>1636</v>
      </c>
      <c r="AS361" s="39">
        <v>-10</v>
      </c>
      <c r="AT361" s="39" t="s">
        <v>4562</v>
      </c>
      <c r="AU361" s="39">
        <v>8</v>
      </c>
      <c r="AV361" s="39" t="s">
        <v>6555</v>
      </c>
      <c r="AX361" s="39">
        <v>1814.93</v>
      </c>
      <c r="AY361" s="39">
        <v>1824.87</v>
      </c>
      <c r="AZ361" s="39">
        <v>1801.52</v>
      </c>
      <c r="BA361" s="39">
        <v>1768.23</v>
      </c>
      <c r="BB361" s="39">
        <v>1754.82</v>
      </c>
      <c r="BC361" s="39">
        <v>12</v>
      </c>
      <c r="BD361" s="39">
        <v>4</v>
      </c>
      <c r="BE361" s="39">
        <v>7</v>
      </c>
      <c r="BF361" s="39" t="s">
        <v>130</v>
      </c>
      <c r="BG361" s="39">
        <v>264.7</v>
      </c>
      <c r="BH361" s="39">
        <v>0.1</v>
      </c>
      <c r="BI361" s="39" t="s">
        <v>4639</v>
      </c>
    </row>
    <row r="362" spans="1:62" x14ac:dyDescent="0.35">
      <c r="A362" s="39" t="s">
        <v>412</v>
      </c>
      <c r="B362" s="39" t="str">
        <f>IFERROR(INDEX(added_new_stocks!$F$6:$H$2155,MATCH($A362,added_new_stocks!$F$6:$F$2600,0),3),"")</f>
        <v>Large</v>
      </c>
      <c r="C362" s="48">
        <v>7398.7</v>
      </c>
      <c r="D362" s="39">
        <v>71</v>
      </c>
      <c r="G362" s="39" t="s">
        <v>129</v>
      </c>
      <c r="H362" s="39" t="s">
        <v>7767</v>
      </c>
      <c r="I362" s="39" t="s">
        <v>4989</v>
      </c>
      <c r="J362" s="39" t="s">
        <v>7768</v>
      </c>
      <c r="K362" s="39" t="s">
        <v>4957</v>
      </c>
      <c r="L362" s="39" t="s">
        <v>5075</v>
      </c>
      <c r="M362" s="39" t="s">
        <v>4959</v>
      </c>
      <c r="N362" s="39">
        <v>11</v>
      </c>
      <c r="O362" s="39">
        <v>-1</v>
      </c>
      <c r="P362" s="39">
        <v>10</v>
      </c>
      <c r="Q362" s="39" t="s">
        <v>14</v>
      </c>
      <c r="R362" s="39">
        <v>0.18</v>
      </c>
      <c r="S362" s="39">
        <v>4.05</v>
      </c>
      <c r="T362" s="39">
        <v>2.5299999999999998</v>
      </c>
      <c r="U362" s="39">
        <v>-0.28000000000000003</v>
      </c>
      <c r="V362" s="39">
        <v>20.28</v>
      </c>
      <c r="W362" s="39">
        <v>17.68</v>
      </c>
      <c r="X362" s="39">
        <v>-17.93</v>
      </c>
      <c r="Y362" s="39">
        <v>53.43</v>
      </c>
      <c r="Z362" s="39">
        <v>549.91999999999996</v>
      </c>
      <c r="AA362" s="39">
        <v>1070.68</v>
      </c>
      <c r="AB362" s="39">
        <v>425.74</v>
      </c>
      <c r="AC362" s="39">
        <v>8523.19</v>
      </c>
      <c r="AD362" s="39" t="s">
        <v>4606</v>
      </c>
      <c r="AE362" s="39" t="s">
        <v>134</v>
      </c>
      <c r="AF362" s="39">
        <v>17</v>
      </c>
      <c r="AG362" s="42">
        <v>2.4E-2</v>
      </c>
      <c r="AH362" s="39">
        <v>551</v>
      </c>
      <c r="AI362" s="42">
        <v>0.14219999999999999</v>
      </c>
      <c r="AJ362" s="39" t="s">
        <v>5724</v>
      </c>
      <c r="AK362" s="42">
        <v>0.42220000000000002</v>
      </c>
      <c r="AL362" s="39" t="s">
        <v>7769</v>
      </c>
      <c r="AM362" s="42">
        <v>1.89E-2</v>
      </c>
      <c r="AN362" s="42">
        <v>0.33300000000000002</v>
      </c>
      <c r="AO362" s="41">
        <v>65</v>
      </c>
      <c r="AP362" s="39">
        <v>21</v>
      </c>
      <c r="AQ362" s="39">
        <v>48</v>
      </c>
      <c r="AR362" s="39">
        <v>932</v>
      </c>
      <c r="AS362" s="39">
        <v>10</v>
      </c>
      <c r="AT362" s="39" t="s">
        <v>129</v>
      </c>
      <c r="AU362" s="39">
        <v>24</v>
      </c>
      <c r="AV362" s="39" t="s">
        <v>6556</v>
      </c>
      <c r="AY362" s="39">
        <v>850.75</v>
      </c>
      <c r="AZ362" s="39">
        <v>842.8</v>
      </c>
      <c r="BA362" s="39">
        <v>847.35</v>
      </c>
      <c r="BB362" s="39">
        <v>826.9</v>
      </c>
      <c r="BC362" s="39">
        <v>12</v>
      </c>
      <c r="BD362" s="39">
        <v>2</v>
      </c>
      <c r="BE362" s="39">
        <v>5</v>
      </c>
      <c r="BF362" s="39" t="s">
        <v>130</v>
      </c>
      <c r="BG362" s="39">
        <v>237.5</v>
      </c>
      <c r="BH362" s="39">
        <v>0.3</v>
      </c>
      <c r="BI362" s="39" t="s">
        <v>4563</v>
      </c>
      <c r="BJ362" s="39" t="s">
        <v>4563</v>
      </c>
    </row>
    <row r="363" spans="1:62" x14ac:dyDescent="0.35">
      <c r="A363" s="39" t="s">
        <v>234</v>
      </c>
      <c r="B363" s="39" t="str">
        <f>IFERROR(INDEX(added_new_stocks!$F$6:$H$2155,MATCH($A363,added_new_stocks!$F$6:$F$2600,0),3),"")</f>
        <v>Large</v>
      </c>
      <c r="C363" s="39">
        <v>605.54999999999995</v>
      </c>
      <c r="D363" s="39">
        <v>72</v>
      </c>
      <c r="G363" s="39" t="s">
        <v>129</v>
      </c>
      <c r="H363" s="39" t="s">
        <v>7770</v>
      </c>
      <c r="I363" s="39" t="s">
        <v>4989</v>
      </c>
      <c r="J363" s="39" t="s">
        <v>7771</v>
      </c>
      <c r="K363" s="39" t="s">
        <v>4615</v>
      </c>
      <c r="L363" s="39" t="s">
        <v>7772</v>
      </c>
      <c r="N363" s="39">
        <v>33</v>
      </c>
      <c r="O363" s="39">
        <v>0</v>
      </c>
      <c r="P363" s="39">
        <v>33</v>
      </c>
      <c r="Q363" s="39" t="s">
        <v>5076</v>
      </c>
      <c r="R363" s="39">
        <v>-0.16</v>
      </c>
      <c r="S363" s="39">
        <v>-1.31</v>
      </c>
      <c r="T363" s="39">
        <v>-4.67</v>
      </c>
      <c r="U363" s="39">
        <v>16.72</v>
      </c>
      <c r="V363" s="39">
        <v>44.02</v>
      </c>
      <c r="W363" s="39">
        <v>56.03</v>
      </c>
      <c r="X363" s="39">
        <v>28.57</v>
      </c>
      <c r="Y363" s="39">
        <v>107.45</v>
      </c>
      <c r="Z363" s="39">
        <v>324.35000000000002</v>
      </c>
      <c r="AA363" s="39">
        <v>418.67</v>
      </c>
      <c r="AB363" s="39">
        <v>133.22</v>
      </c>
      <c r="AC363" s="39">
        <v>104.9</v>
      </c>
      <c r="AD363" s="39" t="s">
        <v>4606</v>
      </c>
      <c r="AE363" s="39">
        <v>1.82</v>
      </c>
      <c r="AF363" s="39">
        <v>44</v>
      </c>
      <c r="AG363" s="42">
        <v>8.6900000000000005E-2</v>
      </c>
      <c r="AH363" s="39">
        <v>790</v>
      </c>
      <c r="AI363" s="42">
        <v>0.1772</v>
      </c>
      <c r="AJ363" s="39" t="s">
        <v>5724</v>
      </c>
      <c r="AK363" s="42">
        <v>0.43719999999999998</v>
      </c>
      <c r="AL363" s="39" t="s">
        <v>136</v>
      </c>
      <c r="AM363" s="42">
        <v>5.0700000000000002E-2</v>
      </c>
      <c r="AN363" s="42">
        <v>0.152</v>
      </c>
      <c r="AO363" s="41">
        <v>60</v>
      </c>
      <c r="AP363" s="39">
        <v>10</v>
      </c>
      <c r="AQ363" s="39">
        <v>57</v>
      </c>
      <c r="AR363" s="45">
        <v>6293</v>
      </c>
      <c r="AS363" s="39">
        <v>-15</v>
      </c>
      <c r="AT363" s="39" t="s">
        <v>4625</v>
      </c>
      <c r="AU363" s="39">
        <v>7</v>
      </c>
      <c r="AV363" s="39" t="s">
        <v>6557</v>
      </c>
      <c r="AW363" s="39">
        <v>7426.9</v>
      </c>
      <c r="AX363" s="39">
        <v>7470.45</v>
      </c>
      <c r="AY363" s="39">
        <v>7543.9</v>
      </c>
      <c r="AZ363" s="39">
        <v>7309.9</v>
      </c>
      <c r="BA363" s="39">
        <v>7236.45</v>
      </c>
      <c r="BB363" s="39">
        <v>7192.9</v>
      </c>
      <c r="BC363" s="39">
        <v>12</v>
      </c>
      <c r="BD363" s="39">
        <v>3</v>
      </c>
      <c r="BE363" s="39">
        <v>3</v>
      </c>
      <c r="BF363" s="39" t="s">
        <v>130</v>
      </c>
      <c r="BG363" s="39">
        <v>958.5</v>
      </c>
      <c r="BH363" s="39">
        <v>0.1</v>
      </c>
      <c r="BI363" s="39" t="s">
        <v>131</v>
      </c>
      <c r="BJ363" s="39" t="s">
        <v>132</v>
      </c>
    </row>
    <row r="364" spans="1:62" x14ac:dyDescent="0.35">
      <c r="A364" s="39" t="s">
        <v>242</v>
      </c>
      <c r="B364" s="39" t="str">
        <f>IFERROR(INDEX(added_new_stocks!$F$6:$H$2155,MATCH($A364,added_new_stocks!$F$6:$F$2600,0),3),"")</f>
        <v>Large</v>
      </c>
      <c r="C364" s="39">
        <v>122.05</v>
      </c>
      <c r="D364" s="39">
        <v>54</v>
      </c>
      <c r="G364" s="39" t="s">
        <v>4562</v>
      </c>
      <c r="H364" s="39" t="s">
        <v>7773</v>
      </c>
      <c r="I364" s="39" t="s">
        <v>4624</v>
      </c>
      <c r="J364" s="39" t="s">
        <v>7774</v>
      </c>
      <c r="K364" s="39" t="s">
        <v>4615</v>
      </c>
      <c r="L364" s="39" t="s">
        <v>5008</v>
      </c>
      <c r="M364" s="39" t="s">
        <v>5047</v>
      </c>
      <c r="N364" s="39">
        <v>2</v>
      </c>
      <c r="O364" s="39">
        <v>-22</v>
      </c>
      <c r="P364" s="39">
        <v>-20</v>
      </c>
      <c r="Q364" s="39" t="s">
        <v>5026</v>
      </c>
      <c r="R364" s="39">
        <v>2.09</v>
      </c>
      <c r="S364" s="39">
        <v>2.65</v>
      </c>
      <c r="T364" s="39">
        <v>1.24</v>
      </c>
      <c r="U364" s="39">
        <v>13.91</v>
      </c>
      <c r="V364" s="39">
        <v>16.63</v>
      </c>
      <c r="W364" s="39">
        <v>8.34</v>
      </c>
      <c r="X364" s="39">
        <v>12.7</v>
      </c>
      <c r="Y364" s="39">
        <v>-15.21</v>
      </c>
      <c r="Z364" s="39">
        <v>187.79</v>
      </c>
      <c r="AA364" s="39">
        <v>253.82</v>
      </c>
      <c r="AB364" s="39">
        <v>100.64</v>
      </c>
      <c r="AC364" s="39">
        <v>367.09</v>
      </c>
      <c r="AD364" s="39" t="s">
        <v>4606</v>
      </c>
      <c r="AE364" s="39">
        <v>1.55</v>
      </c>
      <c r="AF364" s="39">
        <v>61</v>
      </c>
      <c r="AG364" s="42">
        <v>8.9399999999999993E-2</v>
      </c>
      <c r="AH364" s="39">
        <v>817</v>
      </c>
      <c r="AI364" s="42">
        <v>0.20280000000000001</v>
      </c>
      <c r="AJ364" s="39" t="s">
        <v>5724</v>
      </c>
      <c r="AK364" s="42">
        <v>0.32440000000000002</v>
      </c>
      <c r="AL364" s="39" t="s">
        <v>136</v>
      </c>
      <c r="AM364" s="42">
        <v>6.4199999999999993E-2</v>
      </c>
      <c r="AN364" s="42">
        <v>0.20319999999999999</v>
      </c>
      <c r="AO364" s="41">
        <v>65</v>
      </c>
      <c r="AP364" s="39">
        <v>60</v>
      </c>
      <c r="AQ364" s="39">
        <v>53</v>
      </c>
      <c r="AR364" s="39">
        <v>715</v>
      </c>
      <c r="AS364" s="39">
        <v>18</v>
      </c>
      <c r="AT364" s="39" t="s">
        <v>129</v>
      </c>
      <c r="AU364" s="39">
        <v>32</v>
      </c>
      <c r="AV364" s="39" t="s">
        <v>6558</v>
      </c>
      <c r="AW364" s="39">
        <v>610.57000000000005</v>
      </c>
      <c r="AX364" s="39">
        <v>613.98</v>
      </c>
      <c r="AY364" s="39">
        <v>617.47</v>
      </c>
      <c r="AZ364" s="39">
        <v>603.66999999999996</v>
      </c>
      <c r="BA364" s="39">
        <v>600.17999999999995</v>
      </c>
      <c r="BB364" s="39">
        <v>596.77</v>
      </c>
      <c r="BC364" s="39">
        <v>9</v>
      </c>
      <c r="BD364" s="39">
        <v>6</v>
      </c>
      <c r="BE364" s="39">
        <v>4</v>
      </c>
      <c r="BF364" s="39">
        <v>2</v>
      </c>
      <c r="BG364" s="39">
        <v>314.3</v>
      </c>
      <c r="BH364" s="39">
        <v>0.5</v>
      </c>
      <c r="BI364" s="39" t="s">
        <v>4565</v>
      </c>
      <c r="BJ364" s="39" t="s">
        <v>4565</v>
      </c>
    </row>
    <row r="365" spans="1:62" x14ac:dyDescent="0.35">
      <c r="A365" s="39" t="s">
        <v>1341</v>
      </c>
      <c r="B365" s="39" t="str">
        <f>IFERROR(INDEX(added_new_stocks!$F$6:$H$2155,MATCH($A365,added_new_stocks!$F$6:$F$2600,0),3),"")</f>
        <v>Small</v>
      </c>
      <c r="C365" s="39">
        <v>773.15</v>
      </c>
      <c r="D365" s="39">
        <v>40</v>
      </c>
      <c r="G365" s="39" t="s">
        <v>4625</v>
      </c>
      <c r="H365" s="39" t="s">
        <v>7775</v>
      </c>
      <c r="I365" s="39" t="s">
        <v>4624</v>
      </c>
      <c r="J365" s="39" t="s">
        <v>7776</v>
      </c>
      <c r="K365" s="39"/>
      <c r="N365" s="39">
        <v>2</v>
      </c>
      <c r="O365" s="39">
        <v>-7</v>
      </c>
      <c r="P365" s="39">
        <v>-5</v>
      </c>
      <c r="Q365" s="39" t="s">
        <v>7777</v>
      </c>
      <c r="R365" s="39">
        <v>2.83</v>
      </c>
      <c r="S365" s="39">
        <v>3.85</v>
      </c>
      <c r="T365" s="39">
        <v>4.8600000000000003</v>
      </c>
      <c r="U365" s="39">
        <v>18.53</v>
      </c>
      <c r="V365" s="39">
        <v>24.03</v>
      </c>
      <c r="W365" s="39">
        <v>14.24</v>
      </c>
      <c r="X365" s="39">
        <v>23.75</v>
      </c>
      <c r="Y365" s="39">
        <v>-16.32</v>
      </c>
      <c r="Z365" s="39">
        <v>145.41</v>
      </c>
      <c r="AA365" s="39">
        <v>77.489999999999995</v>
      </c>
      <c r="AB365" s="39">
        <v>-7.11</v>
      </c>
      <c r="AC365" s="39">
        <v>247.58</v>
      </c>
      <c r="AD365" s="39" t="s">
        <v>4606</v>
      </c>
      <c r="AE365" s="39" t="s">
        <v>134</v>
      </c>
      <c r="AF365" s="39">
        <v>2</v>
      </c>
      <c r="AG365" s="42">
        <v>4.6600000000000003E-2</v>
      </c>
      <c r="AH365" s="39">
        <v>21</v>
      </c>
      <c r="AI365" s="42">
        <v>1.1599999999999999E-2</v>
      </c>
      <c r="AJ365" s="39" t="s">
        <v>7778</v>
      </c>
      <c r="AK365" s="42">
        <v>0.74909999999999999</v>
      </c>
      <c r="AL365" s="39" t="s">
        <v>5573</v>
      </c>
      <c r="AM365" s="42">
        <v>4.6600000000000003E-2</v>
      </c>
      <c r="AN365" s="42">
        <v>0.14810000000000001</v>
      </c>
      <c r="AO365" s="41">
        <v>30</v>
      </c>
      <c r="AP365" s="39">
        <v>44</v>
      </c>
      <c r="AQ365" s="39">
        <v>57</v>
      </c>
      <c r="AR365" s="39">
        <v>134</v>
      </c>
      <c r="AS365" s="39">
        <v>10</v>
      </c>
      <c r="AT365" s="39" t="s">
        <v>129</v>
      </c>
      <c r="AU365" s="39">
        <v>27</v>
      </c>
      <c r="AV365" s="39" t="s">
        <v>6559</v>
      </c>
      <c r="AY365" s="39">
        <v>122.95</v>
      </c>
      <c r="AZ365" s="39">
        <v>120.55</v>
      </c>
      <c r="BA365" s="39">
        <v>121.55</v>
      </c>
      <c r="BB365" s="39">
        <v>115.75</v>
      </c>
      <c r="BC365" s="39">
        <v>3</v>
      </c>
      <c r="BD365" s="39">
        <v>11</v>
      </c>
      <c r="BE365" s="39">
        <v>8</v>
      </c>
      <c r="BF365" s="39" t="s">
        <v>130</v>
      </c>
      <c r="BG365" s="39">
        <v>50.8</v>
      </c>
      <c r="BH365" s="39">
        <v>0.4</v>
      </c>
      <c r="BI365" s="39" t="s">
        <v>4563</v>
      </c>
      <c r="BJ365" s="39" t="s">
        <v>132</v>
      </c>
    </row>
    <row r="366" spans="1:62" x14ac:dyDescent="0.35">
      <c r="A366" s="39" t="s">
        <v>1230</v>
      </c>
      <c r="B366" s="39" t="str">
        <f>IFERROR(INDEX(added_new_stocks!$F$6:$H$2155,MATCH($A366,added_new_stocks!$F$6:$F$2600,0),3),"")</f>
        <v>Small</v>
      </c>
      <c r="C366" s="48">
        <v>1758.6</v>
      </c>
      <c r="D366" s="39">
        <v>32</v>
      </c>
      <c r="G366" s="39" t="s">
        <v>4625</v>
      </c>
      <c r="H366" s="39" t="s">
        <v>7779</v>
      </c>
      <c r="I366" s="39" t="s">
        <v>4996</v>
      </c>
      <c r="J366" s="39" t="s">
        <v>7780</v>
      </c>
      <c r="K366" s="39" t="s">
        <v>4615</v>
      </c>
      <c r="L366" s="39" t="s">
        <v>5008</v>
      </c>
      <c r="M366" s="39" t="s">
        <v>4959</v>
      </c>
      <c r="N366" s="39">
        <v>6</v>
      </c>
      <c r="O366" s="39">
        <v>-12</v>
      </c>
      <c r="P366" s="39">
        <v>-6</v>
      </c>
      <c r="Q366" s="39" t="s">
        <v>4605</v>
      </c>
      <c r="R366" s="39">
        <v>0.01</v>
      </c>
      <c r="S366" s="39">
        <v>4.51</v>
      </c>
      <c r="T366" s="39">
        <v>8.01</v>
      </c>
      <c r="U366" s="39">
        <v>5.63</v>
      </c>
      <c r="V366" s="39">
        <v>-7.14</v>
      </c>
      <c r="W366" s="39">
        <v>-18.170000000000002</v>
      </c>
      <c r="X366" s="39">
        <v>-27.49</v>
      </c>
      <c r="Y366" s="39">
        <v>-15.35</v>
      </c>
      <c r="Z366" s="39" t="s">
        <v>4538</v>
      </c>
      <c r="AA366" s="39" t="s">
        <v>4538</v>
      </c>
      <c r="AB366" s="39" t="s">
        <v>4538</v>
      </c>
      <c r="AC366" s="39" t="s">
        <v>4538</v>
      </c>
      <c r="AD366" s="39" t="s">
        <v>4606</v>
      </c>
      <c r="AE366" s="39" t="s">
        <v>134</v>
      </c>
      <c r="AF366" s="39">
        <v>5</v>
      </c>
      <c r="AG366" s="42">
        <v>0.1076</v>
      </c>
      <c r="AH366" s="39">
        <v>23</v>
      </c>
      <c r="AI366" s="42">
        <v>3.1899999999999998E-2</v>
      </c>
      <c r="AJ366" s="39" t="s">
        <v>7781</v>
      </c>
      <c r="AK366" s="42">
        <v>0.254</v>
      </c>
      <c r="AL366" s="39" t="s">
        <v>7782</v>
      </c>
      <c r="AM366" s="39" t="s">
        <v>7783</v>
      </c>
      <c r="AN366" s="42">
        <v>5.91E-2</v>
      </c>
      <c r="AO366" s="41">
        <v>20</v>
      </c>
      <c r="AP366" s="39">
        <v>22</v>
      </c>
      <c r="AQ366" s="39">
        <v>57</v>
      </c>
      <c r="AS366" s="39" t="s">
        <v>4564</v>
      </c>
      <c r="AY366" s="39">
        <v>774.78</v>
      </c>
      <c r="AZ366" s="39">
        <v>759.63</v>
      </c>
      <c r="BA366" s="39">
        <v>766.17</v>
      </c>
      <c r="BB366" s="39">
        <v>729.33</v>
      </c>
      <c r="BC366" s="39">
        <v>1.54</v>
      </c>
      <c r="BD366" s="39">
        <v>1.27</v>
      </c>
      <c r="BE366" s="39">
        <v>1.1200000000000001</v>
      </c>
      <c r="BF366" s="39">
        <v>1.1100000000000001</v>
      </c>
      <c r="BH366" s="39">
        <v>8</v>
      </c>
      <c r="BI366" s="39" t="s">
        <v>132</v>
      </c>
      <c r="BJ366" s="39" t="s">
        <v>4563</v>
      </c>
    </row>
    <row r="367" spans="1:62" x14ac:dyDescent="0.35">
      <c r="A367" s="39" t="s">
        <v>6240</v>
      </c>
      <c r="B367" s="39" t="str">
        <f>IFERROR(INDEX(added_new_stocks!$F$6:$H$2155,MATCH($A367,added_new_stocks!$F$6:$F$2600,0),3),"")</f>
        <v/>
      </c>
      <c r="C367" s="39">
        <v>414.35</v>
      </c>
      <c r="D367" s="39">
        <v>20</v>
      </c>
      <c r="G367" s="39" t="s">
        <v>4963</v>
      </c>
      <c r="H367" s="39" t="s">
        <v>7784</v>
      </c>
      <c r="I367" s="39" t="s">
        <v>4976</v>
      </c>
      <c r="J367" s="39" t="s">
        <v>7785</v>
      </c>
      <c r="K367" s="39" t="s">
        <v>4615</v>
      </c>
      <c r="L367" s="39" t="s">
        <v>7786</v>
      </c>
      <c r="N367" s="39">
        <v>0</v>
      </c>
      <c r="O367" s="39">
        <v>-20</v>
      </c>
      <c r="P367" s="39">
        <v>-20</v>
      </c>
      <c r="Q367" s="39" t="s">
        <v>5026</v>
      </c>
      <c r="R367" s="39">
        <v>3.29</v>
      </c>
      <c r="S367" s="39">
        <v>-2.2599999999999998</v>
      </c>
      <c r="T367" s="39">
        <v>-4.99</v>
      </c>
      <c r="U367" s="39">
        <v>-0.37</v>
      </c>
      <c r="V367" s="39">
        <v>-10.23</v>
      </c>
      <c r="W367" s="39">
        <v>-20.81</v>
      </c>
      <c r="X367" s="39">
        <v>-30.31</v>
      </c>
      <c r="Y367" s="39">
        <v>-29.59</v>
      </c>
      <c r="Z367" s="39">
        <v>-7.04</v>
      </c>
      <c r="AA367" s="39">
        <v>-38.43</v>
      </c>
      <c r="AB367" s="39">
        <v>-37.18</v>
      </c>
      <c r="AC367" s="39" t="s">
        <v>4538</v>
      </c>
      <c r="AD367" s="39" t="s">
        <v>5015</v>
      </c>
      <c r="AE367" s="39" t="s">
        <v>134</v>
      </c>
      <c r="AF367" s="39">
        <v>7</v>
      </c>
      <c r="AG367" s="42">
        <v>2.2200000000000001E-2</v>
      </c>
      <c r="AH367" s="39">
        <v>21</v>
      </c>
      <c r="AI367" s="42">
        <v>0.122</v>
      </c>
      <c r="AJ367" s="39" t="s">
        <v>7787</v>
      </c>
      <c r="AK367" s="42">
        <v>0.14990000000000001</v>
      </c>
      <c r="AL367" s="39" t="s">
        <v>7788</v>
      </c>
      <c r="AM367" s="42">
        <v>0.2853</v>
      </c>
      <c r="AN367" s="42">
        <v>9.8100000000000007E-2</v>
      </c>
      <c r="AO367" s="41">
        <v>50</v>
      </c>
      <c r="AP367" s="39">
        <v>10</v>
      </c>
      <c r="AQ367" s="39">
        <v>48</v>
      </c>
      <c r="AR367" s="45">
        <v>1875</v>
      </c>
      <c r="AS367" s="39">
        <v>6</v>
      </c>
      <c r="AT367" s="39" t="s">
        <v>129</v>
      </c>
      <c r="AU367" s="39">
        <v>4</v>
      </c>
      <c r="AV367" s="39" t="s">
        <v>6560</v>
      </c>
      <c r="AW367" s="39">
        <v>1774.7</v>
      </c>
      <c r="AX367" s="39">
        <v>1789.85</v>
      </c>
      <c r="AY367" s="39">
        <v>1814.7</v>
      </c>
      <c r="AZ367" s="39">
        <v>1734.7</v>
      </c>
      <c r="BA367" s="39">
        <v>1709.85</v>
      </c>
      <c r="BB367" s="39">
        <v>1694.7</v>
      </c>
      <c r="BC367" s="39">
        <v>3</v>
      </c>
      <c r="BD367" s="39">
        <v>7</v>
      </c>
      <c r="BE367" s="39">
        <v>1</v>
      </c>
      <c r="BF367" s="39" t="s">
        <v>130</v>
      </c>
      <c r="BG367" s="39">
        <v>326.39999999999998</v>
      </c>
      <c r="BH367" s="39">
        <v>0.2</v>
      </c>
      <c r="BI367" s="39" t="s">
        <v>4565</v>
      </c>
      <c r="BJ367" s="39" t="s">
        <v>132</v>
      </c>
    </row>
    <row r="368" spans="1:62" x14ac:dyDescent="0.35">
      <c r="A368" s="39" t="s">
        <v>186</v>
      </c>
      <c r="B368" s="39" t="str">
        <f>IFERROR(INDEX(added_new_stocks!$F$6:$H$2155,MATCH($A368,added_new_stocks!$F$6:$F$2600,0),3),"")</f>
        <v>Large</v>
      </c>
      <c r="C368" s="48">
        <v>3390.05</v>
      </c>
      <c r="D368" s="39">
        <v>72</v>
      </c>
      <c r="G368" s="39" t="s">
        <v>129</v>
      </c>
      <c r="H368" s="39" t="s">
        <v>5721</v>
      </c>
      <c r="I368" s="39" t="s">
        <v>4989</v>
      </c>
      <c r="J368" s="39" t="s">
        <v>5722</v>
      </c>
      <c r="K368" s="39" t="s">
        <v>4957</v>
      </c>
      <c r="L368" s="39" t="s">
        <v>5723</v>
      </c>
      <c r="M368" s="39" t="s">
        <v>4620</v>
      </c>
      <c r="N368" s="39">
        <v>8</v>
      </c>
      <c r="O368" s="39">
        <v>0</v>
      </c>
      <c r="P368" s="39">
        <v>8</v>
      </c>
      <c r="Q368" s="39" t="s">
        <v>14</v>
      </c>
      <c r="R368" s="39">
        <v>0.37</v>
      </c>
      <c r="S368" s="39">
        <v>-0.28000000000000003</v>
      </c>
      <c r="T368" s="39">
        <v>1.03</v>
      </c>
      <c r="U368" s="39">
        <v>2.27</v>
      </c>
      <c r="V368" s="39">
        <v>2.0699999999999998</v>
      </c>
      <c r="W368" s="39">
        <v>4.01</v>
      </c>
      <c r="X368" s="39">
        <v>5.56</v>
      </c>
      <c r="Y368" s="39">
        <v>-8.41</v>
      </c>
      <c r="Z368" s="39">
        <v>51.54</v>
      </c>
      <c r="AA368" s="39">
        <v>50.13</v>
      </c>
      <c r="AB368" s="39">
        <v>63.03</v>
      </c>
      <c r="AC368" s="39">
        <v>235.13</v>
      </c>
      <c r="AD368" s="39" t="s">
        <v>4606</v>
      </c>
      <c r="AE368" s="39">
        <v>0.48</v>
      </c>
      <c r="AF368" s="39">
        <v>40</v>
      </c>
      <c r="AG368" s="42">
        <v>3.4799999999999998E-2</v>
      </c>
      <c r="AH368" s="39">
        <v>1469</v>
      </c>
      <c r="AI368" s="42">
        <v>0.1246</v>
      </c>
      <c r="AJ368" s="39" t="s">
        <v>5724</v>
      </c>
      <c r="AK368" s="42">
        <v>0.72270000000000001</v>
      </c>
      <c r="AL368" s="39" t="s">
        <v>136</v>
      </c>
      <c r="AM368" s="42">
        <v>4.4699999999999997E-2</v>
      </c>
      <c r="AN368" s="42">
        <v>4.7199999999999999E-2</v>
      </c>
      <c r="AO368" s="41">
        <v>35</v>
      </c>
      <c r="AP368" s="39">
        <v>19</v>
      </c>
      <c r="AQ368" s="39">
        <v>32</v>
      </c>
      <c r="AR368" s="39">
        <v>460</v>
      </c>
      <c r="AS368" s="39">
        <v>12</v>
      </c>
      <c r="AT368" s="39" t="s">
        <v>4562</v>
      </c>
      <c r="AU368" s="39">
        <v>6</v>
      </c>
      <c r="AV368" s="39" t="s">
        <v>6561</v>
      </c>
      <c r="AX368" s="39">
        <v>413.47</v>
      </c>
      <c r="AY368" s="39">
        <v>420.73</v>
      </c>
      <c r="AZ368" s="39">
        <v>407.28</v>
      </c>
      <c r="BA368" s="39">
        <v>386.57</v>
      </c>
      <c r="BB368" s="39">
        <v>380.38</v>
      </c>
      <c r="BC368" s="39">
        <v>2</v>
      </c>
      <c r="BD368" s="39" t="s">
        <v>130</v>
      </c>
      <c r="BE368" s="39">
        <v>-0.15</v>
      </c>
      <c r="BF368" s="39">
        <v>0.1</v>
      </c>
      <c r="BG368" s="39">
        <v>14</v>
      </c>
      <c r="BH368" s="39">
        <v>2</v>
      </c>
      <c r="BI368" s="39" t="s">
        <v>4651</v>
      </c>
      <c r="BJ368" s="39" t="s">
        <v>132</v>
      </c>
    </row>
    <row r="369" spans="1:62" x14ac:dyDescent="0.35">
      <c r="A369" s="39" t="s">
        <v>1413</v>
      </c>
      <c r="B369" s="39" t="str">
        <f>IFERROR(INDEX(added_new_stocks!$F$6:$H$2155,MATCH($A369,added_new_stocks!$F$6:$F$2600,0),3),"")</f>
        <v>Small</v>
      </c>
      <c r="C369" s="39">
        <v>259.45</v>
      </c>
      <c r="D369" s="39">
        <v>71</v>
      </c>
      <c r="G369" s="39" t="s">
        <v>129</v>
      </c>
      <c r="H369" s="39" t="s">
        <v>7789</v>
      </c>
      <c r="I369" s="39" t="s">
        <v>4624</v>
      </c>
      <c r="J369" s="39" t="s">
        <v>7790</v>
      </c>
      <c r="K369" s="39" t="s">
        <v>133</v>
      </c>
      <c r="L369" s="39" t="s">
        <v>7791</v>
      </c>
      <c r="M369" s="39" t="s">
        <v>4959</v>
      </c>
      <c r="N369" s="39">
        <v>15</v>
      </c>
      <c r="O369" s="39">
        <v>-1</v>
      </c>
      <c r="P369" s="39">
        <v>14</v>
      </c>
      <c r="Q369" s="39" t="s">
        <v>14</v>
      </c>
      <c r="R369" s="39">
        <v>-0.78</v>
      </c>
      <c r="S369" s="39">
        <v>2.09</v>
      </c>
      <c r="T369" s="39">
        <v>0.15</v>
      </c>
      <c r="U369" s="39">
        <v>33.770000000000003</v>
      </c>
      <c r="V369" s="39">
        <v>81.75</v>
      </c>
      <c r="W369" s="39">
        <v>118.39</v>
      </c>
      <c r="X369" s="39">
        <v>121.02</v>
      </c>
      <c r="Y369" s="39">
        <v>358.64</v>
      </c>
      <c r="Z369" s="39">
        <v>942.39</v>
      </c>
      <c r="AA369" s="39">
        <v>877.21</v>
      </c>
      <c r="AB369" s="39">
        <v>922.66</v>
      </c>
      <c r="AC369" s="39">
        <v>574.95000000000005</v>
      </c>
      <c r="AD369" s="39" t="s">
        <v>4606</v>
      </c>
      <c r="AE369" s="39" t="s">
        <v>134</v>
      </c>
      <c r="AF369" s="39">
        <v>8</v>
      </c>
      <c r="AG369" s="42">
        <v>0.15759999999999999</v>
      </c>
      <c r="AH369" s="39">
        <v>44</v>
      </c>
      <c r="AI369" s="42">
        <v>2.6100000000000002E-2</v>
      </c>
      <c r="AJ369" s="39" t="s">
        <v>7792</v>
      </c>
      <c r="AK369" s="42">
        <v>0.16089999999999999</v>
      </c>
      <c r="AL369" s="39" t="s">
        <v>5573</v>
      </c>
      <c r="AM369" s="42">
        <v>7.22E-2</v>
      </c>
      <c r="AN369" s="42">
        <v>0.18279999999999999</v>
      </c>
      <c r="AO369" s="41">
        <v>50</v>
      </c>
      <c r="AP369" s="39">
        <v>23</v>
      </c>
      <c r="AQ369" s="39">
        <v>48</v>
      </c>
      <c r="AR369" s="45">
        <v>3488</v>
      </c>
      <c r="AS369" s="39">
        <v>3</v>
      </c>
      <c r="AT369" s="39" t="s">
        <v>4562</v>
      </c>
      <c r="AU369" s="39">
        <v>40</v>
      </c>
      <c r="AV369" s="39" t="s">
        <v>6562</v>
      </c>
      <c r="AX369" s="39">
        <v>3401.45</v>
      </c>
      <c r="AY369" s="39">
        <v>3413.35</v>
      </c>
      <c r="AZ369" s="39">
        <v>3388.8</v>
      </c>
      <c r="BA369" s="39">
        <v>3352.35</v>
      </c>
      <c r="BB369" s="39">
        <v>3339.7</v>
      </c>
      <c r="BC369" s="39">
        <v>12</v>
      </c>
      <c r="BD369" s="39">
        <v>4</v>
      </c>
      <c r="BE369" s="39">
        <v>4</v>
      </c>
      <c r="BF369" s="39" t="s">
        <v>130</v>
      </c>
      <c r="BG369" s="39">
        <v>818.6</v>
      </c>
      <c r="BH369" s="39">
        <v>0.2</v>
      </c>
      <c r="BI369" s="39" t="s">
        <v>131</v>
      </c>
      <c r="BJ369" s="39" t="s">
        <v>132</v>
      </c>
    </row>
    <row r="370" spans="1:62" x14ac:dyDescent="0.35">
      <c r="A370" s="39" t="s">
        <v>1196</v>
      </c>
      <c r="B370" s="39" t="str">
        <f>IFERROR(INDEX(added_new_stocks!$F$6:$H$2155,MATCH($A370,added_new_stocks!$F$6:$F$2600,0),3),"")</f>
        <v>Small</v>
      </c>
      <c r="C370" s="48">
        <v>2436.8000000000002</v>
      </c>
      <c r="D370" s="39">
        <v>58</v>
      </c>
      <c r="G370" s="39" t="s">
        <v>4562</v>
      </c>
      <c r="H370" s="39" t="s">
        <v>7793</v>
      </c>
      <c r="I370" s="39" t="s">
        <v>4989</v>
      </c>
      <c r="J370" s="39" t="s">
        <v>7794</v>
      </c>
      <c r="K370" s="39" t="s">
        <v>4615</v>
      </c>
      <c r="L370" s="39" t="s">
        <v>7795</v>
      </c>
      <c r="M370" s="39" t="s">
        <v>5047</v>
      </c>
      <c r="N370" s="39">
        <v>2</v>
      </c>
      <c r="O370" s="39">
        <v>-7</v>
      </c>
      <c r="P370" s="39">
        <v>-5</v>
      </c>
      <c r="Q370" s="39" t="s">
        <v>4611</v>
      </c>
      <c r="R370" s="39">
        <v>4.51</v>
      </c>
      <c r="S370" s="39">
        <v>5.37</v>
      </c>
      <c r="T370" s="39">
        <v>5.4</v>
      </c>
      <c r="U370" s="39">
        <v>9.0500000000000007</v>
      </c>
      <c r="V370" s="39">
        <v>-4.78</v>
      </c>
      <c r="W370" s="39">
        <v>-3.73</v>
      </c>
      <c r="X370" s="39">
        <v>-27.94</v>
      </c>
      <c r="Y370" s="39">
        <v>-39.32</v>
      </c>
      <c r="Z370" s="39">
        <v>3.05</v>
      </c>
      <c r="AA370" s="39">
        <v>-10.220000000000001</v>
      </c>
      <c r="AB370" s="39">
        <v>-3.77</v>
      </c>
      <c r="AC370" s="39" t="s">
        <v>4538</v>
      </c>
      <c r="AD370" s="39" t="s">
        <v>4974</v>
      </c>
      <c r="AE370" s="39">
        <v>1.59</v>
      </c>
      <c r="AF370" s="39">
        <v>15</v>
      </c>
      <c r="AG370" s="42">
        <v>0.2492</v>
      </c>
      <c r="AH370" s="39">
        <v>126</v>
      </c>
      <c r="AI370" s="42">
        <v>0.32869999999999999</v>
      </c>
      <c r="AJ370" s="39" t="s">
        <v>7796</v>
      </c>
      <c r="AK370" s="42">
        <v>0.23799999999999999</v>
      </c>
      <c r="AL370" s="39" t="s">
        <v>7797</v>
      </c>
      <c r="AM370" s="42">
        <v>5.6599999999999998E-2</v>
      </c>
      <c r="AN370" s="42">
        <v>5.5300000000000002E-2</v>
      </c>
      <c r="AO370" s="41">
        <v>70</v>
      </c>
      <c r="AP370" s="39">
        <v>19</v>
      </c>
      <c r="AQ370" s="39">
        <v>76</v>
      </c>
      <c r="AS370" s="39" t="s">
        <v>4564</v>
      </c>
      <c r="AW370" s="39">
        <v>264.95</v>
      </c>
      <c r="AX370" s="39">
        <v>268.10000000000002</v>
      </c>
      <c r="AY370" s="39">
        <v>272.25</v>
      </c>
      <c r="AZ370" s="39">
        <v>257.64999999999998</v>
      </c>
      <c r="BA370" s="39">
        <v>253.5</v>
      </c>
      <c r="BB370" s="39">
        <v>250.35</v>
      </c>
      <c r="BC370" s="39">
        <v>1</v>
      </c>
      <c r="BD370" s="39">
        <v>5</v>
      </c>
      <c r="BE370" s="39" t="s">
        <v>130</v>
      </c>
      <c r="BF370" s="39">
        <v>-0.52</v>
      </c>
      <c r="BG370" s="39">
        <v>14</v>
      </c>
      <c r="BH370" s="39">
        <v>75.400000000000006</v>
      </c>
      <c r="BI370" s="39" t="s">
        <v>131</v>
      </c>
      <c r="BJ370" s="39" t="s">
        <v>4563</v>
      </c>
    </row>
    <row r="371" spans="1:62" x14ac:dyDescent="0.35">
      <c r="A371" s="39" t="s">
        <v>260</v>
      </c>
      <c r="B371" s="39" t="str">
        <f>IFERROR(INDEX(added_new_stocks!$F$6:$H$2155,MATCH($A371,added_new_stocks!$F$6:$F$2600,0),3),"")</f>
        <v>Large</v>
      </c>
      <c r="C371" s="48">
        <v>1196.9000000000001</v>
      </c>
      <c r="D371" s="39">
        <v>61</v>
      </c>
      <c r="G371" s="39" t="s">
        <v>4562</v>
      </c>
      <c r="H371" s="39" t="s">
        <v>7798</v>
      </c>
      <c r="I371" s="39" t="s">
        <v>4624</v>
      </c>
      <c r="J371" s="39" t="s">
        <v>7799</v>
      </c>
      <c r="K371" s="39" t="s">
        <v>133</v>
      </c>
      <c r="L371" s="39" t="s">
        <v>7800</v>
      </c>
      <c r="M371" s="39" t="s">
        <v>135</v>
      </c>
      <c r="N371" s="39">
        <v>1</v>
      </c>
      <c r="O371" s="39">
        <v>-14</v>
      </c>
      <c r="P371" s="39">
        <v>-13</v>
      </c>
      <c r="Q371" s="39" t="s">
        <v>4605</v>
      </c>
      <c r="R371" s="39">
        <v>-0.1</v>
      </c>
      <c r="S371" s="39">
        <v>-0.33</v>
      </c>
      <c r="T371" s="39">
        <v>9.73</v>
      </c>
      <c r="U371" s="39">
        <v>8.9</v>
      </c>
      <c r="V371" s="39">
        <v>7.85</v>
      </c>
      <c r="W371" s="39">
        <v>17.75</v>
      </c>
      <c r="X371" s="39">
        <v>11.16</v>
      </c>
      <c r="Y371" s="39">
        <v>-15.67</v>
      </c>
      <c r="Z371" s="39">
        <v>59.11</v>
      </c>
      <c r="AA371" s="39">
        <v>72.05</v>
      </c>
      <c r="AB371" s="39">
        <v>64.06</v>
      </c>
      <c r="AC371" s="39">
        <v>247.75</v>
      </c>
      <c r="AD371" s="39" t="s">
        <v>4606</v>
      </c>
      <c r="AE371" s="39" t="s">
        <v>134</v>
      </c>
      <c r="AF371" s="39">
        <v>35</v>
      </c>
      <c r="AG371" s="42">
        <v>0.1283</v>
      </c>
      <c r="AH371" s="39">
        <v>791</v>
      </c>
      <c r="AI371" s="42">
        <v>0.25679999999999997</v>
      </c>
      <c r="AJ371" s="39" t="s">
        <v>7369</v>
      </c>
      <c r="AK371" s="42">
        <v>0.25459999999999999</v>
      </c>
      <c r="AL371" s="39" t="s">
        <v>136</v>
      </c>
      <c r="AM371" s="42">
        <v>8.0699999999999994E-2</v>
      </c>
      <c r="AN371" s="42">
        <v>9.2499999999999999E-2</v>
      </c>
      <c r="AO371" s="41">
        <v>70</v>
      </c>
      <c r="AP371" s="39">
        <v>44</v>
      </c>
      <c r="AQ371" s="39">
        <v>47</v>
      </c>
      <c r="AR371" s="45">
        <v>2615</v>
      </c>
      <c r="AS371" s="39">
        <v>7</v>
      </c>
      <c r="AT371" s="39" t="s">
        <v>4562</v>
      </c>
      <c r="AU371" s="39">
        <v>10</v>
      </c>
      <c r="AV371" s="39" t="s">
        <v>6563</v>
      </c>
      <c r="AZ371" s="39">
        <v>2351.98</v>
      </c>
      <c r="BA371" s="39">
        <v>2366.9699999999998</v>
      </c>
      <c r="BB371" s="39">
        <v>2387.9299999999998</v>
      </c>
      <c r="BC371" s="39">
        <v>7</v>
      </c>
      <c r="BD371" s="39">
        <v>4</v>
      </c>
      <c r="BE371" s="39">
        <v>5</v>
      </c>
      <c r="BF371" s="39" t="s">
        <v>130</v>
      </c>
      <c r="BG371" s="39">
        <v>854.5</v>
      </c>
      <c r="BH371" s="39">
        <v>0.4</v>
      </c>
      <c r="BI371" s="39" t="s">
        <v>131</v>
      </c>
      <c r="BJ371" s="39" t="s">
        <v>132</v>
      </c>
    </row>
    <row r="372" spans="1:62" x14ac:dyDescent="0.35">
      <c r="A372" s="39" t="s">
        <v>1240</v>
      </c>
      <c r="B372" s="39" t="str">
        <f>IFERROR(INDEX(added_new_stocks!$F$6:$H$2155,MATCH($A372,added_new_stocks!$F$6:$F$2600,0),3),"")</f>
        <v>Small</v>
      </c>
      <c r="C372" s="39">
        <v>528.15</v>
      </c>
      <c r="D372" s="39">
        <v>58</v>
      </c>
      <c r="G372" s="39" t="s">
        <v>4562</v>
      </c>
      <c r="H372" s="39" t="s">
        <v>5727</v>
      </c>
      <c r="I372" s="39" t="s">
        <v>4624</v>
      </c>
      <c r="J372" s="39" t="s">
        <v>5728</v>
      </c>
      <c r="K372" s="39" t="s">
        <v>4615</v>
      </c>
      <c r="L372" s="39" t="s">
        <v>7801</v>
      </c>
      <c r="M372" s="39" t="s">
        <v>4959</v>
      </c>
      <c r="N372" s="39">
        <v>11</v>
      </c>
      <c r="O372" s="39">
        <v>-13</v>
      </c>
      <c r="P372" s="39">
        <v>-2</v>
      </c>
      <c r="Q372" s="39" t="s">
        <v>4611</v>
      </c>
      <c r="R372" s="39">
        <v>5.73</v>
      </c>
      <c r="S372" s="39">
        <v>5.0199999999999996</v>
      </c>
      <c r="T372" s="39">
        <v>7.7</v>
      </c>
      <c r="U372" s="39">
        <v>39.93</v>
      </c>
      <c r="V372" s="39">
        <v>66.290000000000006</v>
      </c>
      <c r="W372" s="39">
        <v>60.58</v>
      </c>
      <c r="X372" s="39">
        <v>83.96</v>
      </c>
      <c r="Y372" s="39">
        <v>83.39</v>
      </c>
      <c r="Z372" s="39">
        <v>147.15</v>
      </c>
      <c r="AA372" s="39">
        <v>108.47</v>
      </c>
      <c r="AB372" s="39">
        <v>97.29</v>
      </c>
      <c r="AC372" s="39">
        <v>1184.26</v>
      </c>
      <c r="AD372" s="39" t="s">
        <v>4606</v>
      </c>
      <c r="AE372" s="39" t="s">
        <v>134</v>
      </c>
      <c r="AF372" s="39">
        <v>8</v>
      </c>
      <c r="AG372" s="42">
        <v>0.24199999999999999</v>
      </c>
      <c r="AH372" s="39">
        <v>67</v>
      </c>
      <c r="AI372" s="42">
        <v>2.1899999999999999E-2</v>
      </c>
      <c r="AJ372" s="39" t="s">
        <v>5730</v>
      </c>
      <c r="AK372" s="42">
        <v>0.2286</v>
      </c>
      <c r="AL372" s="39" t="s">
        <v>5731</v>
      </c>
      <c r="AM372" s="42">
        <v>8.0100000000000005E-2</v>
      </c>
      <c r="AN372" s="42">
        <v>7.3200000000000001E-2</v>
      </c>
      <c r="AO372" s="41">
        <v>50</v>
      </c>
      <c r="AP372" s="39">
        <v>34</v>
      </c>
      <c r="AQ372" s="39">
        <v>59</v>
      </c>
      <c r="AR372" s="45">
        <v>1071</v>
      </c>
      <c r="AS372" s="39">
        <v>-11</v>
      </c>
      <c r="AT372" s="39" t="s">
        <v>4562</v>
      </c>
      <c r="AU372" s="39">
        <v>38</v>
      </c>
      <c r="AV372" s="39" t="s">
        <v>6564</v>
      </c>
      <c r="AW372" s="39">
        <v>1207.8499999999999</v>
      </c>
      <c r="AX372" s="39">
        <v>1217.7</v>
      </c>
      <c r="AY372" s="39">
        <v>1227.5</v>
      </c>
      <c r="AZ372" s="39">
        <v>1188.2</v>
      </c>
      <c r="BA372" s="39">
        <v>1178.4000000000001</v>
      </c>
      <c r="BB372" s="39">
        <v>1168.55</v>
      </c>
      <c r="BC372" s="39">
        <v>5</v>
      </c>
      <c r="BD372" s="39">
        <v>7</v>
      </c>
      <c r="BE372" s="39">
        <v>8</v>
      </c>
      <c r="BF372" s="39" t="s">
        <v>130</v>
      </c>
      <c r="BG372" s="39">
        <v>571.70000000000005</v>
      </c>
      <c r="BH372" s="39">
        <v>0.5</v>
      </c>
      <c r="BI372" s="39" t="s">
        <v>131</v>
      </c>
      <c r="BJ372" s="39" t="s">
        <v>4563</v>
      </c>
    </row>
    <row r="373" spans="1:62" x14ac:dyDescent="0.35">
      <c r="A373" s="39" t="s">
        <v>792</v>
      </c>
      <c r="B373" s="39" t="str">
        <f>IFERROR(INDEX(added_new_stocks!$F$6:$H$2155,MATCH($A373,added_new_stocks!$F$6:$F$2600,0),3),"")</f>
        <v>Mid</v>
      </c>
      <c r="C373" s="39">
        <v>834.7</v>
      </c>
      <c r="D373" s="39">
        <v>31</v>
      </c>
      <c r="G373" s="39" t="s">
        <v>4625</v>
      </c>
      <c r="H373" s="39" t="s">
        <v>7802</v>
      </c>
      <c r="I373" s="39" t="s">
        <v>4624</v>
      </c>
      <c r="J373" s="39" t="s">
        <v>7803</v>
      </c>
      <c r="K373" s="39" t="s">
        <v>4603</v>
      </c>
      <c r="L373" s="39" t="s">
        <v>7804</v>
      </c>
      <c r="N373" s="39">
        <v>11</v>
      </c>
      <c r="O373" s="39">
        <v>-23</v>
      </c>
      <c r="P373" s="39">
        <v>-12</v>
      </c>
      <c r="Q373" s="39" t="s">
        <v>4605</v>
      </c>
      <c r="R373" s="39">
        <v>0.88</v>
      </c>
      <c r="S373" s="39">
        <v>-1.71</v>
      </c>
      <c r="T373" s="39">
        <v>1.02</v>
      </c>
      <c r="U373" s="39">
        <v>25.19</v>
      </c>
      <c r="V373" s="39">
        <v>47.94</v>
      </c>
      <c r="W373" s="39">
        <v>44.24</v>
      </c>
      <c r="X373" s="39">
        <v>35.619999999999997</v>
      </c>
      <c r="Y373" s="39">
        <v>124.17</v>
      </c>
      <c r="Z373" s="39">
        <v>1207.28</v>
      </c>
      <c r="AA373" s="39">
        <v>953.91</v>
      </c>
      <c r="AB373" s="39">
        <v>200.36</v>
      </c>
      <c r="AC373" s="39" t="s">
        <v>4538</v>
      </c>
      <c r="AD373" s="39" t="s">
        <v>4606</v>
      </c>
      <c r="AE373" s="39" t="s">
        <v>134</v>
      </c>
      <c r="AF373" s="39">
        <v>6</v>
      </c>
      <c r="AG373" s="42">
        <v>3.5700000000000003E-2</v>
      </c>
      <c r="AH373" s="39">
        <v>84</v>
      </c>
      <c r="AI373" s="42">
        <v>0.10920000000000001</v>
      </c>
      <c r="AJ373" s="39" t="s">
        <v>5719</v>
      </c>
      <c r="AK373" s="42">
        <v>0.56369999999999998</v>
      </c>
      <c r="AL373" s="39" t="s">
        <v>5573</v>
      </c>
      <c r="AM373" s="42">
        <v>3.44E-2</v>
      </c>
      <c r="AN373" s="42">
        <v>0.18079999999999999</v>
      </c>
      <c r="AO373" s="41">
        <v>55</v>
      </c>
      <c r="AP373" s="39">
        <v>32</v>
      </c>
      <c r="AQ373" s="39">
        <v>62</v>
      </c>
      <c r="AR373" s="39">
        <v>433</v>
      </c>
      <c r="AS373" s="39">
        <v>-18</v>
      </c>
      <c r="AT373" s="39" t="s">
        <v>4562</v>
      </c>
      <c r="AU373" s="39">
        <v>4</v>
      </c>
      <c r="AV373" s="39" t="s">
        <v>6565</v>
      </c>
      <c r="AZ373" s="39">
        <v>504.17</v>
      </c>
      <c r="BA373" s="39">
        <v>509.58</v>
      </c>
      <c r="BB373" s="39">
        <v>515.16999999999996</v>
      </c>
      <c r="BC373" s="39">
        <v>6</v>
      </c>
      <c r="BD373" s="39">
        <v>6</v>
      </c>
      <c r="BE373" s="39">
        <v>10</v>
      </c>
      <c r="BF373" s="39" t="s">
        <v>130</v>
      </c>
      <c r="BG373" s="39">
        <v>254.8</v>
      </c>
      <c r="BH373" s="39">
        <v>0.5</v>
      </c>
      <c r="BI373" s="39" t="s">
        <v>4563</v>
      </c>
      <c r="BJ373" s="39" t="s">
        <v>4563</v>
      </c>
    </row>
    <row r="374" spans="1:62" x14ac:dyDescent="0.35">
      <c r="A374" s="39" t="s">
        <v>1788</v>
      </c>
      <c r="B374" s="39" t="str">
        <f>IFERROR(INDEX(added_new_stocks!$F$6:$H$2155,MATCH($A374,added_new_stocks!$F$6:$F$2600,0),3),"")</f>
        <v>Small</v>
      </c>
      <c r="C374" s="39">
        <v>137.6</v>
      </c>
      <c r="D374" s="39">
        <v>57</v>
      </c>
      <c r="G374" s="39" t="s">
        <v>4562</v>
      </c>
      <c r="H374" s="39" t="s">
        <v>7805</v>
      </c>
      <c r="I374" s="39" t="s">
        <v>4624</v>
      </c>
      <c r="J374" s="39" t="s">
        <v>7806</v>
      </c>
      <c r="K374" s="39" t="s">
        <v>4603</v>
      </c>
      <c r="L374" s="39" t="s">
        <v>7807</v>
      </c>
      <c r="M374" s="39" t="s">
        <v>4620</v>
      </c>
      <c r="N374" s="39">
        <v>25</v>
      </c>
      <c r="O374" s="39">
        <v>-5</v>
      </c>
      <c r="P374" s="39">
        <v>20</v>
      </c>
      <c r="Q374" s="39" t="s">
        <v>5060</v>
      </c>
      <c r="R374" s="39">
        <v>-2.41</v>
      </c>
      <c r="S374" s="39">
        <v>13.86</v>
      </c>
      <c r="T374" s="39">
        <v>32.21</v>
      </c>
      <c r="U374" s="39">
        <v>148.63999999999999</v>
      </c>
      <c r="V374" s="39">
        <v>205.91</v>
      </c>
      <c r="W374" s="39">
        <v>142.88999999999999</v>
      </c>
      <c r="X374" s="39">
        <v>174.1</v>
      </c>
      <c r="Y374" s="39">
        <v>316.33999999999997</v>
      </c>
      <c r="Z374" s="39">
        <v>332.03</v>
      </c>
      <c r="AA374" s="39">
        <v>206.53</v>
      </c>
      <c r="AB374" s="39">
        <v>83.71</v>
      </c>
      <c r="AC374" s="39">
        <v>362.35</v>
      </c>
      <c r="AD374" s="39" t="s">
        <v>4606</v>
      </c>
      <c r="AE374" s="39" t="s">
        <v>134</v>
      </c>
      <c r="AF374" s="39">
        <v>3</v>
      </c>
      <c r="AG374" s="42">
        <v>6.4500000000000002E-2</v>
      </c>
      <c r="AH374" s="39">
        <v>34</v>
      </c>
      <c r="AI374" s="42">
        <v>2.1499999999999998E-2</v>
      </c>
      <c r="AJ374" s="39" t="s">
        <v>7808</v>
      </c>
      <c r="AK374" s="42">
        <v>0.1981</v>
      </c>
      <c r="AL374" s="39" t="s">
        <v>6696</v>
      </c>
      <c r="AM374" s="42">
        <v>3.6799999999999999E-2</v>
      </c>
      <c r="AN374" s="42">
        <v>0.2452</v>
      </c>
      <c r="AO374" s="41">
        <v>35</v>
      </c>
      <c r="AP374" s="39">
        <v>6</v>
      </c>
      <c r="AQ374" s="39">
        <v>62</v>
      </c>
      <c r="AS374" s="39" t="s">
        <v>4564</v>
      </c>
      <c r="AV374" s="39" t="s">
        <v>6566</v>
      </c>
      <c r="AW374" s="39">
        <v>842.57</v>
      </c>
      <c r="AX374" s="39">
        <v>856.43</v>
      </c>
      <c r="AY374" s="39">
        <v>865.22</v>
      </c>
      <c r="AZ374" s="39">
        <v>819.92</v>
      </c>
      <c r="BA374" s="39">
        <v>811.13</v>
      </c>
      <c r="BB374" s="39">
        <v>797.27</v>
      </c>
      <c r="BC374" s="39" t="s">
        <v>130</v>
      </c>
      <c r="BD374" s="39">
        <v>0.19</v>
      </c>
      <c r="BE374" s="39">
        <v>0.82</v>
      </c>
      <c r="BF374" s="39">
        <v>1.0900000000000001</v>
      </c>
      <c r="BG374" s="39">
        <v>4</v>
      </c>
      <c r="BH374" s="39">
        <v>8</v>
      </c>
      <c r="BI374" s="39" t="s">
        <v>4563</v>
      </c>
      <c r="BJ374" s="39" t="s">
        <v>4639</v>
      </c>
    </row>
    <row r="375" spans="1:62" x14ac:dyDescent="0.35">
      <c r="A375" s="39" t="s">
        <v>503</v>
      </c>
      <c r="B375" s="39" t="str">
        <f>IFERROR(INDEX(added_new_stocks!$F$6:$H$2155,MATCH($A375,added_new_stocks!$F$6:$F$2600,0),3),"")</f>
        <v>Large</v>
      </c>
      <c r="C375" s="48">
        <v>2758.3</v>
      </c>
      <c r="D375" s="39">
        <v>71</v>
      </c>
      <c r="G375" s="39" t="s">
        <v>129</v>
      </c>
      <c r="H375" s="39" t="s">
        <v>7809</v>
      </c>
      <c r="I375" s="39" t="s">
        <v>4624</v>
      </c>
      <c r="J375" s="39" t="s">
        <v>7810</v>
      </c>
      <c r="K375" s="39" t="s">
        <v>133</v>
      </c>
      <c r="L375" s="39" t="s">
        <v>5734</v>
      </c>
      <c r="M375" s="39" t="s">
        <v>4959</v>
      </c>
      <c r="N375" s="39">
        <v>14</v>
      </c>
      <c r="O375" s="39">
        <v>-4</v>
      </c>
      <c r="P375" s="39">
        <v>10</v>
      </c>
      <c r="Q375" s="39" t="s">
        <v>14</v>
      </c>
      <c r="R375" s="39">
        <v>-1.73</v>
      </c>
      <c r="S375" s="39">
        <v>0.76</v>
      </c>
      <c r="T375" s="39">
        <v>9.57</v>
      </c>
      <c r="U375" s="39">
        <v>18.47</v>
      </c>
      <c r="V375" s="39">
        <v>23.85</v>
      </c>
      <c r="W375" s="39">
        <v>40.68</v>
      </c>
      <c r="X375" s="39">
        <v>14.02</v>
      </c>
      <c r="Y375" s="39">
        <v>97.39</v>
      </c>
      <c r="Z375" s="39">
        <v>248.62</v>
      </c>
      <c r="AA375" s="39">
        <v>177.12</v>
      </c>
      <c r="AB375" s="39">
        <v>174.01</v>
      </c>
      <c r="AC375" s="39">
        <v>410.84</v>
      </c>
      <c r="AD375" s="39" t="s">
        <v>4606</v>
      </c>
      <c r="AE375" s="39" t="s">
        <v>134</v>
      </c>
      <c r="AF375" s="39">
        <v>21</v>
      </c>
      <c r="AG375" s="42">
        <v>0.13519999999999999</v>
      </c>
      <c r="AH375" s="39">
        <v>127</v>
      </c>
      <c r="AI375" s="42">
        <v>0.1235</v>
      </c>
      <c r="AJ375" s="39" t="s">
        <v>5735</v>
      </c>
      <c r="AK375" s="42">
        <v>0.53990000000000005</v>
      </c>
      <c r="AL375" s="39" t="s">
        <v>5736</v>
      </c>
      <c r="AM375" s="42">
        <v>6.9800000000000001E-2</v>
      </c>
      <c r="AN375" s="42">
        <v>3.9100000000000003E-2</v>
      </c>
      <c r="AO375" s="41">
        <v>70</v>
      </c>
      <c r="AP375" s="39">
        <v>33</v>
      </c>
      <c r="AQ375" s="39">
        <v>79</v>
      </c>
      <c r="AS375" s="39" t="s">
        <v>4564</v>
      </c>
      <c r="AW375" s="39">
        <v>151.87</v>
      </c>
      <c r="AX375" s="39">
        <v>163.03</v>
      </c>
      <c r="AY375" s="39">
        <v>169.47</v>
      </c>
      <c r="AZ375" s="39">
        <v>134.27000000000001</v>
      </c>
      <c r="BA375" s="39">
        <v>127.83</v>
      </c>
      <c r="BB375" s="39">
        <v>116.67</v>
      </c>
      <c r="BC375" s="39">
        <v>4</v>
      </c>
      <c r="BD375" s="39">
        <v>4</v>
      </c>
      <c r="BE375" s="39" t="s">
        <v>130</v>
      </c>
      <c r="BF375" s="39">
        <v>1.1299999999999999</v>
      </c>
      <c r="BG375" s="39">
        <v>12</v>
      </c>
      <c r="BH375" s="39">
        <v>42.3</v>
      </c>
      <c r="BI375" s="39" t="s">
        <v>131</v>
      </c>
      <c r="BJ375" s="39" t="s">
        <v>4563</v>
      </c>
    </row>
    <row r="376" spans="1:62" x14ac:dyDescent="0.35">
      <c r="A376" s="39" t="s">
        <v>1452</v>
      </c>
      <c r="B376" s="39" t="str">
        <f>IFERROR(INDEX(added_new_stocks!$F$6:$H$2155,MATCH($A376,added_new_stocks!$F$6:$F$2600,0),3),"")</f>
        <v>Small</v>
      </c>
      <c r="C376" s="39">
        <v>543.85</v>
      </c>
      <c r="D376" s="39">
        <v>51</v>
      </c>
      <c r="G376" s="39" t="s">
        <v>4562</v>
      </c>
      <c r="H376" s="39" t="s">
        <v>7811</v>
      </c>
      <c r="I376" s="39" t="s">
        <v>4989</v>
      </c>
      <c r="J376" s="39" t="s">
        <v>7812</v>
      </c>
      <c r="K376" s="39" t="s">
        <v>133</v>
      </c>
      <c r="L376" s="39" t="s">
        <v>7813</v>
      </c>
      <c r="M376" s="39" t="s">
        <v>4620</v>
      </c>
      <c r="N376" s="39">
        <v>2</v>
      </c>
      <c r="O376" s="39">
        <v>-14</v>
      </c>
      <c r="P376" s="39">
        <v>-12</v>
      </c>
      <c r="Q376" s="39" t="s">
        <v>4605</v>
      </c>
      <c r="R376" s="39">
        <v>-1.55</v>
      </c>
      <c r="S376" s="39">
        <v>-1.73</v>
      </c>
      <c r="T376" s="39">
        <v>-6.05</v>
      </c>
      <c r="U376" s="39">
        <v>18.78</v>
      </c>
      <c r="V376" s="39">
        <v>21.02</v>
      </c>
      <c r="W376" s="39">
        <v>-11.98</v>
      </c>
      <c r="X376" s="39">
        <v>-12.13</v>
      </c>
      <c r="Y376" s="39">
        <v>-55.65</v>
      </c>
      <c r="Z376" s="39">
        <v>-27.58</v>
      </c>
      <c r="AA376" s="39">
        <v>16.989999999999998</v>
      </c>
      <c r="AB376" s="39">
        <v>-15.65</v>
      </c>
      <c r="AC376" s="39" t="s">
        <v>4538</v>
      </c>
      <c r="AD376" s="39" t="s">
        <v>4606</v>
      </c>
      <c r="AE376" s="39">
        <v>100</v>
      </c>
      <c r="AF376" s="39">
        <v>3</v>
      </c>
      <c r="AG376" s="42">
        <v>0.12039999999999999</v>
      </c>
      <c r="AH376" s="39">
        <v>38</v>
      </c>
      <c r="AI376" s="42">
        <v>3.44E-2</v>
      </c>
      <c r="AJ376" s="39" t="s">
        <v>7814</v>
      </c>
      <c r="AK376" s="42">
        <v>0.71140000000000003</v>
      </c>
      <c r="AL376" s="39" t="s">
        <v>5573</v>
      </c>
      <c r="AM376" s="42">
        <v>7.46E-2</v>
      </c>
      <c r="AN376" s="42">
        <v>9.4200000000000006E-2</v>
      </c>
      <c r="AO376" s="41">
        <v>85</v>
      </c>
      <c r="AP376" s="39">
        <v>16</v>
      </c>
      <c r="AQ376" s="39">
        <v>68</v>
      </c>
      <c r="AR376" s="45">
        <v>2405</v>
      </c>
      <c r="AS376" s="39">
        <v>-13</v>
      </c>
      <c r="AT376" s="39" t="s">
        <v>4562</v>
      </c>
      <c r="AU376" s="39">
        <v>23</v>
      </c>
      <c r="AV376" s="39" t="s">
        <v>6567</v>
      </c>
      <c r="AW376" s="39">
        <v>2853.92</v>
      </c>
      <c r="AX376" s="39">
        <v>2902.48</v>
      </c>
      <c r="AY376" s="39">
        <v>2966.97</v>
      </c>
      <c r="AZ376" s="39">
        <v>2740.87</v>
      </c>
      <c r="BA376" s="39">
        <v>2676.38</v>
      </c>
      <c r="BB376" s="39">
        <v>2627.82</v>
      </c>
      <c r="BC376" s="39">
        <v>13</v>
      </c>
      <c r="BD376" s="39">
        <v>4</v>
      </c>
      <c r="BE376" s="39">
        <v>4</v>
      </c>
      <c r="BF376" s="39" t="s">
        <v>130</v>
      </c>
      <c r="BG376" s="39">
        <v>540.6</v>
      </c>
      <c r="BH376" s="39">
        <v>0.2</v>
      </c>
      <c r="BI376" s="39" t="s">
        <v>131</v>
      </c>
      <c r="BJ376" s="39" t="s">
        <v>4563</v>
      </c>
    </row>
    <row r="377" spans="1:62" x14ac:dyDescent="0.35">
      <c r="A377" s="39" t="s">
        <v>346</v>
      </c>
      <c r="B377" s="39" t="str">
        <f>IFERROR(INDEX(added_new_stocks!$F$6:$H$2155,MATCH($A377,added_new_stocks!$F$6:$F$2600,0),3),"")</f>
        <v>Large</v>
      </c>
      <c r="C377" s="48">
        <v>2838.25</v>
      </c>
      <c r="D377" s="39">
        <v>64</v>
      </c>
      <c r="G377" s="39" t="s">
        <v>4562</v>
      </c>
      <c r="H377" s="39" t="s">
        <v>7815</v>
      </c>
      <c r="I377" s="39" t="s">
        <v>4989</v>
      </c>
      <c r="J377" s="39" t="s">
        <v>7816</v>
      </c>
      <c r="K377" s="39" t="s">
        <v>133</v>
      </c>
      <c r="L377" s="39" t="s">
        <v>7817</v>
      </c>
      <c r="M377" s="39" t="s">
        <v>4959</v>
      </c>
      <c r="N377" s="39">
        <v>7</v>
      </c>
      <c r="O377" s="39">
        <v>-1</v>
      </c>
      <c r="P377" s="39">
        <v>6</v>
      </c>
      <c r="Q377" s="39" t="s">
        <v>14</v>
      </c>
      <c r="R377" s="39">
        <v>-0.93</v>
      </c>
      <c r="S377" s="39">
        <v>1.8</v>
      </c>
      <c r="T377" s="39">
        <v>-8.59</v>
      </c>
      <c r="U377" s="39">
        <v>-0.92</v>
      </c>
      <c r="V377" s="39">
        <v>0.73</v>
      </c>
      <c r="W377" s="39">
        <v>2.29</v>
      </c>
      <c r="X377" s="39">
        <v>25.5</v>
      </c>
      <c r="Y377" s="39">
        <v>115.48</v>
      </c>
      <c r="Z377" s="39">
        <v>343.13</v>
      </c>
      <c r="AA377" s="39">
        <v>736.01</v>
      </c>
      <c r="AB377" s="39">
        <v>870.18</v>
      </c>
      <c r="AC377" s="39" t="s">
        <v>4538</v>
      </c>
      <c r="AD377" s="39" t="s">
        <v>4606</v>
      </c>
      <c r="AE377" s="39">
        <v>0.03</v>
      </c>
      <c r="AF377" s="39">
        <v>28</v>
      </c>
      <c r="AG377" s="42">
        <v>0.10539999999999999</v>
      </c>
      <c r="AH377" s="39">
        <v>567</v>
      </c>
      <c r="AI377" s="42">
        <v>0.29270000000000002</v>
      </c>
      <c r="AJ377" s="39" t="s">
        <v>6802</v>
      </c>
      <c r="AK377" s="42">
        <v>0.35709999999999997</v>
      </c>
      <c r="AL377" s="39" t="s">
        <v>6710</v>
      </c>
      <c r="AM377" s="42">
        <v>6.0199999999999997E-2</v>
      </c>
      <c r="AN377" s="42">
        <v>8.5800000000000001E-2</v>
      </c>
      <c r="AO377" s="41">
        <v>40</v>
      </c>
      <c r="AP377" s="39">
        <v>23</v>
      </c>
      <c r="AQ377" s="39">
        <v>48</v>
      </c>
      <c r="AR377" s="39">
        <v>648</v>
      </c>
      <c r="AS377" s="39">
        <v>18</v>
      </c>
      <c r="AT377" s="39" t="s">
        <v>129</v>
      </c>
      <c r="AU377" s="39">
        <v>2</v>
      </c>
      <c r="AV377" s="39" t="s">
        <v>6568</v>
      </c>
      <c r="AW377" s="39">
        <v>558.20000000000005</v>
      </c>
      <c r="AX377" s="39">
        <v>563.79999999999995</v>
      </c>
      <c r="AY377" s="39">
        <v>572.9</v>
      </c>
      <c r="AZ377" s="39">
        <v>543.5</v>
      </c>
      <c r="BA377" s="39">
        <v>534.4</v>
      </c>
      <c r="BB377" s="39">
        <v>528.79999999999995</v>
      </c>
      <c r="BC377" s="39">
        <v>3</v>
      </c>
      <c r="BD377" s="39">
        <v>5</v>
      </c>
      <c r="BE377" s="39">
        <v>1</v>
      </c>
      <c r="BF377" s="39" t="s">
        <v>130</v>
      </c>
      <c r="BG377" s="39">
        <v>160.69999999999999</v>
      </c>
      <c r="BH377" s="39">
        <v>0.3</v>
      </c>
      <c r="BI377" s="39" t="s">
        <v>4563</v>
      </c>
      <c r="BJ377" s="39" t="s">
        <v>4563</v>
      </c>
    </row>
    <row r="378" spans="1:62" x14ac:dyDescent="0.35">
      <c r="A378" s="39" t="s">
        <v>569</v>
      </c>
      <c r="B378" s="39" t="str">
        <f>IFERROR(INDEX(added_new_stocks!$F$6:$H$2155,MATCH($A378,added_new_stocks!$F$6:$F$2600,0),3),"")</f>
        <v>Large</v>
      </c>
      <c r="C378" s="48">
        <v>3199.4</v>
      </c>
      <c r="D378" s="39">
        <v>48</v>
      </c>
      <c r="G378" s="39" t="s">
        <v>4625</v>
      </c>
      <c r="H378" s="39" t="s">
        <v>7818</v>
      </c>
      <c r="I378" s="39" t="s">
        <v>4996</v>
      </c>
      <c r="J378" s="39" t="s">
        <v>7819</v>
      </c>
      <c r="K378" s="39" t="s">
        <v>133</v>
      </c>
      <c r="L378" s="39" t="s">
        <v>5739</v>
      </c>
      <c r="M378" s="39" t="s">
        <v>4959</v>
      </c>
      <c r="N378" s="39">
        <v>2</v>
      </c>
      <c r="O378" s="39">
        <v>-2</v>
      </c>
      <c r="P378" s="39">
        <v>0</v>
      </c>
      <c r="Q378" s="39" t="s">
        <v>4611</v>
      </c>
      <c r="R378" s="39">
        <v>0.33</v>
      </c>
      <c r="S378" s="39">
        <v>-1.07</v>
      </c>
      <c r="T378" s="39">
        <v>-5.18</v>
      </c>
      <c r="U378" s="39">
        <v>-0.7</v>
      </c>
      <c r="V378" s="39">
        <v>10.82</v>
      </c>
      <c r="W378" s="39">
        <v>3.13</v>
      </c>
      <c r="X378" s="39">
        <v>5.96</v>
      </c>
      <c r="Y378" s="39">
        <v>85.86</v>
      </c>
      <c r="Z378" s="39">
        <v>180.26</v>
      </c>
      <c r="AA378" s="39">
        <v>361.94</v>
      </c>
      <c r="AB378" s="39">
        <v>364.79</v>
      </c>
      <c r="AC378" s="39">
        <v>1965.46</v>
      </c>
      <c r="AD378" s="39" t="s">
        <v>4606</v>
      </c>
      <c r="AE378" s="39" t="s">
        <v>134</v>
      </c>
      <c r="AF378" s="39">
        <v>31</v>
      </c>
      <c r="AG378" s="42">
        <v>0.1648</v>
      </c>
      <c r="AH378" s="39">
        <v>133</v>
      </c>
      <c r="AI378" s="42">
        <v>6.5600000000000006E-2</v>
      </c>
      <c r="AJ378" s="39" t="s">
        <v>5740</v>
      </c>
      <c r="AK378" s="42">
        <v>0.57699999999999996</v>
      </c>
      <c r="AL378" s="39" t="s">
        <v>5741</v>
      </c>
      <c r="AM378" s="42">
        <v>4.7100000000000003E-2</v>
      </c>
      <c r="AN378" s="42">
        <v>9.8100000000000007E-2</v>
      </c>
      <c r="AO378" s="41">
        <v>75</v>
      </c>
      <c r="AP378" s="39">
        <v>18</v>
      </c>
      <c r="AQ378" s="39">
        <v>58</v>
      </c>
      <c r="AR378" s="45">
        <v>3245</v>
      </c>
      <c r="AS378" s="39">
        <v>14</v>
      </c>
      <c r="AT378" s="39" t="s">
        <v>4562</v>
      </c>
      <c r="AU378" s="39">
        <v>6</v>
      </c>
      <c r="AV378" s="39" t="s">
        <v>6569</v>
      </c>
      <c r="AW378" s="39">
        <v>2896.13</v>
      </c>
      <c r="AX378" s="39">
        <v>2927.52</v>
      </c>
      <c r="AY378" s="39">
        <v>2946.58</v>
      </c>
      <c r="BA378" s="39">
        <v>2826.62</v>
      </c>
      <c r="BB378" s="39">
        <v>2795.23</v>
      </c>
      <c r="BC378" s="39">
        <v>11</v>
      </c>
      <c r="BD378" s="39">
        <v>4</v>
      </c>
      <c r="BE378" s="39">
        <v>2</v>
      </c>
      <c r="BF378" s="39" t="s">
        <v>130</v>
      </c>
      <c r="BG378" s="39">
        <v>539</v>
      </c>
      <c r="BH378" s="39">
        <v>0.2</v>
      </c>
      <c r="BI378" s="39" t="s">
        <v>4563</v>
      </c>
      <c r="BJ378" s="39" t="s">
        <v>132</v>
      </c>
    </row>
    <row r="379" spans="1:62" x14ac:dyDescent="0.35">
      <c r="A379" s="39" t="s">
        <v>214</v>
      </c>
      <c r="B379" s="39" t="str">
        <f>IFERROR(INDEX(added_new_stocks!$F$6:$H$2155,MATCH($A379,added_new_stocks!$F$6:$F$2600,0),3),"")</f>
        <v>Large</v>
      </c>
      <c r="C379" s="48">
        <v>3078.35</v>
      </c>
      <c r="D379" s="39">
        <v>67</v>
      </c>
      <c r="G379" s="39" t="s">
        <v>4562</v>
      </c>
      <c r="H379" s="39" t="s">
        <v>7820</v>
      </c>
      <c r="I379" s="39" t="s">
        <v>4624</v>
      </c>
      <c r="J379" s="39" t="s">
        <v>7821</v>
      </c>
      <c r="K379" s="39" t="s">
        <v>4957</v>
      </c>
      <c r="L379" s="39" t="s">
        <v>7822</v>
      </c>
      <c r="M379" s="39" t="s">
        <v>4620</v>
      </c>
      <c r="N379" s="39">
        <v>7</v>
      </c>
      <c r="O379" s="39">
        <v>-4</v>
      </c>
      <c r="P379" s="39">
        <v>3</v>
      </c>
      <c r="Q379" s="39" t="s">
        <v>4611</v>
      </c>
      <c r="R379" s="39">
        <v>-0.02</v>
      </c>
      <c r="S379" s="39">
        <v>0.34</v>
      </c>
      <c r="T379" s="39">
        <v>3.02</v>
      </c>
      <c r="U379" s="39">
        <v>9.8699999999999992</v>
      </c>
      <c r="V379" s="39">
        <v>30.46</v>
      </c>
      <c r="W379" s="39">
        <v>18.489999999999998</v>
      </c>
      <c r="X379" s="39">
        <v>18.28</v>
      </c>
      <c r="Y379" s="39">
        <v>63.95</v>
      </c>
      <c r="Z379" s="39">
        <v>171.44</v>
      </c>
      <c r="AA379" s="39">
        <v>178.6</v>
      </c>
      <c r="AB379" s="39">
        <v>250.45</v>
      </c>
      <c r="AC379" s="39">
        <v>1275.18</v>
      </c>
      <c r="AD379" s="39" t="s">
        <v>4606</v>
      </c>
      <c r="AE379" s="39" t="s">
        <v>134</v>
      </c>
      <c r="AF379" s="39">
        <v>43</v>
      </c>
      <c r="AG379" s="42">
        <v>5.5199999999999999E-2</v>
      </c>
      <c r="AH379" s="39">
        <v>959</v>
      </c>
      <c r="AI379" s="42">
        <v>0.18529999999999999</v>
      </c>
      <c r="AJ379" s="39" t="s">
        <v>7823</v>
      </c>
      <c r="AK379" s="42">
        <v>0.27879999999999999</v>
      </c>
      <c r="AL379" s="39" t="s">
        <v>5462</v>
      </c>
      <c r="AM379" s="42">
        <v>5.3600000000000002E-2</v>
      </c>
      <c r="AN379" s="42">
        <v>0.15659999999999999</v>
      </c>
      <c r="AO379" s="41">
        <v>60</v>
      </c>
      <c r="AP379" s="39">
        <v>11</v>
      </c>
      <c r="AQ379" s="39">
        <v>47</v>
      </c>
      <c r="AR379" s="45">
        <v>3518</v>
      </c>
      <c r="AS379" s="39">
        <v>10</v>
      </c>
      <c r="AT379" s="39" t="s">
        <v>129</v>
      </c>
      <c r="AU379" s="39">
        <v>6</v>
      </c>
      <c r="AV379" s="39" t="s">
        <v>6570</v>
      </c>
      <c r="AW379" s="39">
        <v>3207.95</v>
      </c>
      <c r="AX379" s="39">
        <v>3226.75</v>
      </c>
      <c r="AY379" s="39">
        <v>3241.7</v>
      </c>
      <c r="AZ379" s="39">
        <v>3174.2</v>
      </c>
      <c r="BA379" s="39">
        <v>3159.25</v>
      </c>
      <c r="BB379" s="39">
        <v>3140.45</v>
      </c>
      <c r="BC379" s="39">
        <v>8</v>
      </c>
      <c r="BD379" s="39">
        <v>4</v>
      </c>
      <c r="BE379" s="39" t="s">
        <v>130</v>
      </c>
      <c r="BF379" s="39" t="s">
        <v>130</v>
      </c>
      <c r="BG379" s="39">
        <v>542.20000000000005</v>
      </c>
      <c r="BH379" s="39">
        <v>0.2</v>
      </c>
      <c r="BI379" s="39" t="s">
        <v>131</v>
      </c>
      <c r="BJ379" s="39" t="s">
        <v>132</v>
      </c>
    </row>
    <row r="380" spans="1:62" x14ac:dyDescent="0.35">
      <c r="A380" s="39" t="s">
        <v>338</v>
      </c>
      <c r="B380" s="39" t="str">
        <f>IFERROR(INDEX(added_new_stocks!$F$6:$H$2155,MATCH($A380,added_new_stocks!$F$6:$F$2600,0),3),"")</f>
        <v>Large</v>
      </c>
      <c r="C380" s="48">
        <v>1954.2</v>
      </c>
      <c r="D380" s="39">
        <v>67</v>
      </c>
      <c r="G380" s="39" t="s">
        <v>4562</v>
      </c>
      <c r="H380" s="39" t="s">
        <v>7824</v>
      </c>
      <c r="I380" s="39" t="s">
        <v>4624</v>
      </c>
      <c r="J380" s="39" t="s">
        <v>7825</v>
      </c>
      <c r="K380" s="39" t="s">
        <v>133</v>
      </c>
      <c r="L380" s="39" t="s">
        <v>7826</v>
      </c>
      <c r="M380" s="39" t="s">
        <v>4620</v>
      </c>
      <c r="N380" s="39">
        <v>11</v>
      </c>
      <c r="O380" s="39">
        <v>-8</v>
      </c>
      <c r="P380" s="39">
        <v>3</v>
      </c>
      <c r="Q380" s="39" t="s">
        <v>4611</v>
      </c>
      <c r="R380" s="39">
        <v>-0.43</v>
      </c>
      <c r="S380" s="39">
        <v>0.99</v>
      </c>
      <c r="T380" s="39">
        <v>-1.81</v>
      </c>
      <c r="U380" s="39">
        <v>13.96</v>
      </c>
      <c r="V380" s="39">
        <v>30.31</v>
      </c>
      <c r="W380" s="39">
        <v>25.94</v>
      </c>
      <c r="X380" s="39">
        <v>25.88</v>
      </c>
      <c r="Y380" s="39">
        <v>26.45</v>
      </c>
      <c r="Z380" s="39">
        <v>44.45</v>
      </c>
      <c r="AA380" s="39">
        <v>128.88999999999999</v>
      </c>
      <c r="AB380" s="39">
        <v>121.01</v>
      </c>
      <c r="AC380" s="39">
        <v>854.32</v>
      </c>
      <c r="AD380" s="39" t="s">
        <v>4606</v>
      </c>
      <c r="AE380" s="39" t="s">
        <v>134</v>
      </c>
      <c r="AF380" s="39">
        <v>30</v>
      </c>
      <c r="AG380" s="42">
        <v>5.5899999999999998E-2</v>
      </c>
      <c r="AH380" s="39">
        <v>596</v>
      </c>
      <c r="AI380" s="42">
        <v>0.12839999999999999</v>
      </c>
      <c r="AJ380" s="39" t="s">
        <v>5745</v>
      </c>
      <c r="AK380" s="42">
        <v>0.71250000000000002</v>
      </c>
      <c r="AL380" s="39" t="s">
        <v>7827</v>
      </c>
      <c r="AM380" s="42">
        <v>1.12E-2</v>
      </c>
      <c r="AN380" s="42">
        <v>4.3700000000000003E-2</v>
      </c>
      <c r="AO380" s="41">
        <v>65</v>
      </c>
      <c r="AP380" s="39">
        <v>8</v>
      </c>
      <c r="AQ380" s="39">
        <v>65</v>
      </c>
      <c r="AR380" s="45">
        <v>3163</v>
      </c>
      <c r="AS380" s="39">
        <v>2</v>
      </c>
      <c r="AT380" s="39" t="s">
        <v>4562</v>
      </c>
      <c r="AU380" s="39">
        <v>32</v>
      </c>
      <c r="AV380" s="39" t="s">
        <v>6571</v>
      </c>
      <c r="AW380" s="39">
        <v>3098.27</v>
      </c>
      <c r="AX380" s="39">
        <v>3117.13</v>
      </c>
      <c r="AY380" s="39">
        <v>3144.27</v>
      </c>
      <c r="AZ380" s="39">
        <v>3052.27</v>
      </c>
      <c r="BA380" s="39">
        <v>3025.13</v>
      </c>
      <c r="BB380" s="39">
        <v>3006.27</v>
      </c>
      <c r="BC380" s="39">
        <v>11</v>
      </c>
      <c r="BD380" s="39">
        <v>3</v>
      </c>
      <c r="BE380" s="39">
        <v>7</v>
      </c>
      <c r="BF380" s="39" t="s">
        <v>130</v>
      </c>
      <c r="BG380" s="39">
        <v>329.9</v>
      </c>
      <c r="BH380" s="39">
        <v>0.1</v>
      </c>
      <c r="BI380" s="39" t="s">
        <v>131</v>
      </c>
      <c r="BJ380" s="39" t="s">
        <v>132</v>
      </c>
    </row>
    <row r="381" spans="1:62" x14ac:dyDescent="0.35">
      <c r="A381" s="39" t="s">
        <v>523</v>
      </c>
      <c r="B381" s="39" t="str">
        <f>IFERROR(INDEX(added_new_stocks!$F$6:$H$2155,MATCH($A381,added_new_stocks!$F$6:$F$2600,0),3),"")</f>
        <v>Large</v>
      </c>
      <c r="C381" s="39">
        <v>661.2</v>
      </c>
      <c r="D381" s="39">
        <v>74</v>
      </c>
      <c r="G381" s="39" t="s">
        <v>129</v>
      </c>
      <c r="H381" s="39" t="s">
        <v>7828</v>
      </c>
      <c r="I381" s="39" t="s">
        <v>4989</v>
      </c>
      <c r="J381" s="39" t="s">
        <v>7829</v>
      </c>
      <c r="K381" s="39" t="s">
        <v>133</v>
      </c>
      <c r="L381" s="39" t="s">
        <v>5744</v>
      </c>
      <c r="M381" s="39" t="s">
        <v>4955</v>
      </c>
      <c r="N381" s="39">
        <v>14</v>
      </c>
      <c r="O381" s="39">
        <v>-5</v>
      </c>
      <c r="P381" s="39">
        <v>9</v>
      </c>
      <c r="Q381" s="39" t="s">
        <v>14</v>
      </c>
      <c r="R381" s="39">
        <v>-0.59</v>
      </c>
      <c r="S381" s="39">
        <v>0.36</v>
      </c>
      <c r="T381" s="39">
        <v>-1.77</v>
      </c>
      <c r="U381" s="39">
        <v>16.78</v>
      </c>
      <c r="V381" s="39">
        <v>28.25</v>
      </c>
      <c r="W381" s="39">
        <v>34.340000000000003</v>
      </c>
      <c r="X381" s="39">
        <v>13.55</v>
      </c>
      <c r="Y381" s="39">
        <v>34.79</v>
      </c>
      <c r="Z381" s="39">
        <v>92.15</v>
      </c>
      <c r="AA381" s="39">
        <v>137.88</v>
      </c>
      <c r="AB381" s="39">
        <v>150.55000000000001</v>
      </c>
      <c r="AC381" s="39">
        <v>780.43</v>
      </c>
      <c r="AD381" s="39" t="s">
        <v>4606</v>
      </c>
      <c r="AE381" s="39" t="s">
        <v>134</v>
      </c>
      <c r="AF381" s="39">
        <v>19</v>
      </c>
      <c r="AG381" s="42">
        <v>0.159</v>
      </c>
      <c r="AH381" s="39">
        <v>144</v>
      </c>
      <c r="AI381" s="42">
        <v>6.0400000000000002E-2</v>
      </c>
      <c r="AJ381" s="39" t="s">
        <v>5745</v>
      </c>
      <c r="AK381" s="42">
        <v>0.53559999999999997</v>
      </c>
      <c r="AL381" s="39" t="s">
        <v>5746</v>
      </c>
      <c r="AM381" s="42">
        <v>9.7500000000000003E-2</v>
      </c>
      <c r="AN381" s="42">
        <v>6.1600000000000002E-2</v>
      </c>
      <c r="AO381" s="41">
        <v>75</v>
      </c>
      <c r="AP381" s="39">
        <v>21</v>
      </c>
      <c r="AQ381" s="39">
        <v>61</v>
      </c>
      <c r="AR381" s="45">
        <v>2107</v>
      </c>
      <c r="AS381" s="39">
        <v>7</v>
      </c>
      <c r="AT381" s="39" t="s">
        <v>129</v>
      </c>
      <c r="AU381" s="39">
        <v>29</v>
      </c>
      <c r="AV381" s="39" t="s">
        <v>6572</v>
      </c>
      <c r="AW381" s="39">
        <v>1973.2</v>
      </c>
      <c r="AX381" s="39">
        <v>1987.6</v>
      </c>
      <c r="AY381" s="39">
        <v>2001.2</v>
      </c>
      <c r="AZ381" s="39">
        <v>1945.2</v>
      </c>
      <c r="BA381" s="39">
        <v>1931.6</v>
      </c>
      <c r="BB381" s="39">
        <v>1917.2</v>
      </c>
      <c r="BC381" s="39">
        <v>5</v>
      </c>
      <c r="BD381" s="39">
        <v>2</v>
      </c>
      <c r="BE381" s="39">
        <v>4</v>
      </c>
      <c r="BF381" s="39">
        <v>1</v>
      </c>
      <c r="BG381" s="39">
        <v>391.6</v>
      </c>
      <c r="BH381" s="39">
        <v>0.2</v>
      </c>
      <c r="BI381" s="39" t="s">
        <v>4565</v>
      </c>
      <c r="BJ381" s="39" t="s">
        <v>132</v>
      </c>
    </row>
    <row r="382" spans="1:62" x14ac:dyDescent="0.35">
      <c r="A382" s="39" t="s">
        <v>2239</v>
      </c>
      <c r="B382" s="39" t="str">
        <f>IFERROR(INDEX(added_new_stocks!$F$6:$H$2155,MATCH($A382,added_new_stocks!$F$6:$F$2600,0),3),"")</f>
        <v>Small</v>
      </c>
      <c r="C382" s="39">
        <v>77.25</v>
      </c>
      <c r="D382" s="39">
        <v>58</v>
      </c>
      <c r="G382" s="39" t="s">
        <v>4562</v>
      </c>
      <c r="H382" s="39" t="s">
        <v>7830</v>
      </c>
      <c r="I382" s="39" t="s">
        <v>4989</v>
      </c>
      <c r="J382" s="39" t="s">
        <v>7831</v>
      </c>
      <c r="K382" s="39" t="s">
        <v>133</v>
      </c>
      <c r="L382" s="39" t="s">
        <v>4998</v>
      </c>
      <c r="M382" s="39" t="s">
        <v>4959</v>
      </c>
      <c r="N382" s="39">
        <v>11</v>
      </c>
      <c r="O382" s="39">
        <v>-7</v>
      </c>
      <c r="P382" s="39">
        <v>4</v>
      </c>
      <c r="Q382" s="39" t="s">
        <v>4611</v>
      </c>
      <c r="R382" s="39">
        <v>1.31</v>
      </c>
      <c r="S382" s="39">
        <v>-1.38</v>
      </c>
      <c r="T382" s="39">
        <v>-8.17</v>
      </c>
      <c r="U382" s="39">
        <v>13.14</v>
      </c>
      <c r="V382" s="39">
        <v>2.96</v>
      </c>
      <c r="W382" s="39">
        <v>-3.5</v>
      </c>
      <c r="X382" s="39" t="s">
        <v>4538</v>
      </c>
      <c r="Y382" s="39" t="s">
        <v>4538</v>
      </c>
      <c r="Z382" s="39" t="s">
        <v>4538</v>
      </c>
      <c r="AA382" s="39" t="s">
        <v>4538</v>
      </c>
      <c r="AB382" s="39" t="s">
        <v>4538</v>
      </c>
      <c r="AC382" s="39" t="s">
        <v>4538</v>
      </c>
      <c r="AD382" s="39" t="s">
        <v>5015</v>
      </c>
      <c r="AE382" s="39" t="s">
        <v>134</v>
      </c>
      <c r="AF382" s="39">
        <v>5</v>
      </c>
      <c r="AG382" s="42">
        <v>0.1701</v>
      </c>
      <c r="AH382" s="39">
        <v>8</v>
      </c>
      <c r="AI382" s="42">
        <v>3.8199999999999998E-2</v>
      </c>
      <c r="AJ382" s="39" t="s">
        <v>7832</v>
      </c>
      <c r="AK382" s="42">
        <v>0.1782</v>
      </c>
      <c r="AL382" s="39" t="s">
        <v>7833</v>
      </c>
      <c r="AM382" s="42">
        <v>0.109</v>
      </c>
      <c r="AN382" s="42">
        <v>0.16389999999999999</v>
      </c>
      <c r="AO382" s="41">
        <v>75</v>
      </c>
      <c r="AP382" s="39">
        <v>61</v>
      </c>
      <c r="AQ382" s="39">
        <v>69</v>
      </c>
      <c r="AR382" s="39">
        <v>581</v>
      </c>
      <c r="AS382" s="39">
        <v>-12</v>
      </c>
      <c r="AT382" s="39" t="s">
        <v>4625</v>
      </c>
      <c r="AU382" s="39">
        <v>8</v>
      </c>
      <c r="AV382" s="39" t="s">
        <v>6573</v>
      </c>
      <c r="AW382" s="39">
        <v>675.5</v>
      </c>
      <c r="AX382" s="39">
        <v>685.25</v>
      </c>
      <c r="AY382" s="39">
        <v>695.5</v>
      </c>
      <c r="AZ382" s="39">
        <v>655.5</v>
      </c>
      <c r="BA382" s="39">
        <v>645.25</v>
      </c>
      <c r="BB382" s="39">
        <v>635.5</v>
      </c>
      <c r="BC382" s="39">
        <v>6</v>
      </c>
      <c r="BD382" s="39">
        <v>1</v>
      </c>
      <c r="BE382" s="39">
        <v>7</v>
      </c>
      <c r="BF382" s="39" t="s">
        <v>130</v>
      </c>
      <c r="BG382" s="39">
        <v>488.5</v>
      </c>
      <c r="BH382" s="39">
        <v>0.7</v>
      </c>
      <c r="BI382" s="39" t="s">
        <v>4639</v>
      </c>
      <c r="BJ382" s="39" t="s">
        <v>4563</v>
      </c>
    </row>
    <row r="383" spans="1:62" x14ac:dyDescent="0.35">
      <c r="A383" s="39" t="s">
        <v>348</v>
      </c>
      <c r="B383" s="39" t="str">
        <f>IFERROR(INDEX(added_new_stocks!$F$6:$H$2155,MATCH($A383,added_new_stocks!$F$6:$F$2600,0),3),"")</f>
        <v>Large</v>
      </c>
      <c r="C383" s="48">
        <v>2062.6</v>
      </c>
      <c r="D383" s="39">
        <v>82</v>
      </c>
      <c r="E383" s="39" t="s">
        <v>4987</v>
      </c>
      <c r="F383" s="39" t="s">
        <v>7215</v>
      </c>
      <c r="G383" s="39" t="s">
        <v>4633</v>
      </c>
      <c r="H383" s="39" t="s">
        <v>7834</v>
      </c>
      <c r="I383" s="39" t="s">
        <v>4624</v>
      </c>
      <c r="J383" s="39" t="s">
        <v>7835</v>
      </c>
      <c r="K383" s="39" t="s">
        <v>133</v>
      </c>
      <c r="L383" s="39" t="s">
        <v>7836</v>
      </c>
      <c r="M383" s="39" t="s">
        <v>4959</v>
      </c>
      <c r="N383" s="39">
        <v>32</v>
      </c>
      <c r="O383" s="39">
        <v>0</v>
      </c>
      <c r="P383" s="39">
        <v>32</v>
      </c>
      <c r="Q383" s="39" t="s">
        <v>5076</v>
      </c>
      <c r="R383" s="39">
        <v>0.56999999999999995</v>
      </c>
      <c r="S383" s="39">
        <v>0.6</v>
      </c>
      <c r="T383" s="39">
        <v>19.100000000000001</v>
      </c>
      <c r="U383" s="39">
        <v>32.31</v>
      </c>
      <c r="V383" s="39">
        <v>60.76</v>
      </c>
      <c r="W383" s="39">
        <v>52.71</v>
      </c>
      <c r="X383" s="39">
        <v>46.31</v>
      </c>
      <c r="Y383" s="39">
        <v>107.75</v>
      </c>
      <c r="Z383" s="39">
        <v>216.74</v>
      </c>
      <c r="AA383" s="39">
        <v>339.08</v>
      </c>
      <c r="AB383" s="39">
        <v>461.86</v>
      </c>
      <c r="AC383" s="39">
        <v>2086.69</v>
      </c>
      <c r="AD383" s="39" t="s">
        <v>4606</v>
      </c>
      <c r="AE383" s="39" t="s">
        <v>134</v>
      </c>
      <c r="AF383" s="39">
        <v>33</v>
      </c>
      <c r="AG383" s="42">
        <v>9.1399999999999995E-2</v>
      </c>
      <c r="AH383" s="39">
        <v>549</v>
      </c>
      <c r="AI383" s="42">
        <v>0.20480000000000001</v>
      </c>
      <c r="AJ383" s="39" t="s">
        <v>5724</v>
      </c>
      <c r="AK383" s="42">
        <v>0.32450000000000001</v>
      </c>
      <c r="AL383" s="39" t="s">
        <v>7837</v>
      </c>
      <c r="AM383" s="42">
        <v>4.53E-2</v>
      </c>
      <c r="AN383" s="42">
        <v>0.14449999999999999</v>
      </c>
      <c r="AO383" s="41">
        <v>45</v>
      </c>
      <c r="AP383" s="39">
        <v>15</v>
      </c>
      <c r="AQ383" s="39">
        <v>48</v>
      </c>
      <c r="AS383" s="39" t="s">
        <v>4564</v>
      </c>
      <c r="AW383" s="39">
        <v>77.83</v>
      </c>
      <c r="AX383" s="39">
        <v>79.17</v>
      </c>
      <c r="AY383" s="39">
        <v>80.13</v>
      </c>
      <c r="AZ383" s="39">
        <v>75.53</v>
      </c>
      <c r="BA383" s="39">
        <v>74.569999999999993</v>
      </c>
      <c r="BB383" s="39">
        <v>73.23</v>
      </c>
      <c r="BC383" s="39">
        <v>3</v>
      </c>
      <c r="BD383" s="39" t="s">
        <v>130</v>
      </c>
      <c r="BE383" s="39">
        <v>1.77</v>
      </c>
      <c r="BF383" s="39">
        <v>1.83</v>
      </c>
      <c r="BG383" s="39">
        <v>3</v>
      </c>
      <c r="BH383" s="39">
        <v>7</v>
      </c>
      <c r="BI383" s="39" t="s">
        <v>4563</v>
      </c>
      <c r="BJ383" s="39" t="s">
        <v>4563</v>
      </c>
    </row>
    <row r="384" spans="1:62" x14ac:dyDescent="0.35">
      <c r="A384" s="39" t="s">
        <v>976</v>
      </c>
      <c r="B384" s="39" t="str">
        <f>IFERROR(INDEX(added_new_stocks!$F$6:$H$2155,MATCH($A384,added_new_stocks!$F$6:$F$2600,0),3),"")</f>
        <v>Mid</v>
      </c>
      <c r="C384" s="39">
        <v>387.05</v>
      </c>
      <c r="D384" s="39">
        <v>75</v>
      </c>
      <c r="E384" s="39" t="s">
        <v>4987</v>
      </c>
      <c r="F384" s="39" t="s">
        <v>7838</v>
      </c>
      <c r="G384" s="39" t="s">
        <v>129</v>
      </c>
      <c r="H384" s="39" t="s">
        <v>7839</v>
      </c>
      <c r="I384" s="39" t="s">
        <v>4989</v>
      </c>
      <c r="J384" s="39" t="s">
        <v>7840</v>
      </c>
      <c r="K384" s="39" t="s">
        <v>133</v>
      </c>
      <c r="L384" s="39" t="s">
        <v>7841</v>
      </c>
      <c r="M384" s="39" t="s">
        <v>4959</v>
      </c>
      <c r="N384" s="39">
        <v>30</v>
      </c>
      <c r="O384" s="39">
        <v>0</v>
      </c>
      <c r="P384" s="39">
        <v>30</v>
      </c>
      <c r="Q384" s="39" t="s">
        <v>5076</v>
      </c>
      <c r="R384" s="39">
        <v>-0.57999999999999996</v>
      </c>
      <c r="S384" s="39">
        <v>3.54</v>
      </c>
      <c r="T384" s="39">
        <v>-2.93</v>
      </c>
      <c r="U384" s="39">
        <v>0.52</v>
      </c>
      <c r="V384" s="39">
        <v>20.43</v>
      </c>
      <c r="W384" s="39">
        <v>48.58</v>
      </c>
      <c r="X384" s="39">
        <v>88.85</v>
      </c>
      <c r="Y384" s="39">
        <v>214.42</v>
      </c>
      <c r="Z384" s="39">
        <v>380.21</v>
      </c>
      <c r="AA384" s="39">
        <v>290.95999999999998</v>
      </c>
      <c r="AB384" s="39">
        <v>217.78</v>
      </c>
      <c r="AC384" s="39">
        <v>720.02</v>
      </c>
      <c r="AD384" s="39" t="s">
        <v>4606</v>
      </c>
      <c r="AE384" s="39" t="s">
        <v>134</v>
      </c>
      <c r="AF384" s="39">
        <v>14</v>
      </c>
      <c r="AG384" s="42">
        <v>0.1231</v>
      </c>
      <c r="AH384" s="39">
        <v>197</v>
      </c>
      <c r="AI384" s="42">
        <v>0.26779999999999998</v>
      </c>
      <c r="AJ384" s="39" t="s">
        <v>7842</v>
      </c>
      <c r="AK384" s="42">
        <v>0.26840000000000003</v>
      </c>
      <c r="AL384" s="39" t="s">
        <v>5261</v>
      </c>
      <c r="AM384" s="42">
        <v>6.2799999999999995E-2</v>
      </c>
      <c r="AN384" s="43">
        <v>0.04</v>
      </c>
      <c r="AO384" s="41">
        <v>70</v>
      </c>
      <c r="AP384" s="39">
        <v>8</v>
      </c>
      <c r="AQ384" s="39">
        <v>69</v>
      </c>
      <c r="AR384" s="45">
        <v>1896</v>
      </c>
      <c r="AS384" s="39">
        <v>-8</v>
      </c>
      <c r="AT384" s="39" t="s">
        <v>129</v>
      </c>
      <c r="AU384" s="39">
        <v>19</v>
      </c>
      <c r="AV384" s="39" t="s">
        <v>6574</v>
      </c>
      <c r="AX384" s="39">
        <v>2086.0300000000002</v>
      </c>
      <c r="AY384" s="39">
        <v>2119.37</v>
      </c>
      <c r="AZ384" s="39">
        <v>2067.67</v>
      </c>
      <c r="BA384" s="39">
        <v>1982.63</v>
      </c>
      <c r="BB384" s="39">
        <v>1964.27</v>
      </c>
      <c r="BC384" s="39">
        <v>16</v>
      </c>
      <c r="BD384" s="39">
        <v>1</v>
      </c>
      <c r="BE384" s="39">
        <v>4</v>
      </c>
      <c r="BF384" s="39" t="s">
        <v>130</v>
      </c>
      <c r="BG384" s="39">
        <v>152.1</v>
      </c>
      <c r="BH384" s="39">
        <v>0.1</v>
      </c>
      <c r="BI384" s="39" t="s">
        <v>4639</v>
      </c>
    </row>
    <row r="385" spans="1:62" x14ac:dyDescent="0.35">
      <c r="A385" s="39" t="s">
        <v>803</v>
      </c>
      <c r="B385" s="39" t="str">
        <f>IFERROR(INDEX(added_new_stocks!$F$6:$H$2155,MATCH($A385,added_new_stocks!$F$6:$F$2600,0),3),"")</f>
        <v>Mid</v>
      </c>
      <c r="C385" s="39">
        <v>778.8</v>
      </c>
      <c r="D385" s="39">
        <v>57</v>
      </c>
      <c r="G385" s="39" t="s">
        <v>4562</v>
      </c>
      <c r="H385" s="39" t="s">
        <v>7843</v>
      </c>
      <c r="I385" s="39" t="s">
        <v>4989</v>
      </c>
      <c r="J385" s="39" t="s">
        <v>7844</v>
      </c>
      <c r="K385" s="39" t="s">
        <v>133</v>
      </c>
      <c r="L385" s="39" t="s">
        <v>7845</v>
      </c>
      <c r="M385" s="39" t="s">
        <v>5047</v>
      </c>
      <c r="N385" s="39">
        <v>3</v>
      </c>
      <c r="O385" s="39">
        <v>-19</v>
      </c>
      <c r="P385" s="39">
        <v>-16</v>
      </c>
      <c r="Q385" s="39" t="s">
        <v>4605</v>
      </c>
      <c r="R385" s="39">
        <v>-1.19</v>
      </c>
      <c r="S385" s="39">
        <v>1.62</v>
      </c>
      <c r="T385" s="39">
        <v>0.25</v>
      </c>
      <c r="U385" s="39">
        <v>12.53</v>
      </c>
      <c r="V385" s="39">
        <v>0.59</v>
      </c>
      <c r="W385" s="39">
        <v>-3.01</v>
      </c>
      <c r="X385" s="39">
        <v>-18.97</v>
      </c>
      <c r="Y385" s="39">
        <v>-11.6</v>
      </c>
      <c r="Z385" s="39">
        <v>30.93</v>
      </c>
      <c r="AA385" s="39">
        <v>35.68</v>
      </c>
      <c r="AB385" s="39">
        <v>29.16</v>
      </c>
      <c r="AC385" s="39">
        <v>179.37</v>
      </c>
      <c r="AD385" s="39" t="s">
        <v>4606</v>
      </c>
      <c r="AE385" s="39" t="s">
        <v>134</v>
      </c>
      <c r="AF385" s="39">
        <v>13</v>
      </c>
      <c r="AG385" s="42">
        <v>0.12670000000000001</v>
      </c>
      <c r="AH385" s="39">
        <v>99</v>
      </c>
      <c r="AI385" s="42">
        <v>7.9299999999999995E-2</v>
      </c>
      <c r="AJ385" s="39" t="s">
        <v>7846</v>
      </c>
      <c r="AK385" s="42">
        <v>0.60340000000000005</v>
      </c>
      <c r="AN385" s="42">
        <v>6.8900000000000003E-2</v>
      </c>
      <c r="AO385" s="41">
        <v>60</v>
      </c>
      <c r="AP385" s="39">
        <v>11</v>
      </c>
      <c r="AQ385" s="39">
        <v>58</v>
      </c>
      <c r="AR385" s="39">
        <v>436</v>
      </c>
      <c r="AS385" s="39">
        <v>13</v>
      </c>
      <c r="AT385" s="39" t="s">
        <v>129</v>
      </c>
      <c r="AU385" s="39">
        <v>5</v>
      </c>
      <c r="AV385" s="39" t="s">
        <v>6575</v>
      </c>
      <c r="AW385" s="39">
        <v>393.9</v>
      </c>
      <c r="AX385" s="39">
        <v>397.95</v>
      </c>
      <c r="AY385" s="39">
        <v>402.4</v>
      </c>
      <c r="AZ385" s="39">
        <v>385.4</v>
      </c>
      <c r="BA385" s="39">
        <v>380.95</v>
      </c>
      <c r="BB385" s="39">
        <v>376.9</v>
      </c>
      <c r="BC385" s="39">
        <v>12</v>
      </c>
      <c r="BD385" s="39">
        <v>3</v>
      </c>
      <c r="BE385" s="39">
        <v>2</v>
      </c>
      <c r="BF385" s="39" t="s">
        <v>130</v>
      </c>
      <c r="BG385" s="39">
        <v>60.4</v>
      </c>
      <c r="BH385" s="39">
        <v>0.2</v>
      </c>
      <c r="BI385" s="39" t="s">
        <v>4563</v>
      </c>
      <c r="BJ385" s="39" t="s">
        <v>132</v>
      </c>
    </row>
    <row r="386" spans="1:62" x14ac:dyDescent="0.35">
      <c r="A386" s="39" t="s">
        <v>1073</v>
      </c>
      <c r="B386" s="39" t="str">
        <f>IFERROR(INDEX(added_new_stocks!$F$6:$H$2155,MATCH($A386,added_new_stocks!$F$6:$F$2600,0),3),"")</f>
        <v>Small</v>
      </c>
      <c r="C386" s="39">
        <v>47.93</v>
      </c>
      <c r="D386" s="39">
        <v>31</v>
      </c>
      <c r="G386" s="39" t="s">
        <v>4625</v>
      </c>
      <c r="H386" s="39" t="s">
        <v>7847</v>
      </c>
      <c r="I386" s="39" t="s">
        <v>4624</v>
      </c>
      <c r="J386" s="39" t="s">
        <v>7848</v>
      </c>
      <c r="K386" s="39" t="s">
        <v>4603</v>
      </c>
      <c r="L386" s="39" t="s">
        <v>7849</v>
      </c>
      <c r="N386" s="39">
        <v>14</v>
      </c>
      <c r="O386" s="39">
        <v>-27</v>
      </c>
      <c r="P386" s="39">
        <v>-13</v>
      </c>
      <c r="Q386" s="39" t="s">
        <v>4605</v>
      </c>
      <c r="R386" s="39">
        <v>-0.99</v>
      </c>
      <c r="S386" s="39">
        <v>2.04</v>
      </c>
      <c r="T386" s="39">
        <v>18.989999999999998</v>
      </c>
      <c r="U386" s="39">
        <v>35.89</v>
      </c>
      <c r="V386" s="39">
        <v>50.25</v>
      </c>
      <c r="W386" s="39">
        <v>29.37</v>
      </c>
      <c r="X386" s="39">
        <v>17.329999999999998</v>
      </c>
      <c r="Y386" s="39">
        <v>38.93</v>
      </c>
      <c r="Z386" s="39">
        <v>41.8</v>
      </c>
      <c r="AA386" s="39">
        <v>134.38</v>
      </c>
      <c r="AB386" s="39">
        <v>4.3099999999999996</v>
      </c>
      <c r="AC386" s="39">
        <v>176.25</v>
      </c>
      <c r="AD386" s="39" t="s">
        <v>4606</v>
      </c>
      <c r="AE386" s="39" t="s">
        <v>134</v>
      </c>
      <c r="AF386" s="39">
        <v>7</v>
      </c>
      <c r="AG386" s="42">
        <v>2.7199999999999998E-2</v>
      </c>
      <c r="AH386" s="39">
        <v>96</v>
      </c>
      <c r="AI386" s="42">
        <v>8.4900000000000003E-2</v>
      </c>
      <c r="AJ386" s="39" t="s">
        <v>7850</v>
      </c>
      <c r="AK386" s="42">
        <v>0.51170000000000004</v>
      </c>
      <c r="AL386" s="39" t="s">
        <v>5684</v>
      </c>
      <c r="AM386" s="42">
        <v>3.2800000000000003E-2</v>
      </c>
      <c r="AN386" s="42">
        <v>0.21929999999999999</v>
      </c>
      <c r="AO386" s="41">
        <v>45</v>
      </c>
      <c r="AP386" s="39">
        <v>21</v>
      </c>
      <c r="AQ386" s="39">
        <v>54</v>
      </c>
      <c r="AR386" s="39">
        <v>825</v>
      </c>
      <c r="AS386" s="39">
        <v>6</v>
      </c>
      <c r="AT386" s="39" t="s">
        <v>129</v>
      </c>
      <c r="AU386" s="39">
        <v>8</v>
      </c>
      <c r="AV386" s="39" t="s">
        <v>6576</v>
      </c>
      <c r="AW386" s="39">
        <v>794.4</v>
      </c>
      <c r="AX386" s="39">
        <v>800.2</v>
      </c>
      <c r="AY386" s="39">
        <v>810.4</v>
      </c>
      <c r="AZ386" s="39">
        <v>778.4</v>
      </c>
      <c r="BA386" s="39">
        <v>768.2</v>
      </c>
      <c r="BB386" s="39">
        <v>762.4</v>
      </c>
      <c r="BC386" s="39">
        <v>4</v>
      </c>
      <c r="BD386" s="39">
        <v>8</v>
      </c>
      <c r="BE386" s="39">
        <v>4</v>
      </c>
      <c r="BF386" s="39" t="s">
        <v>130</v>
      </c>
      <c r="BG386" s="39">
        <v>237.8</v>
      </c>
      <c r="BH386" s="39">
        <v>0.3</v>
      </c>
      <c r="BI386" s="39" t="s">
        <v>4639</v>
      </c>
      <c r="BJ386" s="39" t="s">
        <v>4565</v>
      </c>
    </row>
    <row r="387" spans="1:62" x14ac:dyDescent="0.35">
      <c r="A387" s="39" t="s">
        <v>342</v>
      </c>
      <c r="B387" s="39" t="str">
        <f>IFERROR(INDEX(added_new_stocks!$F$6:$H$2155,MATCH($A387,added_new_stocks!$F$6:$F$2600,0),3),"")</f>
        <v>Large</v>
      </c>
      <c r="C387" s="48">
        <v>1415.55</v>
      </c>
      <c r="D387" s="39">
        <v>72</v>
      </c>
      <c r="G387" s="39" t="s">
        <v>129</v>
      </c>
      <c r="H387" s="39" t="s">
        <v>7851</v>
      </c>
      <c r="I387" s="39" t="s">
        <v>4624</v>
      </c>
      <c r="J387" s="39" t="s">
        <v>7852</v>
      </c>
      <c r="K387" s="39" t="s">
        <v>133</v>
      </c>
      <c r="L387" s="39" t="s">
        <v>7853</v>
      </c>
      <c r="M387" s="39" t="s">
        <v>4620</v>
      </c>
      <c r="N387" s="39">
        <v>24</v>
      </c>
      <c r="O387" s="39">
        <v>-10</v>
      </c>
      <c r="P387" s="39">
        <v>14</v>
      </c>
      <c r="Q387" s="39" t="s">
        <v>14</v>
      </c>
      <c r="R387" s="39">
        <v>2.58</v>
      </c>
      <c r="S387" s="39">
        <v>4.43</v>
      </c>
      <c r="T387" s="39">
        <v>4.25</v>
      </c>
      <c r="U387" s="39">
        <v>10.38</v>
      </c>
      <c r="V387" s="39">
        <v>32.75</v>
      </c>
      <c r="W387" s="39">
        <v>30.31</v>
      </c>
      <c r="X387" s="39">
        <v>43.61</v>
      </c>
      <c r="Y387" s="39">
        <v>172.3</v>
      </c>
      <c r="Z387" s="39">
        <v>214.92</v>
      </c>
      <c r="AA387" s="39">
        <v>301.12</v>
      </c>
      <c r="AB387" s="39">
        <v>150.78</v>
      </c>
      <c r="AC387" s="39">
        <v>4541.1499999999996</v>
      </c>
      <c r="AD387" s="39" t="s">
        <v>4606</v>
      </c>
      <c r="AE387" s="39" t="s">
        <v>134</v>
      </c>
      <c r="AF387" s="39">
        <v>31</v>
      </c>
      <c r="AG387" s="42">
        <v>0.18240000000000001</v>
      </c>
      <c r="AH387" s="39">
        <v>600</v>
      </c>
      <c r="AI387" s="42">
        <v>0.18129999999999999</v>
      </c>
      <c r="AJ387" s="39" t="s">
        <v>7854</v>
      </c>
      <c r="AK387" s="42">
        <v>0.50260000000000005</v>
      </c>
      <c r="AL387" s="39" t="s">
        <v>7855</v>
      </c>
      <c r="AM387" s="42">
        <v>9.35E-2</v>
      </c>
      <c r="AN387" s="42">
        <v>6.6100000000000006E-2</v>
      </c>
      <c r="AO387" s="41">
        <v>35</v>
      </c>
      <c r="AP387" s="39">
        <v>31</v>
      </c>
      <c r="AQ387" s="39">
        <v>68</v>
      </c>
      <c r="AR387" s="39">
        <v>26</v>
      </c>
      <c r="AS387" s="39">
        <v>-46</v>
      </c>
      <c r="AT387" s="39" t="s">
        <v>4963</v>
      </c>
      <c r="AU387" s="39">
        <v>1</v>
      </c>
      <c r="AV387" s="39" t="s">
        <v>6577</v>
      </c>
      <c r="AW387" s="39">
        <v>50.18</v>
      </c>
      <c r="AX387" s="39">
        <v>51.92</v>
      </c>
      <c r="AY387" s="39">
        <v>52.93</v>
      </c>
      <c r="AZ387" s="39">
        <v>47.43</v>
      </c>
      <c r="BA387" s="39">
        <v>46.42</v>
      </c>
      <c r="BB387" s="39">
        <v>44.68</v>
      </c>
      <c r="BC387" s="39">
        <v>6</v>
      </c>
      <c r="BD387" s="39">
        <v>4</v>
      </c>
      <c r="BE387" s="39" t="s">
        <v>130</v>
      </c>
      <c r="BF387" s="39">
        <v>-7.0000000000000007E-2</v>
      </c>
      <c r="BG387" s="39">
        <v>6</v>
      </c>
      <c r="BH387" s="39">
        <v>24.5</v>
      </c>
      <c r="BI387" s="39" t="s">
        <v>4565</v>
      </c>
      <c r="BJ387" s="39" t="s">
        <v>4563</v>
      </c>
    </row>
    <row r="388" spans="1:62" x14ac:dyDescent="0.35">
      <c r="A388" s="39" t="s">
        <v>1939</v>
      </c>
      <c r="B388" s="39" t="str">
        <f>IFERROR(INDEX(added_new_stocks!$F$6:$H$2155,MATCH($A388,added_new_stocks!$F$6:$F$2600,0),3),"")</f>
        <v>Small</v>
      </c>
      <c r="C388" s="39">
        <v>224.75</v>
      </c>
      <c r="D388" s="39">
        <v>34</v>
      </c>
      <c r="G388" s="39" t="s">
        <v>4625</v>
      </c>
      <c r="H388" s="39" t="s">
        <v>7856</v>
      </c>
      <c r="I388" s="39" t="s">
        <v>4976</v>
      </c>
      <c r="J388" s="39" t="s">
        <v>7857</v>
      </c>
      <c r="K388" s="39" t="s">
        <v>4615</v>
      </c>
      <c r="L388" s="39" t="s">
        <v>7858</v>
      </c>
      <c r="M388" s="39" t="s">
        <v>5047</v>
      </c>
      <c r="N388" s="39">
        <v>0</v>
      </c>
      <c r="O388" s="39">
        <v>-19</v>
      </c>
      <c r="P388" s="39">
        <v>-19</v>
      </c>
      <c r="Q388" s="39" t="s">
        <v>4605</v>
      </c>
      <c r="R388" s="39">
        <v>2.95</v>
      </c>
      <c r="S388" s="39">
        <v>6.39</v>
      </c>
      <c r="T388" s="39">
        <v>9.3699999999999992</v>
      </c>
      <c r="U388" s="39">
        <v>16.84</v>
      </c>
      <c r="V388" s="39">
        <v>6.34</v>
      </c>
      <c r="W388" s="39">
        <v>-8.49</v>
      </c>
      <c r="X388" s="39">
        <v>-20.6</v>
      </c>
      <c r="Y388" s="39">
        <v>-22.57</v>
      </c>
      <c r="Z388" s="39">
        <v>-3.56</v>
      </c>
      <c r="AA388" s="39">
        <v>-26.26</v>
      </c>
      <c r="AB388" s="39">
        <v>-50.42</v>
      </c>
      <c r="AC388" s="39">
        <v>216.55</v>
      </c>
      <c r="AD388" s="39" t="s">
        <v>4606</v>
      </c>
      <c r="AE388" s="39" t="s">
        <v>134</v>
      </c>
      <c r="AF388" s="39">
        <v>3</v>
      </c>
      <c r="AG388" s="42">
        <v>0.14599999999999999</v>
      </c>
      <c r="AH388" s="39">
        <v>32</v>
      </c>
      <c r="AI388" s="42">
        <v>1.52E-2</v>
      </c>
      <c r="AJ388" s="39" t="s">
        <v>7859</v>
      </c>
      <c r="AK388" s="42">
        <v>0.56899999999999995</v>
      </c>
      <c r="AL388" s="39" t="s">
        <v>5180</v>
      </c>
      <c r="AM388" s="42">
        <v>8.7099999999999997E-2</v>
      </c>
      <c r="AN388" s="42">
        <v>0.2049</v>
      </c>
      <c r="AO388" s="41">
        <v>80</v>
      </c>
      <c r="AP388" s="39">
        <v>20</v>
      </c>
      <c r="AQ388" s="39">
        <v>67</v>
      </c>
      <c r="AR388" s="45">
        <v>1374</v>
      </c>
      <c r="AS388" s="39">
        <v>-3</v>
      </c>
      <c r="AT388" s="39" t="s">
        <v>4562</v>
      </c>
      <c r="AU388" s="39">
        <v>37</v>
      </c>
      <c r="AV388" s="39" t="s">
        <v>6578</v>
      </c>
      <c r="AY388" s="39">
        <v>1444.25</v>
      </c>
      <c r="AZ388" s="39">
        <v>1398.55</v>
      </c>
      <c r="BA388" s="39">
        <v>1416.5</v>
      </c>
      <c r="BB388" s="39">
        <v>1307.1500000000001</v>
      </c>
      <c r="BC388" s="39">
        <v>18</v>
      </c>
      <c r="BD388" s="39">
        <v>3</v>
      </c>
      <c r="BE388" s="39">
        <v>8</v>
      </c>
      <c r="BF388" s="39" t="s">
        <v>130</v>
      </c>
      <c r="BG388" s="39">
        <v>293</v>
      </c>
      <c r="BH388" s="39">
        <v>0.2</v>
      </c>
      <c r="BI388" s="39" t="s">
        <v>132</v>
      </c>
      <c r="BJ388" s="39" t="s">
        <v>132</v>
      </c>
    </row>
    <row r="389" spans="1:62" x14ac:dyDescent="0.35">
      <c r="A389" s="39" t="s">
        <v>408</v>
      </c>
      <c r="B389" s="39" t="str">
        <f>IFERROR(INDEX(added_new_stocks!$F$6:$H$2155,MATCH($A389,added_new_stocks!$F$6:$F$2600,0),3),"")</f>
        <v>Large</v>
      </c>
      <c r="C389" s="48">
        <v>1534.65</v>
      </c>
      <c r="D389" s="39">
        <v>37</v>
      </c>
      <c r="G389" s="39" t="s">
        <v>4625</v>
      </c>
      <c r="H389" s="39" t="s">
        <v>5747</v>
      </c>
      <c r="I389" s="39" t="s">
        <v>4976</v>
      </c>
      <c r="J389" s="39" t="s">
        <v>7860</v>
      </c>
      <c r="K389" s="39" t="s">
        <v>4615</v>
      </c>
      <c r="L389" s="39" t="s">
        <v>5749</v>
      </c>
      <c r="M389" s="39" t="s">
        <v>4620</v>
      </c>
      <c r="N389" s="39">
        <v>5</v>
      </c>
      <c r="O389" s="39">
        <v>-8</v>
      </c>
      <c r="P389" s="39">
        <v>-3</v>
      </c>
      <c r="Q389" s="39" t="s">
        <v>4611</v>
      </c>
      <c r="R389" s="39">
        <v>0.56000000000000005</v>
      </c>
      <c r="S389" s="39">
        <v>0.24</v>
      </c>
      <c r="T389" s="39">
        <v>-2.23</v>
      </c>
      <c r="U389" s="39">
        <v>5.84</v>
      </c>
      <c r="V389" s="39">
        <v>5.25</v>
      </c>
      <c r="W389" s="39">
        <v>-9.6300000000000008</v>
      </c>
      <c r="X389" s="39">
        <v>-6.49</v>
      </c>
      <c r="Y389" s="39">
        <v>4.4400000000000004</v>
      </c>
      <c r="Z389" s="39">
        <v>47.55</v>
      </c>
      <c r="AA389" s="39">
        <v>11.85</v>
      </c>
      <c r="AB389" s="39">
        <v>8.02</v>
      </c>
      <c r="AC389" s="39">
        <v>114.5</v>
      </c>
      <c r="AD389" s="39" t="s">
        <v>4606</v>
      </c>
      <c r="AE389" s="39">
        <v>14.45</v>
      </c>
      <c r="AF389" s="39">
        <v>126</v>
      </c>
      <c r="AG389" s="42">
        <v>0.1338</v>
      </c>
      <c r="AH389" s="39">
        <v>136</v>
      </c>
      <c r="AI389" s="42">
        <v>6.3100000000000003E-2</v>
      </c>
      <c r="AJ389" s="39" t="s">
        <v>5750</v>
      </c>
      <c r="AK389" s="42">
        <v>0.34039999999999998</v>
      </c>
      <c r="AL389" s="39" t="s">
        <v>5751</v>
      </c>
      <c r="AM389" s="42">
        <v>1.21E-2</v>
      </c>
      <c r="AN389" s="42">
        <v>2.8199999999999999E-2</v>
      </c>
      <c r="AO389" s="41">
        <v>50</v>
      </c>
      <c r="AP389" s="39">
        <v>53</v>
      </c>
      <c r="AQ389" s="39">
        <v>54</v>
      </c>
      <c r="AS389" s="39" t="s">
        <v>4564</v>
      </c>
      <c r="AT389" s="39" t="s">
        <v>4562</v>
      </c>
      <c r="AU389" s="39">
        <v>1</v>
      </c>
      <c r="AV389" s="39" t="s">
        <v>6579</v>
      </c>
      <c r="AX389" s="39">
        <v>226.78</v>
      </c>
      <c r="AY389" s="39">
        <v>232.12</v>
      </c>
      <c r="AZ389" s="39">
        <v>222.47</v>
      </c>
      <c r="BA389" s="39">
        <v>207.48</v>
      </c>
      <c r="BB389" s="39">
        <v>203.17</v>
      </c>
      <c r="BC389" s="39">
        <v>4</v>
      </c>
      <c r="BD389" s="39">
        <v>3</v>
      </c>
      <c r="BE389" s="39">
        <v>5</v>
      </c>
      <c r="BF389" s="39" t="s">
        <v>130</v>
      </c>
      <c r="BG389" s="39">
        <v>180.1</v>
      </c>
      <c r="BH389" s="39">
        <v>0.8</v>
      </c>
      <c r="BI389" s="39" t="s">
        <v>4639</v>
      </c>
      <c r="BJ389" s="39" t="s">
        <v>4563</v>
      </c>
    </row>
    <row r="390" spans="1:62" x14ac:dyDescent="0.35">
      <c r="A390" s="39" t="s">
        <v>218</v>
      </c>
      <c r="B390" s="39" t="str">
        <f>IFERROR(INDEX(added_new_stocks!$F$6:$H$2155,MATCH($A390,added_new_stocks!$F$6:$F$2600,0),3),"")</f>
        <v>Large</v>
      </c>
      <c r="C390" s="48">
        <v>8260.6</v>
      </c>
      <c r="D390" s="39">
        <v>67</v>
      </c>
      <c r="G390" s="39" t="s">
        <v>4562</v>
      </c>
      <c r="H390" s="39" t="s">
        <v>5752</v>
      </c>
      <c r="I390" s="39" t="s">
        <v>4624</v>
      </c>
      <c r="J390" s="39" t="s">
        <v>7861</v>
      </c>
      <c r="K390" s="39" t="s">
        <v>133</v>
      </c>
      <c r="L390" s="39" t="s">
        <v>5754</v>
      </c>
      <c r="M390" s="39" t="s">
        <v>4620</v>
      </c>
      <c r="N390" s="39">
        <v>4</v>
      </c>
      <c r="O390" s="39">
        <v>-7</v>
      </c>
      <c r="P390" s="39">
        <v>-3</v>
      </c>
      <c r="Q390" s="39" t="s">
        <v>4611</v>
      </c>
      <c r="R390" s="39">
        <v>0.79</v>
      </c>
      <c r="S390" s="39">
        <v>1.24</v>
      </c>
      <c r="T390" s="39">
        <v>-0.5</v>
      </c>
      <c r="U390" s="39">
        <v>4.57</v>
      </c>
      <c r="V390" s="39">
        <v>13.31</v>
      </c>
      <c r="W390" s="39">
        <v>18.7</v>
      </c>
      <c r="X390" s="39">
        <v>23.8</v>
      </c>
      <c r="Y390" s="39">
        <v>7.26</v>
      </c>
      <c r="Z390" s="39">
        <v>103.34</v>
      </c>
      <c r="AA390" s="39">
        <v>103.84</v>
      </c>
      <c r="AB390" s="39">
        <v>86.5</v>
      </c>
      <c r="AC390" s="39">
        <v>461.32</v>
      </c>
      <c r="AD390" s="39" t="s">
        <v>4606</v>
      </c>
      <c r="AE390" s="39" t="s">
        <v>134</v>
      </c>
      <c r="AF390" s="39">
        <v>109</v>
      </c>
      <c r="AG390" s="42">
        <v>0.13389999999999999</v>
      </c>
      <c r="AH390" s="39">
        <v>840</v>
      </c>
      <c r="AI390" s="42">
        <v>0.158</v>
      </c>
      <c r="AJ390" s="39" t="s">
        <v>5755</v>
      </c>
      <c r="AK390" s="42">
        <v>0.57269999999999999</v>
      </c>
      <c r="AL390" s="39" t="s">
        <v>136</v>
      </c>
      <c r="AM390" s="43">
        <v>0.02</v>
      </c>
      <c r="AN390" s="42">
        <v>5.4199999999999998E-2</v>
      </c>
      <c r="AO390" s="41">
        <v>50</v>
      </c>
      <c r="AP390" s="39">
        <v>12</v>
      </c>
      <c r="AQ390" s="39">
        <v>43</v>
      </c>
      <c r="AR390" s="45">
        <v>1513</v>
      </c>
      <c r="AS390" s="39">
        <v>-1</v>
      </c>
      <c r="AT390" s="39" t="s">
        <v>4562</v>
      </c>
      <c r="AU390" s="39">
        <v>13</v>
      </c>
      <c r="AV390" s="39" t="s">
        <v>6580</v>
      </c>
      <c r="AW390" s="39">
        <v>1533.87</v>
      </c>
      <c r="AX390" s="39">
        <v>1541.08</v>
      </c>
      <c r="AY390" s="39">
        <v>1550.02</v>
      </c>
      <c r="AZ390" s="39">
        <v>1517.72</v>
      </c>
      <c r="BA390" s="39">
        <v>1508.78</v>
      </c>
      <c r="BB390" s="39">
        <v>1501.57</v>
      </c>
      <c r="BC390" s="39">
        <v>6</v>
      </c>
      <c r="BD390" s="39">
        <v>5</v>
      </c>
      <c r="BE390" s="39">
        <v>5</v>
      </c>
      <c r="BF390" s="39" t="s">
        <v>130</v>
      </c>
      <c r="BG390" s="39">
        <v>188.5</v>
      </c>
      <c r="BH390" s="39">
        <v>0.1</v>
      </c>
      <c r="BI390" s="39" t="s">
        <v>4563</v>
      </c>
    </row>
    <row r="391" spans="1:62" x14ac:dyDescent="0.35">
      <c r="A391" s="39" t="s">
        <v>1421</v>
      </c>
      <c r="B391" s="39" t="str">
        <f>IFERROR(INDEX(added_new_stocks!$F$6:$H$2155,MATCH($A391,added_new_stocks!$F$6:$F$2600,0),3),"")</f>
        <v>Small</v>
      </c>
      <c r="C391" s="39">
        <v>611.65</v>
      </c>
      <c r="D391" s="39">
        <v>60</v>
      </c>
      <c r="G391" s="39" t="s">
        <v>4562</v>
      </c>
      <c r="H391" s="39" t="s">
        <v>7862</v>
      </c>
      <c r="I391" s="39" t="s">
        <v>4989</v>
      </c>
      <c r="J391" s="39" t="s">
        <v>7863</v>
      </c>
      <c r="K391" s="39" t="s">
        <v>133</v>
      </c>
      <c r="L391" s="39" t="s">
        <v>4998</v>
      </c>
      <c r="M391" s="39" t="s">
        <v>4955</v>
      </c>
      <c r="N391" s="39">
        <v>0</v>
      </c>
      <c r="O391" s="39">
        <v>-12</v>
      </c>
      <c r="P391" s="39">
        <v>-12</v>
      </c>
      <c r="Q391" s="39" t="s">
        <v>4605</v>
      </c>
      <c r="R391" s="39">
        <v>0.83</v>
      </c>
      <c r="S391" s="39">
        <v>0.19</v>
      </c>
      <c r="T391" s="39">
        <v>-5.7</v>
      </c>
      <c r="U391" s="39">
        <v>10.5</v>
      </c>
      <c r="V391" s="39">
        <v>10.85</v>
      </c>
      <c r="W391" s="39">
        <v>6.51</v>
      </c>
      <c r="X391" s="39" t="s">
        <v>4538</v>
      </c>
      <c r="Y391" s="39" t="s">
        <v>4538</v>
      </c>
      <c r="Z391" s="39" t="s">
        <v>4538</v>
      </c>
      <c r="AA391" s="39" t="s">
        <v>4538</v>
      </c>
      <c r="AB391" s="39" t="s">
        <v>4538</v>
      </c>
      <c r="AC391" s="39" t="s">
        <v>4538</v>
      </c>
      <c r="AD391" s="39" t="s">
        <v>4606</v>
      </c>
      <c r="AE391" s="39" t="s">
        <v>134</v>
      </c>
      <c r="AF391" s="39">
        <v>5</v>
      </c>
      <c r="AG391" s="42">
        <v>3.7699999999999997E-2</v>
      </c>
      <c r="AH391" s="39">
        <v>24</v>
      </c>
      <c r="AI391" s="42">
        <v>5.4800000000000001E-2</v>
      </c>
      <c r="AJ391" s="39" t="s">
        <v>7864</v>
      </c>
      <c r="AK391" s="42">
        <v>0.1993</v>
      </c>
      <c r="AL391" s="39" t="s">
        <v>7865</v>
      </c>
      <c r="AM391" s="42">
        <v>3.5499999999999997E-2</v>
      </c>
      <c r="AN391" s="42">
        <v>0.13059999999999999</v>
      </c>
      <c r="AO391" s="41">
        <v>65</v>
      </c>
      <c r="AP391" s="39">
        <v>26</v>
      </c>
      <c r="AQ391" s="39">
        <v>48</v>
      </c>
      <c r="AR391" s="45">
        <v>8860</v>
      </c>
      <c r="AS391" s="39">
        <v>7</v>
      </c>
      <c r="AT391" s="39" t="s">
        <v>129</v>
      </c>
      <c r="AU391" s="39">
        <v>40</v>
      </c>
      <c r="AV391" s="39" t="s">
        <v>6581</v>
      </c>
      <c r="AX391" s="39">
        <v>8273.7999999999993</v>
      </c>
      <c r="AY391" s="39">
        <v>8329.6</v>
      </c>
      <c r="AZ391" s="39">
        <v>8236.75</v>
      </c>
      <c r="BA391" s="39">
        <v>8088.1</v>
      </c>
      <c r="BB391" s="39">
        <v>8051.05</v>
      </c>
      <c r="BC391" s="39">
        <v>9</v>
      </c>
      <c r="BD391" s="39">
        <v>3</v>
      </c>
      <c r="BE391" s="39">
        <v>5</v>
      </c>
      <c r="BF391" s="39" t="s">
        <v>130</v>
      </c>
      <c r="BG391" s="48">
        <v>2754.5</v>
      </c>
      <c r="BH391" s="39">
        <v>0.3</v>
      </c>
      <c r="BI391" s="39" t="s">
        <v>4639</v>
      </c>
      <c r="BJ391" s="39" t="s">
        <v>4563</v>
      </c>
    </row>
    <row r="392" spans="1:62" x14ac:dyDescent="0.35">
      <c r="A392" s="39" t="s">
        <v>499</v>
      </c>
      <c r="B392" s="39" t="str">
        <f>IFERROR(INDEX(added_new_stocks!$F$6:$H$2155,MATCH($A392,added_new_stocks!$F$6:$F$2600,0),3),"")</f>
        <v>Large</v>
      </c>
      <c r="C392" s="39">
        <v>600</v>
      </c>
      <c r="D392" s="39">
        <v>65</v>
      </c>
      <c r="G392" s="39" t="s">
        <v>4562</v>
      </c>
      <c r="H392" s="39" t="s">
        <v>7866</v>
      </c>
      <c r="I392" s="39" t="s">
        <v>4989</v>
      </c>
      <c r="J392" s="39" t="s">
        <v>7867</v>
      </c>
      <c r="K392" s="39" t="s">
        <v>133</v>
      </c>
      <c r="L392" s="39" t="s">
        <v>4998</v>
      </c>
      <c r="M392" s="39" t="s">
        <v>4620</v>
      </c>
      <c r="N392" s="39">
        <v>9</v>
      </c>
      <c r="O392" s="39">
        <v>-3</v>
      </c>
      <c r="P392" s="39">
        <v>6</v>
      </c>
      <c r="Q392" s="39" t="s">
        <v>14</v>
      </c>
      <c r="R392" s="39">
        <v>-1.06</v>
      </c>
      <c r="S392" s="39">
        <v>-3.07</v>
      </c>
      <c r="T392" s="39">
        <v>2.34</v>
      </c>
      <c r="U392" s="39">
        <v>7.24</v>
      </c>
      <c r="V392" s="39">
        <v>19.8</v>
      </c>
      <c r="W392" s="39">
        <v>15.1</v>
      </c>
      <c r="X392" s="39">
        <v>3.91</v>
      </c>
      <c r="Y392" s="39">
        <v>67.73</v>
      </c>
      <c r="Z392" s="39">
        <v>247.93</v>
      </c>
      <c r="AA392" s="39">
        <v>256.29000000000002</v>
      </c>
      <c r="AB392" s="39">
        <v>179</v>
      </c>
      <c r="AC392" s="39">
        <v>13656.21</v>
      </c>
      <c r="AD392" s="39" t="s">
        <v>4606</v>
      </c>
      <c r="AE392" s="39" t="s">
        <v>134</v>
      </c>
      <c r="AF392" s="39">
        <v>26</v>
      </c>
      <c r="AG392" s="42">
        <v>0.15859999999999999</v>
      </c>
      <c r="AH392" s="39">
        <v>184</v>
      </c>
      <c r="AI392" s="42">
        <v>6.5100000000000005E-2</v>
      </c>
      <c r="AJ392" s="39" t="s">
        <v>5758</v>
      </c>
      <c r="AK392" s="42">
        <v>0.23649999999999999</v>
      </c>
      <c r="AL392" s="39" t="s">
        <v>5759</v>
      </c>
      <c r="AM392" s="42">
        <v>2.7400000000000001E-2</v>
      </c>
      <c r="AN392" s="42">
        <v>5.0999999999999997E-2</v>
      </c>
      <c r="AO392" s="41">
        <v>60</v>
      </c>
      <c r="AP392" s="39">
        <v>41</v>
      </c>
      <c r="AQ392" s="39">
        <v>33</v>
      </c>
      <c r="AR392" s="39">
        <v>800</v>
      </c>
      <c r="AS392" s="39">
        <v>31</v>
      </c>
      <c r="AT392" s="39" t="s">
        <v>4633</v>
      </c>
      <c r="AU392" s="39">
        <v>1</v>
      </c>
      <c r="AV392" s="39" t="s">
        <v>6582</v>
      </c>
      <c r="AW392" s="39">
        <v>612.02</v>
      </c>
      <c r="AX392" s="39">
        <v>617.13</v>
      </c>
      <c r="AY392" s="39">
        <v>622.32000000000005</v>
      </c>
      <c r="AZ392" s="39">
        <v>601.72</v>
      </c>
      <c r="BA392" s="39">
        <v>596.53</v>
      </c>
      <c r="BB392" s="39">
        <v>591.41999999999996</v>
      </c>
      <c r="BC392" s="39" t="s">
        <v>130</v>
      </c>
      <c r="BD392" s="39" t="s">
        <v>130</v>
      </c>
      <c r="BE392" s="39">
        <v>-0.28999999999999998</v>
      </c>
      <c r="BF392" s="39">
        <v>-0.15</v>
      </c>
      <c r="BG392" s="39">
        <v>7</v>
      </c>
      <c r="BH392" s="39">
        <v>6</v>
      </c>
      <c r="BI392" s="39" t="s">
        <v>131</v>
      </c>
      <c r="BJ392" s="39" t="s">
        <v>4563</v>
      </c>
    </row>
    <row r="393" spans="1:62" x14ac:dyDescent="0.35">
      <c r="A393" s="39" t="s">
        <v>864</v>
      </c>
      <c r="B393" s="39" t="str">
        <f>IFERROR(INDEX(added_new_stocks!$F$6:$H$2155,MATCH($A393,added_new_stocks!$F$6:$F$2600,0),3),"")</f>
        <v>Mid</v>
      </c>
      <c r="C393" s="39">
        <v>753.35</v>
      </c>
      <c r="D393" s="39">
        <v>74</v>
      </c>
      <c r="G393" s="39" t="s">
        <v>129</v>
      </c>
      <c r="H393" s="39" t="s">
        <v>7868</v>
      </c>
      <c r="I393" s="39" t="s">
        <v>4989</v>
      </c>
      <c r="J393" s="39" t="s">
        <v>7869</v>
      </c>
      <c r="K393" s="39" t="s">
        <v>133</v>
      </c>
      <c r="L393" s="39" t="s">
        <v>4998</v>
      </c>
      <c r="M393" s="39" t="s">
        <v>135</v>
      </c>
      <c r="N393" s="39">
        <v>25</v>
      </c>
      <c r="O393" s="39">
        <v>0</v>
      </c>
      <c r="P393" s="39">
        <v>25</v>
      </c>
      <c r="Q393" s="39" t="s">
        <v>5060</v>
      </c>
      <c r="R393" s="39">
        <v>0.01</v>
      </c>
      <c r="S393" s="39">
        <v>0.43</v>
      </c>
      <c r="T393" s="39">
        <v>-4.1500000000000004</v>
      </c>
      <c r="U393" s="39">
        <v>6.87</v>
      </c>
      <c r="V393" s="39">
        <v>12.32</v>
      </c>
      <c r="W393" s="39">
        <v>-12.48</v>
      </c>
      <c r="X393" s="39">
        <v>-8.6300000000000008</v>
      </c>
      <c r="Y393" s="39">
        <v>-34.68</v>
      </c>
      <c r="Z393" s="39" t="s">
        <v>4538</v>
      </c>
      <c r="AA393" s="39" t="s">
        <v>4538</v>
      </c>
      <c r="AB393" s="39" t="s">
        <v>4538</v>
      </c>
      <c r="AC393" s="39" t="s">
        <v>4538</v>
      </c>
      <c r="AD393" s="39" t="s">
        <v>5015</v>
      </c>
      <c r="AE393" s="39" t="s">
        <v>134</v>
      </c>
      <c r="AF393" s="39">
        <v>20</v>
      </c>
      <c r="AG393" s="42">
        <v>0.15179999999999999</v>
      </c>
      <c r="AH393" s="39">
        <v>94</v>
      </c>
      <c r="AI393" s="42">
        <v>4.8500000000000001E-2</v>
      </c>
      <c r="AL393" s="39" t="s">
        <v>7870</v>
      </c>
      <c r="AM393" s="42">
        <v>0.2296</v>
      </c>
      <c r="AN393" s="42">
        <v>8.6999999999999994E-2</v>
      </c>
      <c r="AO393" s="41">
        <v>65</v>
      </c>
      <c r="AP393" s="39">
        <v>21</v>
      </c>
      <c r="AQ393" s="39">
        <v>60</v>
      </c>
      <c r="AR393" s="39">
        <v>624</v>
      </c>
      <c r="AS393" s="39">
        <v>4</v>
      </c>
      <c r="AT393" s="39" t="s">
        <v>129</v>
      </c>
      <c r="AU393" s="39">
        <v>16</v>
      </c>
      <c r="AV393" s="39" t="s">
        <v>6583</v>
      </c>
      <c r="AW393" s="39">
        <v>615.08000000000004</v>
      </c>
      <c r="AX393" s="39">
        <v>623.77</v>
      </c>
      <c r="AY393" s="39">
        <v>629.63</v>
      </c>
      <c r="BA393" s="39">
        <v>594.66999999999996</v>
      </c>
      <c r="BB393" s="39">
        <v>585.98</v>
      </c>
      <c r="BC393" s="39">
        <v>12</v>
      </c>
      <c r="BD393" s="39">
        <v>2</v>
      </c>
      <c r="BE393" s="39">
        <v>3</v>
      </c>
      <c r="BF393" s="39" t="s">
        <v>130</v>
      </c>
      <c r="BG393" s="39">
        <v>144.5</v>
      </c>
      <c r="BH393" s="39">
        <v>0.2</v>
      </c>
      <c r="BI393" s="39" t="s">
        <v>4563</v>
      </c>
      <c r="BJ393" s="39" t="s">
        <v>132</v>
      </c>
    </row>
    <row r="394" spans="1:62" x14ac:dyDescent="0.35">
      <c r="A394" s="39" t="s">
        <v>279</v>
      </c>
      <c r="B394" s="39" t="str">
        <f>IFERROR(INDEX(added_new_stocks!$F$6:$H$2155,MATCH($A394,added_new_stocks!$F$6:$F$2600,0),3),"")</f>
        <v>Large</v>
      </c>
      <c r="C394" s="39">
        <v>900.5</v>
      </c>
      <c r="D394" s="39">
        <v>71</v>
      </c>
      <c r="G394" s="39" t="s">
        <v>129</v>
      </c>
      <c r="H394" s="39" t="s">
        <v>7871</v>
      </c>
      <c r="I394" s="39" t="s">
        <v>4624</v>
      </c>
      <c r="J394" s="39" t="s">
        <v>7872</v>
      </c>
      <c r="K394" s="39" t="s">
        <v>133</v>
      </c>
      <c r="L394" s="39" t="s">
        <v>4998</v>
      </c>
      <c r="M394" s="39" t="s">
        <v>4959</v>
      </c>
      <c r="N394" s="39">
        <v>22</v>
      </c>
      <c r="O394" s="39">
        <v>-8</v>
      </c>
      <c r="P394" s="39">
        <v>14</v>
      </c>
      <c r="Q394" s="39" t="s">
        <v>14</v>
      </c>
      <c r="R394" s="39">
        <v>1.36</v>
      </c>
      <c r="S394" s="39">
        <v>1.57</v>
      </c>
      <c r="T394" s="39">
        <v>11.95</v>
      </c>
      <c r="U394" s="39">
        <v>9.36</v>
      </c>
      <c r="V394" s="39">
        <v>34.19</v>
      </c>
      <c r="W394" s="39">
        <v>36.18</v>
      </c>
      <c r="X394" s="39">
        <v>74.2</v>
      </c>
      <c r="Y394" s="39">
        <v>221.77</v>
      </c>
      <c r="Z394" s="39">
        <v>443.21</v>
      </c>
      <c r="AA394" s="39">
        <v>538.1</v>
      </c>
      <c r="AB394" s="39">
        <v>658.19</v>
      </c>
      <c r="AC394" s="39" t="s">
        <v>4538</v>
      </c>
      <c r="AD394" s="39" t="s">
        <v>4606</v>
      </c>
      <c r="AE394" s="39">
        <v>0.04</v>
      </c>
      <c r="AF394" s="39">
        <v>30</v>
      </c>
      <c r="AG394" s="42">
        <v>2.3699999999999999E-2</v>
      </c>
      <c r="AH394" s="39">
        <v>870</v>
      </c>
      <c r="AI394" s="42">
        <v>0.2671</v>
      </c>
      <c r="AJ394" s="39" t="s">
        <v>6902</v>
      </c>
      <c r="AK394" s="42">
        <v>0.27150000000000002</v>
      </c>
      <c r="AL394" s="39" t="s">
        <v>5684</v>
      </c>
      <c r="AM394" s="42">
        <v>2.5700000000000001E-2</v>
      </c>
      <c r="AN394" s="42">
        <v>4.5199999999999997E-2</v>
      </c>
      <c r="AO394" s="41">
        <v>55</v>
      </c>
      <c r="AP394" s="39">
        <v>43</v>
      </c>
      <c r="AQ394" s="39">
        <v>47</v>
      </c>
      <c r="AR394" s="39">
        <v>881</v>
      </c>
      <c r="AS394" s="39">
        <v>17</v>
      </c>
      <c r="AT394" s="39" t="s">
        <v>129</v>
      </c>
      <c r="AU394" s="39">
        <v>11</v>
      </c>
      <c r="AV394" s="39" t="s">
        <v>6584</v>
      </c>
      <c r="AW394" s="39">
        <v>756.18</v>
      </c>
      <c r="AX394" s="39">
        <v>760.67</v>
      </c>
      <c r="AY394" s="39">
        <v>767.43</v>
      </c>
      <c r="AZ394" s="39">
        <v>744.93</v>
      </c>
      <c r="BA394" s="39">
        <v>738.17</v>
      </c>
      <c r="BB394" s="39">
        <v>733.68</v>
      </c>
      <c r="BC394" s="39">
        <v>9</v>
      </c>
      <c r="BD394" s="39">
        <v>3</v>
      </c>
      <c r="BE394" s="39">
        <v>4</v>
      </c>
      <c r="BF394" s="39" t="s">
        <v>130</v>
      </c>
      <c r="BG394" s="39">
        <v>559.70000000000005</v>
      </c>
      <c r="BH394" s="39">
        <v>0.7</v>
      </c>
      <c r="BI394" s="39" t="s">
        <v>4639</v>
      </c>
      <c r="BJ394" s="39" t="s">
        <v>4639</v>
      </c>
    </row>
    <row r="395" spans="1:62" x14ac:dyDescent="0.35">
      <c r="A395" s="39" t="s">
        <v>1722</v>
      </c>
      <c r="B395" s="39" t="str">
        <f>IFERROR(INDEX(added_new_stocks!$F$6:$H$2155,MATCH($A395,added_new_stocks!$F$6:$F$2600,0),3),"")</f>
        <v>Small</v>
      </c>
      <c r="C395" s="48">
        <v>1522.7</v>
      </c>
      <c r="D395" s="39">
        <v>77</v>
      </c>
      <c r="E395" s="39" t="s">
        <v>4987</v>
      </c>
      <c r="F395" s="39" t="s">
        <v>6931</v>
      </c>
      <c r="G395" s="39" t="s">
        <v>129</v>
      </c>
      <c r="H395" s="39" t="s">
        <v>7873</v>
      </c>
      <c r="I395" s="39" t="s">
        <v>4624</v>
      </c>
      <c r="J395" s="39" t="s">
        <v>7874</v>
      </c>
      <c r="K395" s="39" t="s">
        <v>133</v>
      </c>
      <c r="L395" s="39" t="s">
        <v>4998</v>
      </c>
      <c r="M395" s="39" t="s">
        <v>4959</v>
      </c>
      <c r="N395" s="39">
        <v>31</v>
      </c>
      <c r="O395" s="39">
        <v>-3</v>
      </c>
      <c r="P395" s="39">
        <v>28</v>
      </c>
      <c r="Q395" s="39" t="s">
        <v>5060</v>
      </c>
      <c r="R395" s="39">
        <v>0.21</v>
      </c>
      <c r="S395" s="39">
        <v>2.5</v>
      </c>
      <c r="T395" s="39">
        <v>22.93</v>
      </c>
      <c r="U395" s="39">
        <v>45.71</v>
      </c>
      <c r="V395" s="39">
        <v>110.26</v>
      </c>
      <c r="W395" s="39">
        <v>113.08</v>
      </c>
      <c r="X395" s="39">
        <v>274.22000000000003</v>
      </c>
      <c r="Y395" s="39" t="s">
        <v>4538</v>
      </c>
      <c r="Z395" s="39" t="s">
        <v>4538</v>
      </c>
      <c r="AA395" s="39" t="s">
        <v>4538</v>
      </c>
      <c r="AB395" s="39" t="s">
        <v>4538</v>
      </c>
      <c r="AC395" s="39" t="s">
        <v>4538</v>
      </c>
      <c r="AD395" s="39" t="s">
        <v>4606</v>
      </c>
      <c r="AE395" s="39" t="s">
        <v>134</v>
      </c>
      <c r="AF395" s="39">
        <v>1</v>
      </c>
      <c r="AG395" s="42">
        <v>4.2299999999999997E-2</v>
      </c>
      <c r="AH395" s="39">
        <v>16</v>
      </c>
      <c r="AI395" s="42">
        <v>6.4899999999999999E-2</v>
      </c>
      <c r="AJ395" s="39" t="s">
        <v>7875</v>
      </c>
      <c r="AK395" s="42">
        <v>0.17230000000000001</v>
      </c>
      <c r="AL395" s="39" t="s">
        <v>7876</v>
      </c>
      <c r="AM395" s="42">
        <v>5.5800000000000002E-2</v>
      </c>
      <c r="AN395" s="42">
        <v>0.2918</v>
      </c>
      <c r="AO395" s="41">
        <v>70</v>
      </c>
      <c r="AP395" s="39">
        <v>14</v>
      </c>
      <c r="AQ395" s="39">
        <v>69</v>
      </c>
      <c r="AR395" s="39">
        <v>898</v>
      </c>
      <c r="AS395" s="39">
        <v>0</v>
      </c>
      <c r="AT395" s="39" t="s">
        <v>129</v>
      </c>
      <c r="AU395" s="39">
        <v>16</v>
      </c>
      <c r="AV395" s="39" t="s">
        <v>6585</v>
      </c>
      <c r="AX395" s="39">
        <v>904.95</v>
      </c>
      <c r="AY395" s="39">
        <v>915.9</v>
      </c>
      <c r="AZ395" s="39">
        <v>896.95</v>
      </c>
      <c r="BA395" s="39">
        <v>867.05</v>
      </c>
      <c r="BB395" s="39">
        <v>859.05</v>
      </c>
      <c r="BC395" s="39">
        <v>16</v>
      </c>
      <c r="BD395" s="39">
        <v>4</v>
      </c>
      <c r="BE395" s="39">
        <v>5</v>
      </c>
      <c r="BF395" s="39" t="s">
        <v>130</v>
      </c>
      <c r="BG395" s="39">
        <v>114.3</v>
      </c>
      <c r="BH395" s="39">
        <v>0.1</v>
      </c>
      <c r="BI395" s="39" t="s">
        <v>4639</v>
      </c>
      <c r="BJ395" s="39" t="s">
        <v>4639</v>
      </c>
    </row>
    <row r="396" spans="1:62" x14ac:dyDescent="0.35">
      <c r="A396" s="39" t="s">
        <v>1281</v>
      </c>
      <c r="B396" s="39" t="str">
        <f>IFERROR(INDEX(added_new_stocks!$F$6:$H$2155,MATCH($A396,added_new_stocks!$F$6:$F$2600,0),3),"")</f>
        <v>Small</v>
      </c>
      <c r="C396" s="48">
        <v>3391.65</v>
      </c>
      <c r="D396" s="39">
        <v>70</v>
      </c>
      <c r="G396" s="39" t="s">
        <v>129</v>
      </c>
      <c r="H396" s="39" t="s">
        <v>7877</v>
      </c>
      <c r="I396" s="39" t="s">
        <v>4624</v>
      </c>
      <c r="J396" s="39" t="s">
        <v>7878</v>
      </c>
      <c r="K396" s="39" t="s">
        <v>4615</v>
      </c>
      <c r="L396" s="39" t="s">
        <v>7879</v>
      </c>
      <c r="M396" s="39" t="s">
        <v>4959</v>
      </c>
      <c r="N396" s="39">
        <v>23</v>
      </c>
      <c r="O396" s="39">
        <v>0</v>
      </c>
      <c r="P396" s="39">
        <v>23</v>
      </c>
      <c r="Q396" s="39" t="s">
        <v>5060</v>
      </c>
      <c r="R396" s="39">
        <v>-3</v>
      </c>
      <c r="S396" s="39">
        <v>-5.67</v>
      </c>
      <c r="T396" s="39">
        <v>0.02</v>
      </c>
      <c r="U396" s="39">
        <v>44.55</v>
      </c>
      <c r="V396" s="39">
        <v>110.47</v>
      </c>
      <c r="W396" s="39">
        <v>109.96</v>
      </c>
      <c r="X396" s="39">
        <v>134.97999999999999</v>
      </c>
      <c r="Y396" s="39">
        <v>180.6</v>
      </c>
      <c r="Z396" s="39">
        <v>247.74</v>
      </c>
      <c r="AA396" s="39">
        <v>247.88</v>
      </c>
      <c r="AB396" s="39">
        <v>184.98</v>
      </c>
      <c r="AC396" s="39">
        <v>862.17</v>
      </c>
      <c r="AD396" s="39" t="s">
        <v>4606</v>
      </c>
      <c r="AE396" s="39" t="s">
        <v>134</v>
      </c>
      <c r="AF396" s="39">
        <v>6</v>
      </c>
      <c r="AG396" s="42">
        <v>0.23100000000000001</v>
      </c>
      <c r="AH396" s="39">
        <v>49</v>
      </c>
      <c r="AI396" s="42">
        <v>7.7000000000000002E-3</v>
      </c>
      <c r="AJ396" s="39" t="s">
        <v>7880</v>
      </c>
      <c r="AK396" s="42">
        <v>0.55569999999999997</v>
      </c>
      <c r="AL396" s="39" t="s">
        <v>5573</v>
      </c>
      <c r="AM396" s="42">
        <v>9.5799999999999996E-2</v>
      </c>
      <c r="AN396" s="42">
        <v>0.1542</v>
      </c>
      <c r="AO396" s="41">
        <v>60</v>
      </c>
      <c r="AP396" s="39">
        <v>15</v>
      </c>
      <c r="AQ396" s="39">
        <v>73</v>
      </c>
      <c r="AR396" s="45">
        <v>1659</v>
      </c>
      <c r="AS396" s="39">
        <v>9</v>
      </c>
      <c r="AT396" s="39" t="s">
        <v>4633</v>
      </c>
      <c r="AU396" s="39">
        <v>3</v>
      </c>
      <c r="AV396" s="39" t="s">
        <v>6586</v>
      </c>
      <c r="AX396" s="39">
        <v>1527.97</v>
      </c>
      <c r="AY396" s="39">
        <v>1534.93</v>
      </c>
      <c r="AZ396" s="39">
        <v>1523.93</v>
      </c>
      <c r="BA396" s="39">
        <v>1505.97</v>
      </c>
      <c r="BB396" s="39">
        <v>1501.93</v>
      </c>
      <c r="BC396" s="39">
        <v>16</v>
      </c>
      <c r="BD396" s="39">
        <v>4</v>
      </c>
      <c r="BE396" s="39">
        <v>6</v>
      </c>
      <c r="BF396" s="39" t="s">
        <v>130</v>
      </c>
      <c r="BG396" s="39">
        <v>304</v>
      </c>
      <c r="BH396" s="39">
        <v>0.2</v>
      </c>
      <c r="BI396" s="39" t="s">
        <v>4563</v>
      </c>
      <c r="BJ396" s="39" t="s">
        <v>132</v>
      </c>
    </row>
    <row r="397" spans="1:62" x14ac:dyDescent="0.35">
      <c r="A397" s="39" t="s">
        <v>758</v>
      </c>
      <c r="B397" s="39" t="str">
        <f>IFERROR(INDEX(added_new_stocks!$F$6:$H$2155,MATCH($A397,added_new_stocks!$F$6:$F$2600,0),3),"")</f>
        <v>Mid</v>
      </c>
      <c r="C397" s="39">
        <v>317</v>
      </c>
      <c r="D397" s="39">
        <v>65</v>
      </c>
      <c r="G397" s="39" t="s">
        <v>4562</v>
      </c>
      <c r="H397" s="39" t="s">
        <v>5765</v>
      </c>
      <c r="I397" s="39" t="s">
        <v>4624</v>
      </c>
      <c r="J397" s="39" t="s">
        <v>5766</v>
      </c>
      <c r="K397" s="39" t="s">
        <v>133</v>
      </c>
      <c r="L397" s="39" t="s">
        <v>5767</v>
      </c>
      <c r="M397" s="39" t="s">
        <v>4959</v>
      </c>
      <c r="N397" s="39">
        <v>11</v>
      </c>
      <c r="O397" s="39">
        <v>-6</v>
      </c>
      <c r="P397" s="39">
        <v>5</v>
      </c>
      <c r="Q397" s="39" t="s">
        <v>4611</v>
      </c>
      <c r="R397" s="39">
        <v>1.36</v>
      </c>
      <c r="S397" s="39">
        <v>1.91</v>
      </c>
      <c r="T397" s="39">
        <v>10.74</v>
      </c>
      <c r="U397" s="39">
        <v>26.93</v>
      </c>
      <c r="V397" s="39">
        <v>28.84</v>
      </c>
      <c r="W397" s="39">
        <v>21.39</v>
      </c>
      <c r="X397" s="39">
        <v>39.56</v>
      </c>
      <c r="Y397" s="39">
        <v>31.15</v>
      </c>
      <c r="Z397" s="39">
        <v>80.88</v>
      </c>
      <c r="AA397" s="39">
        <v>36.43</v>
      </c>
      <c r="AB397" s="39">
        <v>41.68</v>
      </c>
      <c r="AC397" s="39">
        <v>758.75</v>
      </c>
      <c r="AD397" s="39" t="s">
        <v>4606</v>
      </c>
      <c r="AE397" s="39" t="s">
        <v>134</v>
      </c>
      <c r="AF397" s="39">
        <v>10</v>
      </c>
      <c r="AG397" s="42">
        <v>0.18809999999999999</v>
      </c>
      <c r="AH397" s="39">
        <v>93</v>
      </c>
      <c r="AI397" s="42">
        <v>0.1283</v>
      </c>
      <c r="AJ397" s="39" t="s">
        <v>5768</v>
      </c>
      <c r="AK397" s="42">
        <v>0.1993</v>
      </c>
      <c r="AL397" s="39" t="s">
        <v>5000</v>
      </c>
      <c r="AM397" s="42">
        <v>9.2399999999999996E-2</v>
      </c>
      <c r="AN397" s="42">
        <v>0.10580000000000001</v>
      </c>
      <c r="AO397" s="41">
        <v>80</v>
      </c>
      <c r="AP397" s="39">
        <v>24</v>
      </c>
      <c r="AQ397" s="39">
        <v>69</v>
      </c>
      <c r="AR397" s="45">
        <v>2780</v>
      </c>
      <c r="AS397" s="39">
        <v>-18</v>
      </c>
      <c r="AT397" s="39" t="s">
        <v>4633</v>
      </c>
      <c r="AU397" s="39">
        <v>1</v>
      </c>
      <c r="AV397" s="39" t="s">
        <v>6587</v>
      </c>
      <c r="AW397" s="39">
        <v>3532.33</v>
      </c>
      <c r="AX397" s="39">
        <v>3567.92</v>
      </c>
      <c r="AY397" s="39">
        <v>3595.83</v>
      </c>
      <c r="BC397" s="39">
        <v>18</v>
      </c>
      <c r="BD397" s="39">
        <v>3</v>
      </c>
      <c r="BE397" s="39">
        <v>3</v>
      </c>
      <c r="BF397" s="39" t="s">
        <v>130</v>
      </c>
      <c r="BG397" s="39">
        <v>931.7</v>
      </c>
      <c r="BH397" s="39">
        <v>0.3</v>
      </c>
      <c r="BI397" s="39" t="s">
        <v>131</v>
      </c>
      <c r="BJ397" s="39" t="s">
        <v>132</v>
      </c>
    </row>
    <row r="398" spans="1:62" x14ac:dyDescent="0.35">
      <c r="A398" s="39" t="s">
        <v>1180</v>
      </c>
      <c r="B398" s="39" t="str">
        <f>IFERROR(INDEX(added_new_stocks!$F$6:$H$2155,MATCH($A398,added_new_stocks!$F$6:$F$2600,0),3),"")</f>
        <v>Small</v>
      </c>
      <c r="C398" s="39">
        <v>512.1</v>
      </c>
      <c r="D398" s="39">
        <v>65</v>
      </c>
      <c r="G398" s="39" t="s">
        <v>4562</v>
      </c>
      <c r="H398" s="39" t="s">
        <v>7881</v>
      </c>
      <c r="I398" s="39" t="s">
        <v>4624</v>
      </c>
      <c r="J398" s="39" t="s">
        <v>7882</v>
      </c>
      <c r="K398" s="39" t="s">
        <v>133</v>
      </c>
      <c r="L398" s="39" t="s">
        <v>4998</v>
      </c>
      <c r="M398" s="39" t="s">
        <v>4959</v>
      </c>
      <c r="N398" s="39">
        <v>4</v>
      </c>
      <c r="O398" s="39">
        <v>-2</v>
      </c>
      <c r="P398" s="39">
        <v>2</v>
      </c>
      <c r="Q398" s="39" t="s">
        <v>4611</v>
      </c>
      <c r="R398" s="39">
        <v>2.81</v>
      </c>
      <c r="S398" s="39">
        <v>4.99</v>
      </c>
      <c r="T398" s="39">
        <v>12.7</v>
      </c>
      <c r="U398" s="39">
        <v>32.86</v>
      </c>
      <c r="V398" s="39">
        <v>28.49</v>
      </c>
      <c r="W398" s="39">
        <v>17.149999999999999</v>
      </c>
      <c r="X398" s="39">
        <v>43.93</v>
      </c>
      <c r="Y398" s="39" t="s">
        <v>4538</v>
      </c>
      <c r="Z398" s="39" t="s">
        <v>4538</v>
      </c>
      <c r="AA398" s="39" t="s">
        <v>4538</v>
      </c>
      <c r="AB398" s="39" t="s">
        <v>4538</v>
      </c>
      <c r="AC398" s="39" t="s">
        <v>4538</v>
      </c>
      <c r="AD398" s="39" t="s">
        <v>4606</v>
      </c>
      <c r="AE398" s="39" t="s">
        <v>134</v>
      </c>
      <c r="AF398" s="39">
        <v>12</v>
      </c>
      <c r="AG398" s="42">
        <v>0.18390000000000001</v>
      </c>
      <c r="AH398" s="39">
        <v>64</v>
      </c>
      <c r="AI398" s="42">
        <v>0.20269999999999999</v>
      </c>
      <c r="AJ398" s="39" t="s">
        <v>7883</v>
      </c>
      <c r="AK398" s="42">
        <v>0.33019999999999999</v>
      </c>
      <c r="AL398" s="39" t="s">
        <v>7884</v>
      </c>
      <c r="AM398" s="42">
        <v>7.0499999999999993E-2</v>
      </c>
      <c r="AN398" s="42">
        <v>5.0299999999999997E-2</v>
      </c>
      <c r="AO398" s="41">
        <v>35</v>
      </c>
      <c r="AP398" s="39">
        <v>18</v>
      </c>
      <c r="AQ398" s="39">
        <v>67</v>
      </c>
      <c r="AR398" s="39">
        <v>316</v>
      </c>
      <c r="AS398" s="39">
        <v>0</v>
      </c>
      <c r="AT398" s="39" t="s">
        <v>4562</v>
      </c>
      <c r="AU398" s="39">
        <v>20</v>
      </c>
      <c r="AV398" s="39" t="s">
        <v>6588</v>
      </c>
      <c r="AW398" s="39">
        <v>315.2</v>
      </c>
      <c r="AX398" s="39">
        <v>317.35000000000002</v>
      </c>
      <c r="AY398" s="39">
        <v>320.10000000000002</v>
      </c>
      <c r="AZ398" s="39">
        <v>310.3</v>
      </c>
      <c r="BA398" s="39">
        <v>307.55</v>
      </c>
      <c r="BB398" s="39">
        <v>305.39999999999998</v>
      </c>
      <c r="BC398" s="39">
        <v>9</v>
      </c>
      <c r="BD398" s="39">
        <v>5</v>
      </c>
      <c r="BE398" s="39">
        <v>5</v>
      </c>
      <c r="BF398" s="39" t="s">
        <v>130</v>
      </c>
      <c r="BG398" s="39">
        <v>62</v>
      </c>
      <c r="BH398" s="39">
        <v>0.2</v>
      </c>
      <c r="BI398" s="39" t="s">
        <v>4563</v>
      </c>
      <c r="BJ398" s="39" t="s">
        <v>132</v>
      </c>
    </row>
    <row r="399" spans="1:62" x14ac:dyDescent="0.35">
      <c r="A399" s="39" t="s">
        <v>599</v>
      </c>
      <c r="B399" s="39" t="str">
        <f>IFERROR(INDEX(added_new_stocks!$F$6:$H$2155,MATCH($A399,added_new_stocks!$F$6:$F$2600,0),3),"")</f>
        <v>Mid</v>
      </c>
      <c r="C399" s="48">
        <v>1844.35</v>
      </c>
      <c r="D399" s="39">
        <v>28</v>
      </c>
      <c r="G399" s="39" t="s">
        <v>4963</v>
      </c>
      <c r="H399" s="39" t="s">
        <v>7885</v>
      </c>
      <c r="I399" s="39" t="s">
        <v>4976</v>
      </c>
      <c r="J399" s="39" t="s">
        <v>7886</v>
      </c>
      <c r="K399" s="39" t="s">
        <v>133</v>
      </c>
      <c r="L399" s="39" t="s">
        <v>7887</v>
      </c>
      <c r="M399" s="39" t="s">
        <v>4959</v>
      </c>
      <c r="N399" s="39">
        <v>4</v>
      </c>
      <c r="O399" s="39">
        <v>-13</v>
      </c>
      <c r="P399" s="39">
        <v>-9</v>
      </c>
      <c r="Q399" s="39" t="s">
        <v>4605</v>
      </c>
      <c r="R399" s="39">
        <v>1.4</v>
      </c>
      <c r="S399" s="39">
        <v>2.86</v>
      </c>
      <c r="T399" s="39">
        <v>1.84</v>
      </c>
      <c r="U399" s="39">
        <v>1.4</v>
      </c>
      <c r="V399" s="39">
        <v>-0.85</v>
      </c>
      <c r="W399" s="39">
        <v>-7.39</v>
      </c>
      <c r="X399" s="39">
        <v>-16.2</v>
      </c>
      <c r="Y399" s="39">
        <v>2.86</v>
      </c>
      <c r="Z399" s="39">
        <v>71.739999999999995</v>
      </c>
      <c r="AA399" s="39">
        <v>73.84</v>
      </c>
      <c r="AB399" s="39">
        <v>160.26</v>
      </c>
      <c r="AC399" s="39">
        <v>4239.6499999999996</v>
      </c>
      <c r="AD399" s="39" t="s">
        <v>4606</v>
      </c>
      <c r="AE399" s="39">
        <v>0.66</v>
      </c>
      <c r="AF399" s="39">
        <v>23</v>
      </c>
      <c r="AG399" s="42">
        <v>7.9699999999999993E-2</v>
      </c>
      <c r="AH399" s="39">
        <v>97</v>
      </c>
      <c r="AI399" s="42">
        <v>4.4699999999999997E-2</v>
      </c>
      <c r="AJ399" s="39" t="s">
        <v>7888</v>
      </c>
      <c r="AK399" s="42">
        <v>0.4627</v>
      </c>
      <c r="AL399" s="39" t="s">
        <v>7065</v>
      </c>
      <c r="AM399" s="42">
        <v>3.2399999999999998E-2</v>
      </c>
      <c r="AN399" s="42">
        <v>0.10970000000000001</v>
      </c>
      <c r="AO399" s="41">
        <v>45</v>
      </c>
      <c r="AP399" s="39">
        <v>15</v>
      </c>
      <c r="AQ399" s="39">
        <v>65</v>
      </c>
      <c r="AR399" s="39">
        <v>516</v>
      </c>
      <c r="AS399" s="39">
        <v>2</v>
      </c>
      <c r="AT399" s="39" t="s">
        <v>129</v>
      </c>
      <c r="AU399" s="39">
        <v>4</v>
      </c>
      <c r="AV399" s="39" t="s">
        <v>6589</v>
      </c>
      <c r="AX399" s="39">
        <v>510.2</v>
      </c>
      <c r="AY399" s="39">
        <v>516.45000000000005</v>
      </c>
      <c r="AZ399" s="39">
        <v>504.5</v>
      </c>
      <c r="BA399" s="39">
        <v>486.3</v>
      </c>
      <c r="BB399" s="39">
        <v>480.6</v>
      </c>
      <c r="BC399" s="39">
        <v>6</v>
      </c>
      <c r="BD399" s="39">
        <v>2</v>
      </c>
      <c r="BE399" s="39">
        <v>5</v>
      </c>
      <c r="BF399" s="39" t="s">
        <v>130</v>
      </c>
      <c r="BG399" s="39">
        <v>104.9</v>
      </c>
      <c r="BH399" s="39">
        <v>0.2</v>
      </c>
      <c r="BI399" s="39" t="s">
        <v>4563</v>
      </c>
      <c r="BJ399" s="39" t="s">
        <v>132</v>
      </c>
    </row>
    <row r="400" spans="1:62" x14ac:dyDescent="0.35">
      <c r="A400" s="39" t="s">
        <v>1511</v>
      </c>
      <c r="B400" s="39" t="str">
        <f>IFERROR(INDEX(added_new_stocks!$F$6:$H$2155,MATCH($A400,added_new_stocks!$F$6:$F$2600,0),3),"")</f>
        <v>Small</v>
      </c>
      <c r="C400" s="48">
        <v>2170</v>
      </c>
      <c r="D400" s="39">
        <v>63</v>
      </c>
      <c r="G400" s="39" t="s">
        <v>4562</v>
      </c>
      <c r="H400" s="39" t="s">
        <v>7892</v>
      </c>
      <c r="I400" s="39" t="s">
        <v>4624</v>
      </c>
      <c r="J400" s="39" t="s">
        <v>7889</v>
      </c>
      <c r="K400" s="39" t="s">
        <v>4603</v>
      </c>
      <c r="L400" s="39" t="s">
        <v>7893</v>
      </c>
      <c r="M400" s="39" t="s">
        <v>5047</v>
      </c>
      <c r="N400" s="39">
        <v>32</v>
      </c>
      <c r="O400" s="39">
        <v>-5</v>
      </c>
      <c r="P400" s="39">
        <v>27</v>
      </c>
      <c r="Q400" s="39" t="s">
        <v>5060</v>
      </c>
      <c r="R400" s="39">
        <v>-0.42</v>
      </c>
      <c r="S400" s="39">
        <v>8.19</v>
      </c>
      <c r="T400" s="39">
        <v>5.65</v>
      </c>
      <c r="U400" s="39">
        <v>9.32</v>
      </c>
      <c r="V400" s="39">
        <v>40.130000000000003</v>
      </c>
      <c r="W400" s="39">
        <v>35.32</v>
      </c>
      <c r="X400" s="39">
        <v>63.95</v>
      </c>
      <c r="Y400" s="39">
        <v>92.95</v>
      </c>
      <c r="Z400" s="39">
        <v>147.5</v>
      </c>
      <c r="AA400" s="39">
        <v>168.5</v>
      </c>
      <c r="AB400" s="39">
        <v>43.58</v>
      </c>
      <c r="AC400" s="39">
        <v>1299.55</v>
      </c>
      <c r="AD400" s="39" t="s">
        <v>5015</v>
      </c>
      <c r="AE400" s="39" t="s">
        <v>134</v>
      </c>
      <c r="AF400" s="39">
        <v>3</v>
      </c>
      <c r="AG400" s="42">
        <v>8.6599999999999996E-2</v>
      </c>
      <c r="AH400" s="39">
        <v>44</v>
      </c>
      <c r="AI400" s="42">
        <v>1.52E-2</v>
      </c>
      <c r="AJ400" s="39" t="s">
        <v>7890</v>
      </c>
      <c r="AK400" s="42">
        <v>0.29149999999999998</v>
      </c>
      <c r="AL400" s="39" t="s">
        <v>7891</v>
      </c>
      <c r="AM400" s="42">
        <v>9.8199999999999996E-2</v>
      </c>
      <c r="AN400" s="42">
        <v>0.2102</v>
      </c>
      <c r="AO400" s="41">
        <v>70</v>
      </c>
      <c r="AP400" s="39">
        <v>20</v>
      </c>
      <c r="AQ400" s="39">
        <v>35</v>
      </c>
      <c r="AR400" s="45">
        <v>1880</v>
      </c>
      <c r="AS400" s="39">
        <v>2</v>
      </c>
      <c r="AT400" s="39" t="s">
        <v>4562</v>
      </c>
      <c r="AU400" s="39">
        <v>13</v>
      </c>
      <c r="AV400" s="39" t="s">
        <v>6590</v>
      </c>
      <c r="AX400" s="39">
        <v>1853.5</v>
      </c>
      <c r="AY400" s="39">
        <v>1878</v>
      </c>
      <c r="AZ400" s="39">
        <v>1836</v>
      </c>
      <c r="BA400" s="39">
        <v>1769.5</v>
      </c>
      <c r="BB400" s="39">
        <v>1752</v>
      </c>
      <c r="BC400" s="39">
        <v>6</v>
      </c>
      <c r="BD400" s="39">
        <v>7</v>
      </c>
      <c r="BE400" s="39">
        <v>4</v>
      </c>
      <c r="BF400" s="39" t="s">
        <v>130</v>
      </c>
      <c r="BG400" s="39">
        <v>455.9</v>
      </c>
      <c r="BH400" s="39">
        <v>0.2</v>
      </c>
      <c r="BI400" s="39" t="s">
        <v>4565</v>
      </c>
      <c r="BJ400" s="39" t="s">
        <v>132</v>
      </c>
    </row>
    <row r="401" spans="1:62" x14ac:dyDescent="0.35">
      <c r="A401" s="39" t="s">
        <v>872</v>
      </c>
      <c r="B401" s="39" t="str">
        <f>IFERROR(INDEX(added_new_stocks!$F$6:$H$2155,MATCH($A401,added_new_stocks!$F$6:$F$2600,0),3),"")</f>
        <v>Mid</v>
      </c>
      <c r="C401" s="39">
        <v>664.25</v>
      </c>
      <c r="D401" s="39">
        <v>44</v>
      </c>
      <c r="G401" s="39" t="s">
        <v>4625</v>
      </c>
      <c r="H401" s="39" t="s">
        <v>7894</v>
      </c>
      <c r="I401" s="39" t="s">
        <v>4996</v>
      </c>
      <c r="J401" s="39" t="s">
        <v>7895</v>
      </c>
      <c r="K401" s="39" t="s">
        <v>133</v>
      </c>
      <c r="L401" s="39" t="s">
        <v>5776</v>
      </c>
      <c r="M401" s="39" t="s">
        <v>135</v>
      </c>
      <c r="N401" s="39">
        <v>6</v>
      </c>
      <c r="O401" s="39">
        <v>-21</v>
      </c>
      <c r="P401" s="39">
        <v>-15</v>
      </c>
      <c r="Q401" s="39" t="s">
        <v>4605</v>
      </c>
      <c r="R401" s="39">
        <v>-0.57999999999999996</v>
      </c>
      <c r="S401" s="39">
        <v>-4.29</v>
      </c>
      <c r="T401" s="39">
        <v>10.63</v>
      </c>
      <c r="U401" s="39">
        <v>9.3800000000000008</v>
      </c>
      <c r="V401" s="39">
        <v>8.0299999999999994</v>
      </c>
      <c r="W401" s="39">
        <v>-0.54</v>
      </c>
      <c r="X401" s="39">
        <v>11.9</v>
      </c>
      <c r="Y401" s="39">
        <v>42.59</v>
      </c>
      <c r="Z401" s="39">
        <v>135.05000000000001</v>
      </c>
      <c r="AA401" s="39">
        <v>52.25</v>
      </c>
      <c r="AB401" s="39">
        <v>6.29</v>
      </c>
      <c r="AC401" s="39">
        <v>1342.45</v>
      </c>
      <c r="AD401" s="39" t="s">
        <v>4606</v>
      </c>
      <c r="AE401" s="39" t="s">
        <v>134</v>
      </c>
      <c r="AF401" s="39">
        <v>19</v>
      </c>
      <c r="AG401" s="42">
        <v>0.14149999999999999</v>
      </c>
      <c r="AH401" s="39">
        <v>116</v>
      </c>
      <c r="AI401" s="42">
        <v>8.9499999999999996E-2</v>
      </c>
      <c r="AJ401" s="39" t="s">
        <v>5777</v>
      </c>
      <c r="AK401" s="42">
        <v>0.25850000000000001</v>
      </c>
      <c r="AL401" s="39" t="s">
        <v>5778</v>
      </c>
      <c r="AM401" s="42">
        <v>2.6700000000000002E-2</v>
      </c>
      <c r="AN401" s="42">
        <v>0.13420000000000001</v>
      </c>
      <c r="AO401" s="41">
        <v>55</v>
      </c>
      <c r="AP401" s="39">
        <v>62</v>
      </c>
      <c r="AQ401" s="39">
        <v>70</v>
      </c>
      <c r="AS401" s="39" t="s">
        <v>4564</v>
      </c>
      <c r="AW401" s="39">
        <v>2255.65</v>
      </c>
      <c r="AX401" s="39">
        <v>2337.15</v>
      </c>
      <c r="AY401" s="39">
        <v>2404.3000000000002</v>
      </c>
      <c r="AZ401" s="39">
        <v>2107</v>
      </c>
      <c r="BA401" s="39">
        <v>2039.85</v>
      </c>
      <c r="BB401" s="39">
        <v>1958.35</v>
      </c>
      <c r="BC401" s="39">
        <v>6</v>
      </c>
      <c r="BD401" s="39">
        <v>2</v>
      </c>
      <c r="BE401" s="39" t="s">
        <v>130</v>
      </c>
      <c r="BF401" s="39">
        <v>1.7</v>
      </c>
      <c r="BG401" s="39">
        <v>8</v>
      </c>
      <c r="BH401" s="48">
        <v>3245.9</v>
      </c>
      <c r="BI401" s="39" t="s">
        <v>4651</v>
      </c>
      <c r="BJ401" s="39" t="s">
        <v>4651</v>
      </c>
    </row>
    <row r="402" spans="1:62" x14ac:dyDescent="0.35">
      <c r="A402" s="39" t="s">
        <v>1153</v>
      </c>
      <c r="B402" s="39" t="str">
        <f>IFERROR(INDEX(added_new_stocks!$F$6:$H$2155,MATCH($A402,added_new_stocks!$F$6:$F$2600,0),3),"")</f>
        <v>Small</v>
      </c>
      <c r="C402" s="48">
        <v>2216.15</v>
      </c>
      <c r="D402" s="39">
        <v>41</v>
      </c>
      <c r="G402" s="39" t="s">
        <v>4625</v>
      </c>
      <c r="H402" s="39" t="s">
        <v>7896</v>
      </c>
      <c r="I402" s="39" t="s">
        <v>4976</v>
      </c>
      <c r="J402" s="39" t="s">
        <v>7897</v>
      </c>
      <c r="K402" s="39" t="s">
        <v>133</v>
      </c>
      <c r="L402" s="39" t="s">
        <v>7898</v>
      </c>
      <c r="M402" s="39" t="s">
        <v>5047</v>
      </c>
      <c r="N402" s="39">
        <v>2</v>
      </c>
      <c r="O402" s="39">
        <v>-8</v>
      </c>
      <c r="P402" s="39">
        <v>-6</v>
      </c>
      <c r="Q402" s="39" t="s">
        <v>4605</v>
      </c>
      <c r="R402" s="39">
        <v>1.97</v>
      </c>
      <c r="S402" s="39">
        <v>1.05</v>
      </c>
      <c r="T402" s="39">
        <v>-2.78</v>
      </c>
      <c r="U402" s="39">
        <v>8.92</v>
      </c>
      <c r="V402" s="39">
        <v>-7.54</v>
      </c>
      <c r="W402" s="39">
        <v>-22.2</v>
      </c>
      <c r="X402" s="39">
        <v>-24.2</v>
      </c>
      <c r="Y402" s="39">
        <v>-38.35</v>
      </c>
      <c r="Z402" s="39">
        <v>16.07</v>
      </c>
      <c r="AA402" s="39">
        <v>10.67</v>
      </c>
      <c r="AB402" s="39">
        <v>-30.2</v>
      </c>
      <c r="AC402" s="39">
        <v>1054.24</v>
      </c>
      <c r="AD402" s="39" t="s">
        <v>4606</v>
      </c>
      <c r="AE402" s="39" t="s">
        <v>134</v>
      </c>
      <c r="AF402" s="39">
        <v>14</v>
      </c>
      <c r="AG402" s="42">
        <v>0.2858</v>
      </c>
      <c r="AH402" s="39">
        <v>79</v>
      </c>
      <c r="AI402" s="42">
        <v>0.1482</v>
      </c>
      <c r="AJ402" s="39" t="s">
        <v>7899</v>
      </c>
      <c r="AK402" s="42">
        <v>0.37880000000000003</v>
      </c>
      <c r="AL402" s="39" t="s">
        <v>5078</v>
      </c>
      <c r="AM402" s="42">
        <v>9.2899999999999996E-2</v>
      </c>
      <c r="AN402" s="42">
        <v>7.5800000000000006E-2</v>
      </c>
      <c r="AO402" s="41">
        <v>60</v>
      </c>
      <c r="AP402" s="39">
        <v>14</v>
      </c>
      <c r="AQ402" s="39">
        <v>49</v>
      </c>
      <c r="AR402" s="39">
        <v>711</v>
      </c>
      <c r="AS402" s="39">
        <v>7</v>
      </c>
      <c r="AT402" s="39" t="s">
        <v>129</v>
      </c>
      <c r="AU402" s="39">
        <v>9</v>
      </c>
      <c r="AV402" s="39" t="s">
        <v>6591</v>
      </c>
      <c r="AW402" s="39">
        <v>678.5</v>
      </c>
      <c r="AX402" s="39">
        <v>692.05</v>
      </c>
      <c r="AY402" s="39">
        <v>699.8</v>
      </c>
      <c r="AZ402" s="39">
        <v>657.2</v>
      </c>
      <c r="BA402" s="39">
        <v>649.45000000000005</v>
      </c>
      <c r="BB402" s="39">
        <v>635.9</v>
      </c>
      <c r="BC402" s="39">
        <v>10</v>
      </c>
      <c r="BD402" s="39">
        <v>4</v>
      </c>
      <c r="BE402" s="39">
        <v>2</v>
      </c>
      <c r="BF402" s="39">
        <v>1</v>
      </c>
      <c r="BG402" s="39">
        <v>100.7</v>
      </c>
      <c r="BH402" s="39">
        <v>0.2</v>
      </c>
      <c r="BI402" s="39" t="s">
        <v>4563</v>
      </c>
      <c r="BJ402" s="39" t="s">
        <v>132</v>
      </c>
    </row>
    <row r="403" spans="1:62" x14ac:dyDescent="0.35">
      <c r="A403" s="39" t="s">
        <v>1359</v>
      </c>
      <c r="B403" s="39" t="str">
        <f>IFERROR(INDEX(added_new_stocks!$F$6:$H$2155,MATCH($A403,added_new_stocks!$F$6:$F$2600,0),3),"")</f>
        <v>Small</v>
      </c>
      <c r="C403" s="48">
        <v>5802</v>
      </c>
      <c r="D403" s="39">
        <v>72</v>
      </c>
      <c r="G403" s="39" t="s">
        <v>129</v>
      </c>
      <c r="H403" s="39" t="s">
        <v>7900</v>
      </c>
      <c r="I403" s="39" t="s">
        <v>4624</v>
      </c>
      <c r="J403" s="39" t="s">
        <v>7901</v>
      </c>
      <c r="K403" s="39" t="s">
        <v>133</v>
      </c>
      <c r="L403" s="39" t="s">
        <v>7902</v>
      </c>
      <c r="M403" s="39" t="s">
        <v>4620</v>
      </c>
      <c r="N403" s="39">
        <v>16</v>
      </c>
      <c r="O403" s="39">
        <v>-1</v>
      </c>
      <c r="P403" s="39">
        <v>15</v>
      </c>
      <c r="Q403" s="39" t="s">
        <v>14</v>
      </c>
      <c r="R403" s="39">
        <v>3.79</v>
      </c>
      <c r="S403" s="39">
        <v>2.11</v>
      </c>
      <c r="T403" s="39">
        <v>25.11</v>
      </c>
      <c r="U403" s="39">
        <v>38.950000000000003</v>
      </c>
      <c r="V403" s="39">
        <v>109.42</v>
      </c>
      <c r="W403" s="39">
        <v>109.59</v>
      </c>
      <c r="X403" s="39">
        <v>108.82</v>
      </c>
      <c r="Y403" s="39">
        <v>305.33999999999997</v>
      </c>
      <c r="Z403" s="39">
        <v>391.2</v>
      </c>
      <c r="AA403" s="39">
        <v>424.78</v>
      </c>
      <c r="AB403" s="39">
        <v>528.47</v>
      </c>
      <c r="AC403" s="39">
        <v>1581.74</v>
      </c>
      <c r="AD403" s="39" t="s">
        <v>4606</v>
      </c>
      <c r="AE403" s="39" t="s">
        <v>134</v>
      </c>
      <c r="AF403" s="39">
        <v>9</v>
      </c>
      <c r="AG403" s="42">
        <v>0.254</v>
      </c>
      <c r="AH403" s="39">
        <v>82</v>
      </c>
      <c r="AI403" s="42">
        <v>0.1409</v>
      </c>
      <c r="AJ403" s="39" t="s">
        <v>7903</v>
      </c>
      <c r="AK403" s="42">
        <v>0.498</v>
      </c>
      <c r="AL403" s="39" t="s">
        <v>5180</v>
      </c>
      <c r="AM403" s="42">
        <v>8.7400000000000005E-2</v>
      </c>
      <c r="AN403" s="42">
        <v>8.5500000000000007E-2</v>
      </c>
      <c r="AO403" s="41">
        <v>40</v>
      </c>
      <c r="AP403" s="39">
        <v>20</v>
      </c>
      <c r="AQ403" s="39">
        <v>34</v>
      </c>
      <c r="AR403" s="45">
        <v>2421</v>
      </c>
      <c r="AS403" s="39">
        <v>12</v>
      </c>
      <c r="AT403" s="39" t="s">
        <v>4562</v>
      </c>
      <c r="AU403" s="39">
        <v>16</v>
      </c>
      <c r="AV403" s="39" t="s">
        <v>6592</v>
      </c>
      <c r="AX403" s="39">
        <v>2180.7199999999998</v>
      </c>
      <c r="AY403" s="39">
        <v>2200.0300000000002</v>
      </c>
      <c r="AZ403" s="39">
        <v>2162.5300000000002</v>
      </c>
      <c r="BA403" s="39">
        <v>2105.7199999999998</v>
      </c>
      <c r="BB403" s="39">
        <v>2087.5300000000002</v>
      </c>
      <c r="BC403" s="39">
        <v>3</v>
      </c>
      <c r="BD403" s="39" t="s">
        <v>130</v>
      </c>
      <c r="BE403" s="39">
        <v>0.86</v>
      </c>
      <c r="BF403" s="39">
        <v>0.88</v>
      </c>
      <c r="BG403" s="39">
        <v>7</v>
      </c>
      <c r="BH403" s="39">
        <v>5</v>
      </c>
      <c r="BI403" s="39" t="s">
        <v>4563</v>
      </c>
      <c r="BJ403" s="39" t="s">
        <v>4563</v>
      </c>
    </row>
    <row r="404" spans="1:62" x14ac:dyDescent="0.35">
      <c r="A404" s="39" t="s">
        <v>507</v>
      </c>
      <c r="B404" s="39" t="str">
        <f>IFERROR(INDEX(added_new_stocks!$F$6:$H$2155,MATCH($A404,added_new_stocks!$F$6:$F$2600,0),3),"")</f>
        <v>Large</v>
      </c>
      <c r="C404" s="39">
        <v>869.95</v>
      </c>
      <c r="D404" s="39">
        <v>35</v>
      </c>
      <c r="G404" s="39" t="s">
        <v>4625</v>
      </c>
      <c r="H404" s="39" t="s">
        <v>5779</v>
      </c>
      <c r="I404" s="39" t="s">
        <v>4976</v>
      </c>
      <c r="J404" s="39" t="s">
        <v>5780</v>
      </c>
      <c r="K404" s="39" t="s">
        <v>4615</v>
      </c>
      <c r="L404" s="39" t="s">
        <v>5781</v>
      </c>
      <c r="M404" s="39" t="s">
        <v>4959</v>
      </c>
      <c r="N404" s="39">
        <v>13</v>
      </c>
      <c r="O404" s="39">
        <v>-8</v>
      </c>
      <c r="P404" s="39">
        <v>5</v>
      </c>
      <c r="Q404" s="39" t="s">
        <v>4611</v>
      </c>
      <c r="R404" s="39">
        <v>1.67</v>
      </c>
      <c r="S404" s="39">
        <v>4.5</v>
      </c>
      <c r="T404" s="39">
        <v>11.56</v>
      </c>
      <c r="U404" s="39">
        <v>5.85</v>
      </c>
      <c r="V404" s="39">
        <v>-4.66</v>
      </c>
      <c r="W404" s="39">
        <v>8.2799999999999994</v>
      </c>
      <c r="X404" s="39">
        <v>-13.07</v>
      </c>
      <c r="Y404" s="39">
        <v>-12.59</v>
      </c>
      <c r="Z404" s="39">
        <v>36.92</v>
      </c>
      <c r="AA404" s="39">
        <v>35.75</v>
      </c>
      <c r="AB404" s="39">
        <v>41.09</v>
      </c>
      <c r="AC404" s="39">
        <v>1197.46</v>
      </c>
      <c r="AD404" s="39" t="s">
        <v>4606</v>
      </c>
      <c r="AE404" s="39" t="s">
        <v>134</v>
      </c>
      <c r="AF404" s="39">
        <v>32</v>
      </c>
      <c r="AG404" s="42">
        <v>0.15260000000000001</v>
      </c>
      <c r="AH404" s="39">
        <v>268</v>
      </c>
      <c r="AI404" s="42">
        <v>0.1908</v>
      </c>
      <c r="AJ404" s="39" t="s">
        <v>5782</v>
      </c>
      <c r="AK404" s="42">
        <v>0.26640000000000003</v>
      </c>
      <c r="AL404" s="39" t="s">
        <v>136</v>
      </c>
      <c r="AM404" s="42">
        <v>0.10249999999999999</v>
      </c>
      <c r="AN404" s="42">
        <v>0.13930000000000001</v>
      </c>
      <c r="AO404" s="41">
        <v>85</v>
      </c>
      <c r="AP404" s="39">
        <v>35</v>
      </c>
      <c r="AQ404" s="39">
        <v>77</v>
      </c>
      <c r="AR404" s="45">
        <v>4752</v>
      </c>
      <c r="AS404" s="39">
        <v>-15</v>
      </c>
      <c r="AT404" s="39" t="s">
        <v>129</v>
      </c>
      <c r="AU404" s="39">
        <v>3</v>
      </c>
      <c r="AV404" s="39" t="s">
        <v>6593</v>
      </c>
      <c r="AW404" s="39">
        <v>5717.13</v>
      </c>
      <c r="AX404" s="39">
        <v>5853.07</v>
      </c>
      <c r="AY404" s="39">
        <v>5934.13</v>
      </c>
      <c r="AZ404" s="39">
        <v>5500.13</v>
      </c>
      <c r="BA404" s="39">
        <v>5419.07</v>
      </c>
      <c r="BB404" s="39">
        <v>5283.13</v>
      </c>
      <c r="BC404" s="39">
        <v>16</v>
      </c>
      <c r="BD404" s="39">
        <v>3</v>
      </c>
      <c r="BE404" s="39">
        <v>7</v>
      </c>
      <c r="BF404" s="39" t="s">
        <v>130</v>
      </c>
      <c r="BG404" s="48">
        <v>2335.1</v>
      </c>
      <c r="BH404" s="39">
        <v>0.4</v>
      </c>
      <c r="BI404" s="39" t="s">
        <v>4651</v>
      </c>
      <c r="BJ404" s="39" t="s">
        <v>4563</v>
      </c>
    </row>
    <row r="405" spans="1:62" x14ac:dyDescent="0.35">
      <c r="A405" s="39" t="s">
        <v>1012</v>
      </c>
      <c r="B405" s="39" t="str">
        <f>IFERROR(INDEX(added_new_stocks!$F$6:$H$2155,MATCH($A405,added_new_stocks!$F$6:$F$2600,0),3),"")</f>
        <v>Mid</v>
      </c>
      <c r="C405" s="39">
        <v>672.6</v>
      </c>
      <c r="D405" s="39">
        <v>52</v>
      </c>
      <c r="G405" s="39" t="s">
        <v>4562</v>
      </c>
      <c r="H405" s="39" t="s">
        <v>5783</v>
      </c>
      <c r="I405" s="39" t="s">
        <v>4989</v>
      </c>
      <c r="J405" s="39" t="s">
        <v>5784</v>
      </c>
      <c r="K405" s="39" t="s">
        <v>4615</v>
      </c>
      <c r="L405" s="39" t="s">
        <v>7904</v>
      </c>
      <c r="M405" s="39" t="s">
        <v>4620</v>
      </c>
      <c r="N405" s="39">
        <v>7</v>
      </c>
      <c r="O405" s="39">
        <v>-6</v>
      </c>
      <c r="P405" s="39">
        <v>1</v>
      </c>
      <c r="Q405" s="39" t="s">
        <v>4611</v>
      </c>
      <c r="R405" s="39">
        <v>-1.23</v>
      </c>
      <c r="S405" s="39">
        <v>-0.14000000000000001</v>
      </c>
      <c r="T405" s="39">
        <v>-8.43</v>
      </c>
      <c r="U405" s="39">
        <v>-9.91</v>
      </c>
      <c r="V405" s="39">
        <v>21.22</v>
      </c>
      <c r="W405" s="39">
        <v>24.2</v>
      </c>
      <c r="X405" s="39">
        <v>8.35</v>
      </c>
      <c r="Y405" s="39">
        <v>112.85</v>
      </c>
      <c r="Z405" s="39">
        <v>307.88</v>
      </c>
      <c r="AA405" s="39">
        <v>133.38</v>
      </c>
      <c r="AB405" s="39">
        <v>113.56</v>
      </c>
      <c r="AC405" s="39" t="s">
        <v>4538</v>
      </c>
      <c r="AD405" s="39" t="s">
        <v>4606</v>
      </c>
      <c r="AE405" s="39" t="s">
        <v>134</v>
      </c>
      <c r="AF405" s="39">
        <v>11</v>
      </c>
      <c r="AG405" s="42">
        <v>0.21629999999999999</v>
      </c>
      <c r="AH405" s="39">
        <v>67</v>
      </c>
      <c r="AI405" s="42">
        <v>2.18E-2</v>
      </c>
      <c r="AJ405" s="39" t="s">
        <v>5786</v>
      </c>
      <c r="AK405" s="42">
        <v>0.3543</v>
      </c>
      <c r="AL405" s="39" t="s">
        <v>5787</v>
      </c>
      <c r="AM405" s="42">
        <v>4.7699999999999999E-2</v>
      </c>
      <c r="AN405" s="42">
        <v>7.4099999999999999E-2</v>
      </c>
      <c r="AO405" s="41">
        <v>50</v>
      </c>
      <c r="AP405" s="39">
        <v>14</v>
      </c>
      <c r="AQ405" s="39">
        <v>53</v>
      </c>
      <c r="AR405" s="39">
        <v>881</v>
      </c>
      <c r="AS405" s="39">
        <v>3</v>
      </c>
      <c r="AT405" s="39" t="s">
        <v>4562</v>
      </c>
      <c r="AU405" s="39">
        <v>36</v>
      </c>
      <c r="AV405" s="39" t="s">
        <v>6594</v>
      </c>
      <c r="AW405" s="39">
        <v>857.92</v>
      </c>
      <c r="AX405" s="39">
        <v>866.93</v>
      </c>
      <c r="AY405" s="39">
        <v>882.17</v>
      </c>
      <c r="AZ405" s="39">
        <v>833.67</v>
      </c>
      <c r="BA405" s="39">
        <v>818.43</v>
      </c>
      <c r="BB405" s="39">
        <v>809.42</v>
      </c>
      <c r="BC405" s="39">
        <v>6</v>
      </c>
      <c r="BD405" s="39">
        <v>6</v>
      </c>
      <c r="BE405" s="39">
        <v>4</v>
      </c>
      <c r="BF405" s="39" t="s">
        <v>130</v>
      </c>
      <c r="BG405" s="39">
        <v>132.5</v>
      </c>
      <c r="BH405" s="39">
        <v>0.2</v>
      </c>
      <c r="BI405" s="39" t="s">
        <v>4563</v>
      </c>
      <c r="BJ405" s="39" t="s">
        <v>132</v>
      </c>
    </row>
    <row r="406" spans="1:62" x14ac:dyDescent="0.35">
      <c r="A406" s="39" t="s">
        <v>1083</v>
      </c>
      <c r="B406" s="39" t="str">
        <f>IFERROR(INDEX(added_new_stocks!$F$6:$H$2155,MATCH($A406,added_new_stocks!$F$6:$F$2600,0),3),"")</f>
        <v>Small</v>
      </c>
      <c r="C406" s="48">
        <v>3616.95</v>
      </c>
      <c r="D406" s="39">
        <v>75</v>
      </c>
      <c r="G406" s="39" t="s">
        <v>129</v>
      </c>
      <c r="H406" s="39" t="s">
        <v>7905</v>
      </c>
      <c r="I406" s="39" t="s">
        <v>4624</v>
      </c>
      <c r="J406" s="39" t="s">
        <v>7906</v>
      </c>
      <c r="K406" s="39" t="s">
        <v>133</v>
      </c>
      <c r="L406" s="39" t="s">
        <v>7907</v>
      </c>
      <c r="M406" s="39" t="s">
        <v>4955</v>
      </c>
      <c r="N406" s="39">
        <v>1</v>
      </c>
      <c r="O406" s="39">
        <v>0</v>
      </c>
      <c r="P406" s="39">
        <v>1</v>
      </c>
      <c r="Q406" s="39" t="s">
        <v>4611</v>
      </c>
      <c r="R406" s="39">
        <v>-0.82</v>
      </c>
      <c r="S406" s="39">
        <v>3.25</v>
      </c>
      <c r="T406" s="39">
        <v>-4.96</v>
      </c>
      <c r="U406" s="39">
        <v>6.38</v>
      </c>
      <c r="V406" s="39">
        <v>13.73</v>
      </c>
      <c r="W406" s="39">
        <v>9.35</v>
      </c>
      <c r="X406" s="39">
        <v>10.78</v>
      </c>
      <c r="Y406" s="39">
        <v>8.06</v>
      </c>
      <c r="Z406" s="39">
        <v>5.92</v>
      </c>
      <c r="AA406" s="39">
        <v>5.89</v>
      </c>
      <c r="AB406" s="39">
        <v>9.73</v>
      </c>
      <c r="AC406" s="39">
        <v>146.19</v>
      </c>
      <c r="AD406" s="39" t="s">
        <v>5015</v>
      </c>
      <c r="AE406" s="39" t="s">
        <v>134</v>
      </c>
      <c r="AF406" s="39">
        <v>11</v>
      </c>
      <c r="AG406" s="42">
        <v>0.1565</v>
      </c>
      <c r="AH406" s="39">
        <v>84</v>
      </c>
      <c r="AI406" s="42">
        <v>1.54E-2</v>
      </c>
      <c r="AJ406" s="39" t="s">
        <v>7908</v>
      </c>
      <c r="AK406" s="42">
        <v>0.23449999999999999</v>
      </c>
      <c r="AL406" s="39" t="s">
        <v>7909</v>
      </c>
      <c r="AM406" s="42">
        <v>0.25950000000000001</v>
      </c>
      <c r="AN406" s="42">
        <v>0.1454</v>
      </c>
      <c r="AO406" s="41">
        <v>75</v>
      </c>
      <c r="AP406" s="39">
        <v>41</v>
      </c>
      <c r="AQ406" s="39">
        <v>57</v>
      </c>
      <c r="AR406" s="39">
        <v>808</v>
      </c>
      <c r="AS406" s="39">
        <v>19</v>
      </c>
      <c r="AT406" s="39" t="s">
        <v>129</v>
      </c>
      <c r="AU406" s="39">
        <v>7</v>
      </c>
      <c r="AV406" s="39" t="s">
        <v>6595</v>
      </c>
      <c r="AW406" s="39">
        <v>699.55</v>
      </c>
      <c r="AX406" s="39">
        <v>705.65</v>
      </c>
      <c r="AY406" s="39">
        <v>716.4</v>
      </c>
      <c r="BA406" s="39">
        <v>671.95</v>
      </c>
      <c r="BB406" s="39">
        <v>665.85</v>
      </c>
      <c r="BC406" s="39">
        <v>10</v>
      </c>
      <c r="BD406" s="39">
        <v>5</v>
      </c>
      <c r="BE406" s="39">
        <v>3</v>
      </c>
      <c r="BF406" s="39" t="s">
        <v>130</v>
      </c>
      <c r="BG406" s="39">
        <v>297.2</v>
      </c>
      <c r="BH406" s="39">
        <v>0.4</v>
      </c>
      <c r="BI406" s="39" t="s">
        <v>131</v>
      </c>
      <c r="BJ406" s="39" t="s">
        <v>4563</v>
      </c>
    </row>
    <row r="407" spans="1:62" x14ac:dyDescent="0.35">
      <c r="A407" s="39" t="s">
        <v>1544</v>
      </c>
      <c r="B407" s="39" t="str">
        <f>IFERROR(INDEX(added_new_stocks!$F$6:$H$2155,MATCH($A407,added_new_stocks!$F$6:$F$2600,0),3),"")</f>
        <v>Small</v>
      </c>
      <c r="C407" s="48">
        <v>3738.05</v>
      </c>
      <c r="D407" s="39">
        <v>68</v>
      </c>
      <c r="G407" s="39" t="s">
        <v>4562</v>
      </c>
      <c r="H407" s="39" t="s">
        <v>7910</v>
      </c>
      <c r="I407" s="39" t="s">
        <v>4624</v>
      </c>
      <c r="J407" s="39" t="s">
        <v>7911</v>
      </c>
      <c r="K407" s="39" t="s">
        <v>4615</v>
      </c>
      <c r="L407" s="39" t="s">
        <v>7912</v>
      </c>
      <c r="M407" s="39" t="s">
        <v>135</v>
      </c>
      <c r="N407" s="39">
        <v>12</v>
      </c>
      <c r="O407" s="39">
        <v>-1</v>
      </c>
      <c r="P407" s="39">
        <v>11</v>
      </c>
      <c r="Q407" s="39" t="s">
        <v>14</v>
      </c>
      <c r="R407" s="39">
        <v>7.11</v>
      </c>
      <c r="S407" s="39">
        <v>12.1</v>
      </c>
      <c r="T407" s="39">
        <v>20.95</v>
      </c>
      <c r="U407" s="39">
        <v>33.729999999999997</v>
      </c>
      <c r="V407" s="39">
        <v>65.97</v>
      </c>
      <c r="W407" s="39">
        <v>69.45</v>
      </c>
      <c r="X407" s="39">
        <v>48.35</v>
      </c>
      <c r="Y407" s="39">
        <v>45.68</v>
      </c>
      <c r="Z407" s="39">
        <v>129.46</v>
      </c>
      <c r="AA407" s="39">
        <v>266.14999999999998</v>
      </c>
      <c r="AB407" s="39">
        <v>68.72</v>
      </c>
      <c r="AC407" s="39">
        <v>804.55</v>
      </c>
      <c r="AD407" s="39" t="s">
        <v>4606</v>
      </c>
      <c r="AE407" s="39" t="s">
        <v>134</v>
      </c>
      <c r="AF407" s="39">
        <v>10</v>
      </c>
      <c r="AG407" s="42">
        <v>0.1862</v>
      </c>
      <c r="AH407" s="39">
        <v>44</v>
      </c>
      <c r="AI407" s="42">
        <v>1.7600000000000001E-2</v>
      </c>
      <c r="AJ407" s="39" t="s">
        <v>7913</v>
      </c>
      <c r="AK407" s="42">
        <v>0.22389999999999999</v>
      </c>
      <c r="AL407" s="39" t="s">
        <v>5573</v>
      </c>
      <c r="AM407" s="42">
        <v>6.9699999999999998E-2</v>
      </c>
      <c r="AN407" s="42">
        <v>0.20480000000000001</v>
      </c>
      <c r="AO407" s="41">
        <v>50</v>
      </c>
      <c r="AP407" s="39">
        <v>33</v>
      </c>
      <c r="AQ407" s="39">
        <v>55</v>
      </c>
      <c r="AR407" s="45">
        <v>3688</v>
      </c>
      <c r="AS407" s="39">
        <v>2</v>
      </c>
      <c r="AT407" s="39" t="s">
        <v>129</v>
      </c>
      <c r="AU407" s="39">
        <v>2</v>
      </c>
      <c r="AV407" s="39" t="s">
        <v>6596</v>
      </c>
      <c r="AW407" s="39">
        <v>3651.55</v>
      </c>
      <c r="AX407" s="39">
        <v>3674.95</v>
      </c>
      <c r="AY407" s="39">
        <v>3709.9</v>
      </c>
      <c r="AZ407" s="39">
        <v>3593.2</v>
      </c>
      <c r="BA407" s="39">
        <v>3558.25</v>
      </c>
      <c r="BB407" s="39">
        <v>3534.85</v>
      </c>
      <c r="BC407" s="39">
        <v>7</v>
      </c>
      <c r="BD407" s="39">
        <v>6</v>
      </c>
      <c r="BE407" s="39">
        <v>5</v>
      </c>
      <c r="BF407" s="39" t="s">
        <v>130</v>
      </c>
      <c r="BG407" s="48">
        <v>1897.9</v>
      </c>
      <c r="BH407" s="39">
        <v>0.5</v>
      </c>
      <c r="BI407" s="39" t="s">
        <v>4651</v>
      </c>
      <c r="BJ407" s="39" t="s">
        <v>132</v>
      </c>
    </row>
    <row r="408" spans="1:62" x14ac:dyDescent="0.35">
      <c r="A408" s="39" t="s">
        <v>850</v>
      </c>
      <c r="B408" s="39" t="str">
        <f>IFERROR(INDEX(added_new_stocks!$F$6:$H$2155,MATCH($A408,added_new_stocks!$F$6:$F$2600,0),3),"")</f>
        <v>Mid</v>
      </c>
      <c r="C408" s="39">
        <v>393</v>
      </c>
      <c r="D408" s="39">
        <v>50</v>
      </c>
      <c r="G408" s="39" t="s">
        <v>4562</v>
      </c>
      <c r="H408" s="39" t="s">
        <v>7914</v>
      </c>
      <c r="I408" s="39" t="s">
        <v>4624</v>
      </c>
      <c r="J408" s="39" t="s">
        <v>7915</v>
      </c>
      <c r="K408" s="39" t="s">
        <v>4615</v>
      </c>
      <c r="L408" s="39" t="s">
        <v>7916</v>
      </c>
      <c r="M408" s="39" t="s">
        <v>4959</v>
      </c>
      <c r="N408" s="39">
        <v>1</v>
      </c>
      <c r="O408" s="39">
        <v>-20</v>
      </c>
      <c r="P408" s="39">
        <v>-19</v>
      </c>
      <c r="Q408" s="39" t="s">
        <v>4605</v>
      </c>
      <c r="R408" s="39">
        <v>-0.88</v>
      </c>
      <c r="S408" s="39">
        <v>5.78</v>
      </c>
      <c r="T408" s="39">
        <v>5.99</v>
      </c>
      <c r="U408" s="39">
        <v>21.79</v>
      </c>
      <c r="V408" s="39">
        <v>25.13</v>
      </c>
      <c r="W408" s="39">
        <v>18.84</v>
      </c>
      <c r="X408" s="39">
        <v>18.05</v>
      </c>
      <c r="Y408" s="39">
        <v>6.69</v>
      </c>
      <c r="Z408" s="39">
        <v>133.38999999999999</v>
      </c>
      <c r="AA408" s="39">
        <v>124.78</v>
      </c>
      <c r="AB408" s="39">
        <v>77.77</v>
      </c>
      <c r="AC408" s="39">
        <v>536.59</v>
      </c>
      <c r="AD408" s="39" t="s">
        <v>4606</v>
      </c>
      <c r="AE408" s="39" t="s">
        <v>134</v>
      </c>
      <c r="AF408" s="39">
        <v>19</v>
      </c>
      <c r="AG408" s="42">
        <v>0.15479999999999999</v>
      </c>
      <c r="AH408" s="39">
        <v>145</v>
      </c>
      <c r="AI408" s="42">
        <v>6.6500000000000004E-2</v>
      </c>
      <c r="AJ408" s="39" t="s">
        <v>7917</v>
      </c>
      <c r="AK408" s="42">
        <v>0.2848</v>
      </c>
      <c r="AL408" s="39" t="s">
        <v>5180</v>
      </c>
      <c r="AM408" s="42">
        <v>7.4800000000000005E-2</v>
      </c>
      <c r="AN408" s="42">
        <v>0.1036</v>
      </c>
      <c r="AO408" s="41">
        <v>70</v>
      </c>
      <c r="AP408" s="39">
        <v>38</v>
      </c>
      <c r="AQ408" s="39">
        <v>69</v>
      </c>
      <c r="AR408" s="45">
        <v>3364</v>
      </c>
      <c r="AS408" s="39">
        <v>-3</v>
      </c>
      <c r="AT408" s="39" t="s">
        <v>129</v>
      </c>
      <c r="AU408" s="39">
        <v>4</v>
      </c>
      <c r="AV408" s="39" t="s">
        <v>6597</v>
      </c>
      <c r="AW408" s="39">
        <v>3534.1</v>
      </c>
      <c r="AX408" s="39">
        <v>3578.55</v>
      </c>
      <c r="AY408" s="39">
        <v>3616.6</v>
      </c>
      <c r="AZ408" s="39">
        <v>3451.6</v>
      </c>
      <c r="BA408" s="39">
        <v>3413.55</v>
      </c>
      <c r="BB408" s="39">
        <v>3369.1</v>
      </c>
      <c r="BC408" s="39">
        <v>9</v>
      </c>
      <c r="BD408" s="39">
        <v>4</v>
      </c>
      <c r="BE408" s="39">
        <v>3</v>
      </c>
      <c r="BF408" s="39">
        <v>1</v>
      </c>
      <c r="BG408" s="48">
        <v>1692.9</v>
      </c>
      <c r="BH408" s="39">
        <v>0.5</v>
      </c>
      <c r="BI408" s="39" t="s">
        <v>4651</v>
      </c>
      <c r="BJ408" s="39" t="s">
        <v>4565</v>
      </c>
    </row>
    <row r="409" spans="1:62" x14ac:dyDescent="0.35">
      <c r="A409" s="39" t="s">
        <v>6241</v>
      </c>
      <c r="B409" s="39" t="str">
        <f>IFERROR(INDEX(added_new_stocks!$F$6:$H$2155,MATCH($A409,added_new_stocks!$F$6:$F$2600,0),3),"")</f>
        <v/>
      </c>
      <c r="C409" s="39">
        <v>970.65</v>
      </c>
      <c r="D409" s="39">
        <v>65</v>
      </c>
      <c r="G409" s="39" t="s">
        <v>4562</v>
      </c>
      <c r="H409" s="39" t="s">
        <v>7918</v>
      </c>
      <c r="I409" s="39" t="s">
        <v>4624</v>
      </c>
      <c r="J409" s="39" t="s">
        <v>7919</v>
      </c>
      <c r="K409" s="39" t="s">
        <v>4615</v>
      </c>
      <c r="L409" s="39" t="s">
        <v>7920</v>
      </c>
      <c r="M409" s="39" t="s">
        <v>4620</v>
      </c>
      <c r="N409" s="39">
        <v>10</v>
      </c>
      <c r="O409" s="39">
        <v>0</v>
      </c>
      <c r="P409" s="39">
        <v>10</v>
      </c>
      <c r="Q409" s="39" t="s">
        <v>14</v>
      </c>
      <c r="R409" s="39">
        <v>3.39</v>
      </c>
      <c r="S409" s="39">
        <v>7.78</v>
      </c>
      <c r="T409" s="39">
        <v>3.67</v>
      </c>
      <c r="U409" s="39">
        <v>25.81</v>
      </c>
      <c r="V409" s="39">
        <v>44.81</v>
      </c>
      <c r="W409" s="39">
        <v>22.9</v>
      </c>
      <c r="X409" s="39">
        <v>49.71</v>
      </c>
      <c r="Y409" s="39">
        <v>76.48</v>
      </c>
      <c r="Z409" s="39">
        <v>162.13</v>
      </c>
      <c r="AA409" s="39">
        <v>246.48</v>
      </c>
      <c r="AB409" s="39">
        <v>145.08000000000001</v>
      </c>
      <c r="AC409" s="39">
        <v>181.39</v>
      </c>
      <c r="AD409" s="39" t="s">
        <v>4606</v>
      </c>
      <c r="AE409" s="39" t="s">
        <v>134</v>
      </c>
      <c r="AF409" s="39">
        <v>21</v>
      </c>
      <c r="AG409" s="42">
        <v>0.2021</v>
      </c>
      <c r="AH409" s="39">
        <v>131</v>
      </c>
      <c r="AI409" s="42">
        <v>9.7000000000000003E-2</v>
      </c>
      <c r="AJ409" s="39" t="s">
        <v>7921</v>
      </c>
      <c r="AK409" s="42">
        <v>0.30109999999999998</v>
      </c>
      <c r="AL409" s="39" t="s">
        <v>7922</v>
      </c>
      <c r="AM409" s="42">
        <v>7.5200000000000003E-2</v>
      </c>
      <c r="AN409" s="42">
        <v>8.8700000000000001E-2</v>
      </c>
      <c r="AO409" s="41">
        <v>60</v>
      </c>
      <c r="AP409" s="39">
        <v>55</v>
      </c>
      <c r="AQ409" s="39">
        <v>64</v>
      </c>
      <c r="AR409" s="39">
        <v>401</v>
      </c>
      <c r="AS409" s="39">
        <v>1</v>
      </c>
      <c r="AT409" s="39" t="s">
        <v>129</v>
      </c>
      <c r="AU409" s="39">
        <v>5</v>
      </c>
      <c r="AV409" s="39" t="s">
        <v>6598</v>
      </c>
      <c r="AW409" s="39">
        <v>405.67</v>
      </c>
      <c r="AX409" s="39">
        <v>414.03</v>
      </c>
      <c r="AY409" s="39">
        <v>428.27</v>
      </c>
      <c r="AZ409" s="39">
        <v>383.07</v>
      </c>
      <c r="BA409" s="39">
        <v>368.83</v>
      </c>
      <c r="BB409" s="39">
        <v>360.47</v>
      </c>
      <c r="BC409" s="39">
        <v>5</v>
      </c>
      <c r="BD409" s="39">
        <v>6</v>
      </c>
      <c r="BE409" s="39">
        <v>5</v>
      </c>
      <c r="BF409" s="39" t="s">
        <v>130</v>
      </c>
      <c r="BG409" s="39">
        <v>377.6</v>
      </c>
      <c r="BH409" s="39">
        <v>1</v>
      </c>
      <c r="BI409" s="39" t="s">
        <v>131</v>
      </c>
      <c r="BJ409" s="39" t="s">
        <v>4563</v>
      </c>
    </row>
    <row r="410" spans="1:62" x14ac:dyDescent="0.35">
      <c r="A410" s="39" t="s">
        <v>623</v>
      </c>
      <c r="B410" s="39" t="str">
        <f>IFERROR(INDEX(added_new_stocks!$F$6:$H$2155,MATCH($A410,added_new_stocks!$F$6:$F$2600,0),3),"")</f>
        <v>Mid</v>
      </c>
      <c r="C410" s="48">
        <v>1631.05</v>
      </c>
      <c r="D410" s="39">
        <v>57</v>
      </c>
      <c r="G410" s="39" t="s">
        <v>4562</v>
      </c>
      <c r="H410" s="39" t="s">
        <v>5788</v>
      </c>
      <c r="I410" s="39" t="s">
        <v>4624</v>
      </c>
      <c r="J410" s="39" t="s">
        <v>5789</v>
      </c>
      <c r="K410" s="39" t="s">
        <v>133</v>
      </c>
      <c r="L410" s="39" t="s">
        <v>5790</v>
      </c>
      <c r="M410" s="39" t="s">
        <v>4959</v>
      </c>
      <c r="N410" s="39">
        <v>2</v>
      </c>
      <c r="O410" s="39">
        <v>-11</v>
      </c>
      <c r="P410" s="39">
        <v>-9</v>
      </c>
      <c r="Q410" s="39" t="s">
        <v>4605</v>
      </c>
      <c r="R410" s="39">
        <v>-0.42</v>
      </c>
      <c r="S410" s="39">
        <v>-1.04</v>
      </c>
      <c r="T410" s="39">
        <v>12.08</v>
      </c>
      <c r="U410" s="39">
        <v>14.32</v>
      </c>
      <c r="V410" s="39">
        <v>23.27</v>
      </c>
      <c r="W410" s="39">
        <v>8.9499999999999993</v>
      </c>
      <c r="X410" s="39">
        <v>-10.5</v>
      </c>
      <c r="Y410" s="39">
        <v>-23.41</v>
      </c>
      <c r="Z410" s="39">
        <v>-23.14</v>
      </c>
      <c r="AA410" s="39">
        <v>5.31</v>
      </c>
      <c r="AB410" s="39">
        <v>-8.17</v>
      </c>
      <c r="AC410" s="39">
        <v>972.71</v>
      </c>
      <c r="AD410" s="39" t="s">
        <v>4606</v>
      </c>
      <c r="AE410" s="39" t="s">
        <v>134</v>
      </c>
      <c r="AF410" s="39">
        <v>28</v>
      </c>
      <c r="AG410" s="42">
        <v>0.1045</v>
      </c>
      <c r="AH410" s="39">
        <v>111</v>
      </c>
      <c r="AI410" s="42">
        <v>3.3099999999999997E-2</v>
      </c>
      <c r="AJ410" s="39" t="s">
        <v>5791</v>
      </c>
      <c r="AK410" s="43">
        <v>0.75</v>
      </c>
      <c r="AL410" s="39" t="s">
        <v>5792</v>
      </c>
      <c r="AM410" s="42">
        <v>4.4699999999999997E-2</v>
      </c>
      <c r="AN410" s="42">
        <v>7.6899999999999996E-2</v>
      </c>
      <c r="AO410" s="41">
        <v>75</v>
      </c>
      <c r="AP410" s="39">
        <v>15</v>
      </c>
      <c r="AQ410" s="39">
        <v>63</v>
      </c>
      <c r="AR410" s="39">
        <v>944</v>
      </c>
      <c r="AS410" s="39">
        <v>1</v>
      </c>
      <c r="AT410" s="39" t="s">
        <v>129</v>
      </c>
      <c r="AU410" s="39">
        <v>19</v>
      </c>
      <c r="AV410" s="39" t="s">
        <v>6599</v>
      </c>
      <c r="AZ410" s="39">
        <v>906.63</v>
      </c>
      <c r="BA410" s="39">
        <v>912.22</v>
      </c>
      <c r="BB410" s="39">
        <v>917.48</v>
      </c>
      <c r="BC410" s="39">
        <v>14</v>
      </c>
      <c r="BD410" s="39">
        <v>1</v>
      </c>
      <c r="BE410" s="39">
        <v>6</v>
      </c>
      <c r="BF410" s="39" t="s">
        <v>130</v>
      </c>
      <c r="BG410" s="39">
        <v>78.2</v>
      </c>
      <c r="BH410" s="39">
        <v>0.1</v>
      </c>
      <c r="BI410" s="39" t="s">
        <v>4563</v>
      </c>
    </row>
    <row r="411" spans="1:62" x14ac:dyDescent="0.35">
      <c r="A411" s="39" t="s">
        <v>2399</v>
      </c>
      <c r="B411" s="39" t="str">
        <f>IFERROR(INDEX(added_new_stocks!$F$6:$H$2155,MATCH($A411,added_new_stocks!$F$6:$F$2600,0),3),"")</f>
        <v>Macro</v>
      </c>
      <c r="C411" s="39">
        <v>373.9</v>
      </c>
      <c r="D411" s="39">
        <v>65</v>
      </c>
      <c r="G411" s="39" t="s">
        <v>4562</v>
      </c>
      <c r="H411" s="39" t="s">
        <v>7923</v>
      </c>
      <c r="I411" s="39" t="s">
        <v>4624</v>
      </c>
      <c r="J411" s="39" t="s">
        <v>7924</v>
      </c>
      <c r="K411" s="39" t="s">
        <v>4615</v>
      </c>
      <c r="L411" s="39" t="s">
        <v>5008</v>
      </c>
      <c r="M411" s="39" t="s">
        <v>5047</v>
      </c>
      <c r="N411" s="39">
        <v>4</v>
      </c>
      <c r="O411" s="39">
        <v>0</v>
      </c>
      <c r="P411" s="39">
        <v>4</v>
      </c>
      <c r="Q411" s="39" t="s">
        <v>4611</v>
      </c>
      <c r="R411" s="39">
        <v>2.2599999999999998</v>
      </c>
      <c r="S411" s="39">
        <v>3.53</v>
      </c>
      <c r="T411" s="39">
        <v>11.6</v>
      </c>
      <c r="U411" s="39">
        <v>42.36</v>
      </c>
      <c r="V411" s="39">
        <v>48.73</v>
      </c>
      <c r="W411" s="39">
        <v>49.65</v>
      </c>
      <c r="X411" s="39">
        <v>66.959999999999994</v>
      </c>
      <c r="Y411" s="39">
        <v>-4.42</v>
      </c>
      <c r="Z411" s="39" t="s">
        <v>4538</v>
      </c>
      <c r="AA411" s="39" t="s">
        <v>4538</v>
      </c>
      <c r="AB411" s="39" t="s">
        <v>4538</v>
      </c>
      <c r="AC411" s="39" t="s">
        <v>4538</v>
      </c>
      <c r="AD411" s="39" t="s">
        <v>4606</v>
      </c>
      <c r="AE411" s="39" t="s">
        <v>134</v>
      </c>
      <c r="AF411" s="39">
        <v>4</v>
      </c>
      <c r="AG411" s="42">
        <v>0.1051</v>
      </c>
      <c r="AH411" s="39">
        <v>3</v>
      </c>
      <c r="AI411" s="42">
        <v>8.0000000000000002E-3</v>
      </c>
      <c r="AJ411" s="39" t="s">
        <v>7925</v>
      </c>
      <c r="AK411" s="42">
        <v>0.40300000000000002</v>
      </c>
      <c r="AL411" s="39" t="s">
        <v>6686</v>
      </c>
      <c r="AM411" s="42">
        <v>9.4100000000000003E-2</v>
      </c>
      <c r="AN411" s="42">
        <v>0.22009999999999999</v>
      </c>
      <c r="AO411" s="41">
        <v>55</v>
      </c>
      <c r="AP411" s="39">
        <v>14</v>
      </c>
      <c r="AQ411" s="39">
        <v>65</v>
      </c>
      <c r="AR411" s="45">
        <v>1378</v>
      </c>
      <c r="AS411" s="39">
        <v>-16</v>
      </c>
      <c r="AT411" s="39" t="s">
        <v>4625</v>
      </c>
      <c r="AU411" s="39">
        <v>10</v>
      </c>
      <c r="AV411" s="39" t="s">
        <v>6600</v>
      </c>
      <c r="AW411" s="39">
        <v>1650.52</v>
      </c>
      <c r="AX411" s="39">
        <v>1666.68</v>
      </c>
      <c r="AY411" s="39">
        <v>1683.32</v>
      </c>
      <c r="AZ411" s="39">
        <v>1617.72</v>
      </c>
      <c r="BA411" s="39">
        <v>1601.08</v>
      </c>
      <c r="BB411" s="39">
        <v>1584.92</v>
      </c>
      <c r="BC411" s="39">
        <v>8</v>
      </c>
      <c r="BD411" s="39">
        <v>5</v>
      </c>
      <c r="BE411" s="39">
        <v>3</v>
      </c>
      <c r="BF411" s="39" t="s">
        <v>130</v>
      </c>
      <c r="BG411" s="39">
        <v>328.3</v>
      </c>
      <c r="BH411" s="39">
        <v>0.2</v>
      </c>
      <c r="BI411" s="39" t="s">
        <v>4563</v>
      </c>
      <c r="BJ411" s="39" t="s">
        <v>4563</v>
      </c>
    </row>
    <row r="412" spans="1:62" x14ac:dyDescent="0.35">
      <c r="A412" s="39" t="s">
        <v>6239</v>
      </c>
      <c r="B412" s="39" t="str">
        <f>IFERROR(INDEX(added_new_stocks!$F$6:$H$2155,MATCH($A412,added_new_stocks!$F$6:$F$2600,0),3),"")</f>
        <v/>
      </c>
      <c r="C412" s="48">
        <v>3109.95</v>
      </c>
      <c r="D412" s="39">
        <v>74</v>
      </c>
      <c r="E412" s="39" t="s">
        <v>4987</v>
      </c>
      <c r="F412" s="39" t="s">
        <v>7926</v>
      </c>
      <c r="G412" s="39" t="s">
        <v>129</v>
      </c>
      <c r="H412" s="39" t="s">
        <v>7927</v>
      </c>
      <c r="I412" s="39" t="s">
        <v>4989</v>
      </c>
      <c r="J412" s="39" t="s">
        <v>7928</v>
      </c>
      <c r="K412" s="39" t="s">
        <v>133</v>
      </c>
      <c r="L412" s="39" t="s">
        <v>7929</v>
      </c>
      <c r="M412" s="39" t="s">
        <v>4955</v>
      </c>
      <c r="N412" s="39">
        <v>24</v>
      </c>
      <c r="O412" s="39">
        <v>-6</v>
      </c>
      <c r="P412" s="39">
        <v>18</v>
      </c>
      <c r="Q412" s="39" t="s">
        <v>14</v>
      </c>
      <c r="R412" s="39">
        <v>1.38</v>
      </c>
      <c r="S412" s="39">
        <v>-2.37</v>
      </c>
      <c r="T412" s="39">
        <v>8.2799999999999994</v>
      </c>
      <c r="U412" s="39">
        <v>9.68</v>
      </c>
      <c r="V412" s="39">
        <v>52.53</v>
      </c>
      <c r="W412" s="39">
        <v>164.9</v>
      </c>
      <c r="X412" s="39">
        <v>137.43</v>
      </c>
      <c r="Y412" s="39">
        <v>248.22</v>
      </c>
      <c r="Z412" s="39">
        <v>592.55999999999995</v>
      </c>
      <c r="AA412" s="39">
        <v>427.47</v>
      </c>
      <c r="AB412" s="39">
        <v>247.44</v>
      </c>
      <c r="AC412" s="39">
        <v>1627.27</v>
      </c>
      <c r="AD412" s="39" t="s">
        <v>4606</v>
      </c>
      <c r="AE412" s="39">
        <v>4.1900000000000004</v>
      </c>
      <c r="AF412" s="39">
        <v>1</v>
      </c>
      <c r="AG412" s="42">
        <v>2.5700000000000001E-2</v>
      </c>
      <c r="AH412" s="39">
        <v>16</v>
      </c>
      <c r="AI412" s="42">
        <v>5.8099999999999999E-2</v>
      </c>
      <c r="AJ412" s="39" t="s">
        <v>7930</v>
      </c>
      <c r="AK412" s="42">
        <v>0.39539999999999997</v>
      </c>
      <c r="AL412" s="39" t="s">
        <v>5524</v>
      </c>
      <c r="AM412" s="42">
        <v>5.0599999999999999E-2</v>
      </c>
      <c r="AN412" s="42">
        <v>0.13880000000000001</v>
      </c>
      <c r="AO412" s="41">
        <v>70</v>
      </c>
      <c r="AP412" s="39">
        <v>45</v>
      </c>
      <c r="AQ412" s="39">
        <v>62</v>
      </c>
      <c r="AS412" s="39" t="s">
        <v>4564</v>
      </c>
      <c r="AY412" s="39">
        <v>368.38</v>
      </c>
      <c r="AZ412" s="39">
        <v>361.23</v>
      </c>
      <c r="BA412" s="39">
        <v>365.42</v>
      </c>
      <c r="BB412" s="39">
        <v>346.93</v>
      </c>
      <c r="BC412" s="39">
        <v>1</v>
      </c>
      <c r="BD412" s="39">
        <v>4</v>
      </c>
      <c r="BE412" s="39" t="s">
        <v>130</v>
      </c>
      <c r="BF412" s="39">
        <v>-1.57</v>
      </c>
      <c r="BG412" s="39">
        <v>12</v>
      </c>
      <c r="BH412" s="39">
        <v>306.5</v>
      </c>
      <c r="BI412" s="39" t="s">
        <v>131</v>
      </c>
      <c r="BJ412" s="39" t="s">
        <v>4565</v>
      </c>
    </row>
    <row r="413" spans="1:62" x14ac:dyDescent="0.35">
      <c r="A413" s="39" t="s">
        <v>1257</v>
      </c>
      <c r="B413" s="39" t="str">
        <f>IFERROR(INDEX(added_new_stocks!$F$6:$H$2155,MATCH($A413,added_new_stocks!$F$6:$F$2600,0),3),"")</f>
        <v>Small</v>
      </c>
      <c r="C413" s="39">
        <v>595.29999999999995</v>
      </c>
      <c r="D413" s="39">
        <v>64</v>
      </c>
      <c r="G413" s="39" t="s">
        <v>4562</v>
      </c>
      <c r="H413" s="39" t="s">
        <v>7931</v>
      </c>
      <c r="I413" s="39" t="s">
        <v>4996</v>
      </c>
      <c r="J413" s="39" t="s">
        <v>7932</v>
      </c>
      <c r="K413" s="39" t="s">
        <v>133</v>
      </c>
      <c r="L413" s="39" t="s">
        <v>7933</v>
      </c>
      <c r="M413" s="39" t="s">
        <v>4955</v>
      </c>
      <c r="N413" s="39">
        <v>16</v>
      </c>
      <c r="O413" s="39">
        <v>-2</v>
      </c>
      <c r="P413" s="39">
        <v>14</v>
      </c>
      <c r="Q413" s="39" t="s">
        <v>14</v>
      </c>
      <c r="R413" s="39">
        <v>-1.77</v>
      </c>
      <c r="S413" s="39">
        <v>-4.43</v>
      </c>
      <c r="T413" s="39">
        <v>22.95</v>
      </c>
      <c r="U413" s="39">
        <v>9.4</v>
      </c>
      <c r="V413" s="39">
        <v>21.85</v>
      </c>
      <c r="W413" s="39">
        <v>13.8</v>
      </c>
      <c r="X413" s="39">
        <v>-5.73</v>
      </c>
      <c r="Y413" s="39">
        <v>156.21</v>
      </c>
      <c r="Z413" s="39">
        <v>214.47</v>
      </c>
      <c r="AA413" s="39">
        <v>167.07</v>
      </c>
      <c r="AB413" s="39">
        <v>74.22</v>
      </c>
      <c r="AC413" s="39">
        <v>1438.24</v>
      </c>
      <c r="AD413" s="39" t="s">
        <v>4606</v>
      </c>
      <c r="AE413" s="39" t="s">
        <v>134</v>
      </c>
      <c r="AF413" s="39">
        <v>4</v>
      </c>
      <c r="AG413" s="42">
        <v>6.7000000000000004E-2</v>
      </c>
      <c r="AH413" s="39">
        <v>123</v>
      </c>
      <c r="AI413" s="42">
        <v>7.3700000000000002E-2</v>
      </c>
      <c r="AJ413" s="39" t="s">
        <v>7934</v>
      </c>
      <c r="AK413" s="42">
        <v>0.16250000000000001</v>
      </c>
      <c r="AL413" s="39" t="s">
        <v>5573</v>
      </c>
      <c r="AM413" s="42">
        <v>5.0700000000000002E-2</v>
      </c>
      <c r="AN413" s="42">
        <v>0.2361</v>
      </c>
      <c r="AO413" s="41">
        <v>70</v>
      </c>
      <c r="AP413" s="39">
        <v>54</v>
      </c>
      <c r="AQ413" s="39">
        <v>68</v>
      </c>
      <c r="AS413" s="39" t="s">
        <v>4564</v>
      </c>
      <c r="AW413" s="39">
        <v>3121.58</v>
      </c>
      <c r="AX413" s="39">
        <v>3184.77</v>
      </c>
      <c r="AY413" s="39">
        <v>3220.53</v>
      </c>
      <c r="AZ413" s="39">
        <v>3022.63</v>
      </c>
      <c r="BA413" s="39">
        <v>2986.87</v>
      </c>
      <c r="BB413" s="39">
        <v>2923.68</v>
      </c>
      <c r="BC413" s="39">
        <v>5</v>
      </c>
      <c r="BD413" s="39">
        <v>6</v>
      </c>
      <c r="BE413" s="39" t="s">
        <v>130</v>
      </c>
      <c r="BF413" s="39">
        <v>0.98</v>
      </c>
      <c r="BG413" s="39">
        <v>10</v>
      </c>
      <c r="BH413" s="48">
        <v>2056.5</v>
      </c>
      <c r="BI413" s="39" t="s">
        <v>4563</v>
      </c>
      <c r="BJ413" s="39" t="s">
        <v>131</v>
      </c>
    </row>
    <row r="414" spans="1:62" x14ac:dyDescent="0.35">
      <c r="A414" s="39" t="s">
        <v>577</v>
      </c>
      <c r="B414" s="39" t="str">
        <f>IFERROR(INDEX(added_new_stocks!$F$6:$H$2155,MATCH($A414,added_new_stocks!$F$6:$F$2600,0),3),"")</f>
        <v>Large</v>
      </c>
      <c r="C414" s="39">
        <v>263.7</v>
      </c>
      <c r="D414" s="39">
        <v>50</v>
      </c>
      <c r="G414" s="39" t="s">
        <v>4562</v>
      </c>
      <c r="H414" s="39" t="s">
        <v>7935</v>
      </c>
      <c r="I414" s="39" t="s">
        <v>4624</v>
      </c>
      <c r="J414" s="39" t="s">
        <v>7936</v>
      </c>
      <c r="K414" s="39" t="s">
        <v>4615</v>
      </c>
      <c r="L414" s="39" t="s">
        <v>5836</v>
      </c>
      <c r="M414" s="39" t="s">
        <v>4959</v>
      </c>
      <c r="N414" s="39">
        <v>2</v>
      </c>
      <c r="O414" s="39">
        <v>-15</v>
      </c>
      <c r="P414" s="39">
        <v>-13</v>
      </c>
      <c r="Q414" s="39" t="s">
        <v>4605</v>
      </c>
      <c r="R414" s="39">
        <v>-0.94</v>
      </c>
      <c r="S414" s="39">
        <v>-3.16</v>
      </c>
      <c r="T414" s="39">
        <v>8.85</v>
      </c>
      <c r="U414" s="39">
        <v>35.270000000000003</v>
      </c>
      <c r="V414" s="39">
        <v>31.88</v>
      </c>
      <c r="W414" s="39">
        <v>9.92</v>
      </c>
      <c r="X414" s="39">
        <v>2.65</v>
      </c>
      <c r="Y414" s="39">
        <v>53.54</v>
      </c>
      <c r="Z414" s="39">
        <v>29.58</v>
      </c>
      <c r="AA414" s="39">
        <v>-29.39</v>
      </c>
      <c r="AB414" s="39">
        <v>-47.14</v>
      </c>
      <c r="AC414" s="39">
        <v>13.91</v>
      </c>
      <c r="AD414" s="39" t="s">
        <v>4974</v>
      </c>
      <c r="AE414" s="39">
        <v>5.38</v>
      </c>
      <c r="AF414" s="39">
        <v>28</v>
      </c>
      <c r="AG414" s="42">
        <v>0.3</v>
      </c>
      <c r="AH414" s="39">
        <v>252</v>
      </c>
      <c r="AI414" s="42">
        <v>0.33400000000000002</v>
      </c>
      <c r="AJ414" s="39" t="s">
        <v>5837</v>
      </c>
      <c r="AK414" s="42">
        <v>3.4500000000000003E-2</v>
      </c>
      <c r="AL414" s="39" t="s">
        <v>5506</v>
      </c>
      <c r="AM414" s="42">
        <v>7.6600000000000001E-2</v>
      </c>
      <c r="AN414" s="42">
        <v>0.15570000000000001</v>
      </c>
      <c r="AO414" s="41">
        <v>95</v>
      </c>
      <c r="AP414" s="39">
        <v>82</v>
      </c>
      <c r="AQ414" s="39">
        <v>57</v>
      </c>
      <c r="AS414" s="39" t="s">
        <v>4564</v>
      </c>
      <c r="AW414" s="39">
        <v>627.77</v>
      </c>
      <c r="AX414" s="39">
        <v>644.92999999999995</v>
      </c>
      <c r="AY414" s="39">
        <v>654.07000000000005</v>
      </c>
      <c r="AZ414" s="39">
        <v>601.47</v>
      </c>
      <c r="BA414" s="39">
        <v>592.33000000000004</v>
      </c>
      <c r="BB414" s="39">
        <v>575.16999999999996</v>
      </c>
      <c r="BC414" s="39">
        <v>2</v>
      </c>
      <c r="BD414" s="39">
        <v>6</v>
      </c>
      <c r="BE414" s="39" t="s">
        <v>130</v>
      </c>
      <c r="BF414" s="39">
        <v>-0.11</v>
      </c>
      <c r="BG414" s="39">
        <v>21</v>
      </c>
      <c r="BH414" s="48">
        <v>1258.5999999999999</v>
      </c>
      <c r="BI414" s="39" t="s">
        <v>4651</v>
      </c>
      <c r="BJ414" s="39" t="s">
        <v>4651</v>
      </c>
    </row>
    <row r="415" spans="1:62" x14ac:dyDescent="0.35">
      <c r="A415" s="39" t="s">
        <v>587</v>
      </c>
      <c r="B415" s="39" t="str">
        <f>IFERROR(INDEX(added_new_stocks!$F$6:$H$2155,MATCH($A415,added_new_stocks!$F$6:$F$2600,0),3),"")</f>
        <v>Mid</v>
      </c>
      <c r="C415" s="48">
        <v>13296.6</v>
      </c>
      <c r="D415" s="39">
        <v>78</v>
      </c>
      <c r="E415" s="39" t="s">
        <v>4987</v>
      </c>
      <c r="F415" s="39" t="s">
        <v>7937</v>
      </c>
      <c r="G415" s="39" t="s">
        <v>129</v>
      </c>
      <c r="H415" s="39" t="s">
        <v>5843</v>
      </c>
      <c r="I415" s="39" t="s">
        <v>4624</v>
      </c>
      <c r="J415" s="39" t="s">
        <v>5844</v>
      </c>
      <c r="K415" s="39" t="s">
        <v>133</v>
      </c>
      <c r="L415" s="39" t="s">
        <v>7938</v>
      </c>
      <c r="M415" s="39" t="s">
        <v>4620</v>
      </c>
      <c r="N415" s="39">
        <v>22</v>
      </c>
      <c r="O415" s="39">
        <v>-2</v>
      </c>
      <c r="P415" s="39">
        <v>20</v>
      </c>
      <c r="Q415" s="39" t="s">
        <v>5060</v>
      </c>
      <c r="R415" s="39">
        <v>1.29</v>
      </c>
      <c r="S415" s="39">
        <v>0.81</v>
      </c>
      <c r="T415" s="39">
        <v>2.77</v>
      </c>
      <c r="U415" s="39">
        <v>25.1</v>
      </c>
      <c r="V415" s="39">
        <v>29.01</v>
      </c>
      <c r="W415" s="39">
        <v>48.65</v>
      </c>
      <c r="X415" s="39">
        <v>38.72</v>
      </c>
      <c r="Y415" s="39">
        <v>90.26</v>
      </c>
      <c r="Z415" s="39">
        <v>91.01</v>
      </c>
      <c r="AA415" s="39">
        <v>116.54</v>
      </c>
      <c r="AB415" s="39">
        <v>84.91</v>
      </c>
      <c r="AC415" s="39">
        <v>736.53</v>
      </c>
      <c r="AD415" s="39" t="s">
        <v>4606</v>
      </c>
      <c r="AE415" s="39" t="s">
        <v>134</v>
      </c>
      <c r="AF415" s="39">
        <v>23</v>
      </c>
      <c r="AG415" s="42">
        <v>0.14990000000000001</v>
      </c>
      <c r="AH415" s="39">
        <v>62</v>
      </c>
      <c r="AI415" s="42">
        <v>1.2699999999999999E-2</v>
      </c>
      <c r="AJ415" s="39" t="s">
        <v>5846</v>
      </c>
      <c r="AK415" s="43">
        <v>0.75</v>
      </c>
      <c r="AL415" s="39" t="s">
        <v>5423</v>
      </c>
      <c r="AM415" s="42">
        <v>9.0200000000000002E-2</v>
      </c>
      <c r="AN415" s="42">
        <v>6.1899999999999997E-2</v>
      </c>
      <c r="AO415" s="41">
        <v>45</v>
      </c>
      <c r="AP415" s="39">
        <v>16</v>
      </c>
      <c r="AQ415" s="39">
        <v>57</v>
      </c>
      <c r="AR415" s="39">
        <v>289</v>
      </c>
      <c r="AS415" s="39">
        <v>9</v>
      </c>
      <c r="AT415" s="39" t="s">
        <v>129</v>
      </c>
      <c r="AU415" s="39">
        <v>22</v>
      </c>
      <c r="AV415" s="39" t="s">
        <v>6601</v>
      </c>
      <c r="AW415" s="39">
        <v>268.23</v>
      </c>
      <c r="AX415" s="39">
        <v>271.52</v>
      </c>
      <c r="AY415" s="39">
        <v>274.08</v>
      </c>
      <c r="AZ415" s="39">
        <v>262.38</v>
      </c>
      <c r="BA415" s="39">
        <v>259.82</v>
      </c>
      <c r="BB415" s="39">
        <v>256.52999999999997</v>
      </c>
      <c r="BC415" s="39">
        <v>6</v>
      </c>
      <c r="BD415" s="39" t="s">
        <v>130</v>
      </c>
      <c r="BE415" s="39">
        <v>0.5</v>
      </c>
      <c r="BF415" s="39">
        <v>0.01</v>
      </c>
      <c r="BG415" s="39">
        <v>4</v>
      </c>
      <c r="BH415" s="39">
        <v>3</v>
      </c>
      <c r="BI415" s="39" t="s">
        <v>4563</v>
      </c>
      <c r="BJ415" s="39" t="s">
        <v>132</v>
      </c>
    </row>
    <row r="416" spans="1:62" x14ac:dyDescent="0.35">
      <c r="A416" s="39" t="s">
        <v>374</v>
      </c>
      <c r="B416" s="39" t="str">
        <f>IFERROR(INDEX(added_new_stocks!$F$6:$H$2155,MATCH($A416,added_new_stocks!$F$6:$F$2600,0),3),"")</f>
        <v>Large</v>
      </c>
      <c r="C416" s="39">
        <v>99.88</v>
      </c>
      <c r="D416" s="39">
        <v>46</v>
      </c>
      <c r="G416" s="39" t="s">
        <v>4625</v>
      </c>
      <c r="H416" s="39" t="s">
        <v>7939</v>
      </c>
      <c r="I416" s="39" t="s">
        <v>4624</v>
      </c>
      <c r="J416" s="39" t="s">
        <v>7940</v>
      </c>
      <c r="K416" s="39" t="s">
        <v>4603</v>
      </c>
      <c r="L416" s="39" t="s">
        <v>5437</v>
      </c>
      <c r="N416" s="39">
        <v>18</v>
      </c>
      <c r="O416" s="39">
        <v>0</v>
      </c>
      <c r="P416" s="39">
        <v>18</v>
      </c>
      <c r="Q416" s="39" t="s">
        <v>14</v>
      </c>
      <c r="R416" s="39" t="s">
        <v>4538</v>
      </c>
      <c r="S416" s="39">
        <v>6.49</v>
      </c>
      <c r="T416" s="39">
        <v>18.809999999999999</v>
      </c>
      <c r="U416" s="39">
        <v>45.75</v>
      </c>
      <c r="V416" s="39">
        <v>85.96</v>
      </c>
      <c r="W416" s="39">
        <v>68.290000000000006</v>
      </c>
      <c r="X416" s="39">
        <v>72.209999999999994</v>
      </c>
      <c r="Y416" s="39">
        <v>-25.71</v>
      </c>
      <c r="Z416" s="39" t="s">
        <v>4538</v>
      </c>
      <c r="AA416" s="39" t="s">
        <v>4538</v>
      </c>
      <c r="AB416" s="39" t="s">
        <v>4538</v>
      </c>
      <c r="AC416" s="39" t="s">
        <v>4538</v>
      </c>
      <c r="AD416" s="39" t="s">
        <v>4974</v>
      </c>
      <c r="AE416" s="39" t="s">
        <v>134</v>
      </c>
      <c r="AF416" s="39">
        <v>22</v>
      </c>
      <c r="AG416" s="42">
        <v>8.3000000000000004E-2</v>
      </c>
      <c r="AH416" s="39">
        <v>768</v>
      </c>
      <c r="AI416" s="42">
        <v>0.54420000000000002</v>
      </c>
      <c r="AL416" s="39" t="s">
        <v>7941</v>
      </c>
      <c r="AM416" s="39" t="s">
        <v>7201</v>
      </c>
      <c r="AN416" s="42">
        <v>7.2499999999999995E-2</v>
      </c>
      <c r="AO416" s="41">
        <v>70</v>
      </c>
      <c r="AP416" s="39">
        <v>16</v>
      </c>
      <c r="AQ416" s="39">
        <v>62</v>
      </c>
      <c r="AR416" s="45">
        <v>13136</v>
      </c>
      <c r="AS416" s="39">
        <v>1</v>
      </c>
      <c r="AT416" s="39" t="s">
        <v>129</v>
      </c>
      <c r="AU416" s="39">
        <v>5</v>
      </c>
      <c r="AV416" s="39" t="s">
        <v>6602</v>
      </c>
      <c r="AW416" s="39">
        <v>13148.5</v>
      </c>
      <c r="AX416" s="39">
        <v>13384.15</v>
      </c>
      <c r="AY416" s="39">
        <v>13608.4</v>
      </c>
      <c r="AZ416" s="39">
        <v>12688.6</v>
      </c>
      <c r="BA416" s="39">
        <v>12464.35</v>
      </c>
      <c r="BB416" s="39">
        <v>12228.7</v>
      </c>
      <c r="BC416" s="39">
        <v>10</v>
      </c>
      <c r="BD416" s="39">
        <v>1</v>
      </c>
      <c r="BE416" s="39">
        <v>3</v>
      </c>
      <c r="BF416" s="39" t="s">
        <v>130</v>
      </c>
      <c r="BG416" s="48">
        <v>2312.6999999999998</v>
      </c>
      <c r="BH416" s="39">
        <v>0.2</v>
      </c>
      <c r="BI416" s="39" t="s">
        <v>131</v>
      </c>
      <c r="BJ416" s="39" t="s">
        <v>132</v>
      </c>
    </row>
    <row r="417" spans="1:62" x14ac:dyDescent="0.35">
      <c r="A417" s="39" t="s">
        <v>344</v>
      </c>
      <c r="B417" s="39" t="str">
        <f>IFERROR(INDEX(added_new_stocks!$F$6:$H$2155,MATCH($A417,added_new_stocks!$F$6:$F$2600,0),3),"")</f>
        <v>Large</v>
      </c>
      <c r="C417" s="39">
        <v>625.9</v>
      </c>
      <c r="D417" s="39">
        <v>81</v>
      </c>
      <c r="G417" s="39" t="s">
        <v>4633</v>
      </c>
      <c r="H417" s="39" t="s">
        <v>7942</v>
      </c>
      <c r="I417" s="39" t="s">
        <v>4624</v>
      </c>
      <c r="J417" s="39" t="s">
        <v>7943</v>
      </c>
      <c r="K417" s="39" t="s">
        <v>133</v>
      </c>
      <c r="L417" s="39" t="s">
        <v>7944</v>
      </c>
      <c r="M417" s="39" t="s">
        <v>135</v>
      </c>
      <c r="N417" s="39">
        <v>28</v>
      </c>
      <c r="O417" s="39">
        <v>-2</v>
      </c>
      <c r="P417" s="39">
        <v>26</v>
      </c>
      <c r="Q417" s="39" t="s">
        <v>5060</v>
      </c>
      <c r="R417" s="39">
        <v>-0.42</v>
      </c>
      <c r="S417" s="39">
        <v>-2.39</v>
      </c>
      <c r="T417" s="39">
        <v>-0.96</v>
      </c>
      <c r="U417" s="39">
        <v>24.56</v>
      </c>
      <c r="V417" s="39">
        <v>32.299999999999997</v>
      </c>
      <c r="W417" s="39">
        <v>48.98</v>
      </c>
      <c r="X417" s="39">
        <v>65.45</v>
      </c>
      <c r="Y417" s="39">
        <v>12.99</v>
      </c>
      <c r="Z417" s="39">
        <v>68.55</v>
      </c>
      <c r="AA417" s="39">
        <v>177.81</v>
      </c>
      <c r="AB417" s="39">
        <v>55.27</v>
      </c>
      <c r="AC417" s="39">
        <v>381.04</v>
      </c>
      <c r="AD417" s="39" t="s">
        <v>4606</v>
      </c>
      <c r="AE417" s="39" t="s">
        <v>134</v>
      </c>
      <c r="AF417" s="39">
        <v>26</v>
      </c>
      <c r="AG417" s="42">
        <v>5.8000000000000003E-2</v>
      </c>
      <c r="AH417" s="39">
        <v>223</v>
      </c>
      <c r="AI417" s="42">
        <v>4.0399999999999998E-2</v>
      </c>
      <c r="AJ417" s="39" t="s">
        <v>7945</v>
      </c>
      <c r="AK417" s="39" t="s">
        <v>7946</v>
      </c>
      <c r="AL417" s="39" t="s">
        <v>7947</v>
      </c>
      <c r="AM417" s="42">
        <v>5.9799999999999999E-2</v>
      </c>
      <c r="AN417" s="42">
        <v>5.9700000000000003E-2</v>
      </c>
      <c r="AO417" s="41">
        <v>25</v>
      </c>
      <c r="AP417" s="39">
        <v>7</v>
      </c>
      <c r="AQ417" s="39">
        <v>65</v>
      </c>
      <c r="AR417" s="39">
        <v>101</v>
      </c>
      <c r="AS417" s="39">
        <v>1</v>
      </c>
      <c r="AT417" s="39" t="s">
        <v>129</v>
      </c>
      <c r="AU417" s="39">
        <v>25</v>
      </c>
      <c r="AV417" s="39" t="s">
        <v>6603</v>
      </c>
      <c r="AZ417" s="39">
        <v>95.6</v>
      </c>
      <c r="BA417" s="39">
        <v>96.5</v>
      </c>
      <c r="BB417" s="39">
        <v>98</v>
      </c>
      <c r="BC417" s="39">
        <v>12</v>
      </c>
      <c r="BD417" s="39" t="s">
        <v>130</v>
      </c>
      <c r="BE417" s="39">
        <v>2.54</v>
      </c>
      <c r="BF417" s="39">
        <v>0.12</v>
      </c>
      <c r="BG417" s="39">
        <v>2</v>
      </c>
      <c r="BH417" s="39">
        <v>12</v>
      </c>
      <c r="BI417" s="39" t="s">
        <v>132</v>
      </c>
      <c r="BJ417" s="39" t="s">
        <v>131</v>
      </c>
    </row>
    <row r="418" spans="1:62" x14ac:dyDescent="0.35">
      <c r="A418" s="39" t="s">
        <v>788</v>
      </c>
      <c r="B418" s="39" t="str">
        <f>IFERROR(INDEX(added_new_stocks!$F$6:$H$2155,MATCH($A418,added_new_stocks!$F$6:$F$2600,0),3),"")</f>
        <v>Mid</v>
      </c>
      <c r="C418" s="48">
        <v>1622.15</v>
      </c>
      <c r="D418" s="39">
        <v>65</v>
      </c>
      <c r="G418" s="39" t="s">
        <v>4562</v>
      </c>
      <c r="H418" s="39" t="s">
        <v>7948</v>
      </c>
      <c r="I418" s="39" t="s">
        <v>4624</v>
      </c>
      <c r="J418" s="39" t="s">
        <v>7949</v>
      </c>
      <c r="K418" s="39" t="s">
        <v>4615</v>
      </c>
      <c r="L418" s="39" t="s">
        <v>5008</v>
      </c>
      <c r="M418" s="39" t="s">
        <v>5047</v>
      </c>
      <c r="N418" s="39">
        <v>5</v>
      </c>
      <c r="O418" s="39">
        <v>-10</v>
      </c>
      <c r="P418" s="39">
        <v>-5</v>
      </c>
      <c r="Q418" s="39" t="s">
        <v>4611</v>
      </c>
      <c r="R418" s="39">
        <v>0.02</v>
      </c>
      <c r="S418" s="39">
        <v>-1.39</v>
      </c>
      <c r="T418" s="39">
        <v>10.36</v>
      </c>
      <c r="U418" s="39">
        <v>11.41</v>
      </c>
      <c r="V418" s="39">
        <v>11.92</v>
      </c>
      <c r="W418" s="39">
        <v>7.54</v>
      </c>
      <c r="X418" s="39">
        <v>1.21</v>
      </c>
      <c r="Y418" s="39">
        <v>-29.65</v>
      </c>
      <c r="Z418" s="39">
        <v>0.38</v>
      </c>
      <c r="AA418" s="39">
        <v>-1.54</v>
      </c>
      <c r="AB418" s="39">
        <v>-1.96</v>
      </c>
      <c r="AC418" s="39">
        <v>205.72</v>
      </c>
      <c r="AD418" s="39" t="s">
        <v>4606</v>
      </c>
      <c r="AE418" s="39" t="s">
        <v>134</v>
      </c>
      <c r="AF418" s="39">
        <v>12</v>
      </c>
      <c r="AG418" s="42">
        <v>9.3799999999999994E-2</v>
      </c>
      <c r="AH418" s="39">
        <v>83</v>
      </c>
      <c r="AI418" s="42">
        <v>3.2300000000000002E-2</v>
      </c>
      <c r="AJ418" s="39" t="s">
        <v>7950</v>
      </c>
      <c r="AK418" s="42">
        <v>0.57589999999999997</v>
      </c>
      <c r="AL418" s="39" t="s">
        <v>5573</v>
      </c>
      <c r="AM418" s="42">
        <v>4.7899999999999998E-2</v>
      </c>
      <c r="AN418" s="42">
        <v>6.4000000000000001E-2</v>
      </c>
      <c r="AO418" s="41">
        <v>65</v>
      </c>
      <c r="AP418" s="39">
        <v>34</v>
      </c>
      <c r="AQ418" s="39">
        <v>62</v>
      </c>
      <c r="AR418" s="39">
        <v>632</v>
      </c>
      <c r="AS418" s="39">
        <v>1</v>
      </c>
      <c r="AT418" s="39" t="s">
        <v>4562</v>
      </c>
      <c r="AU418" s="39">
        <v>32</v>
      </c>
      <c r="AV418" s="39" t="s">
        <v>6604</v>
      </c>
      <c r="AW418" s="39">
        <v>638.79999999999995</v>
      </c>
      <c r="AX418" s="39">
        <v>645.65</v>
      </c>
      <c r="AY418" s="39">
        <v>650.29999999999995</v>
      </c>
      <c r="AZ418" s="39">
        <v>627.29999999999995</v>
      </c>
      <c r="BA418" s="39">
        <v>622.65</v>
      </c>
      <c r="BB418" s="39">
        <v>615.79999999999995</v>
      </c>
      <c r="BC418" s="39">
        <v>9</v>
      </c>
      <c r="BD418" s="39">
        <v>2</v>
      </c>
      <c r="BE418" s="39">
        <v>3</v>
      </c>
      <c r="BF418" s="39">
        <v>1</v>
      </c>
      <c r="BG418" s="39">
        <v>330.7</v>
      </c>
      <c r="BH418" s="39">
        <v>0.5</v>
      </c>
      <c r="BI418" s="39" t="s">
        <v>4565</v>
      </c>
      <c r="BJ418" s="39" t="s">
        <v>4563</v>
      </c>
    </row>
    <row r="419" spans="1:62" x14ac:dyDescent="0.35">
      <c r="AO419" s="41">
        <v>65</v>
      </c>
      <c r="AP419" s="39">
        <v>28</v>
      </c>
      <c r="AQ419" s="39">
        <v>58</v>
      </c>
      <c r="AR419" s="45">
        <v>1715</v>
      </c>
      <c r="AS419" s="39">
        <v>5</v>
      </c>
      <c r="AT419" s="39" t="s">
        <v>129</v>
      </c>
      <c r="AU419" s="39">
        <v>8</v>
      </c>
      <c r="AV419" s="39" t="s">
        <v>6605</v>
      </c>
      <c r="AW419" s="39">
        <v>1671.5</v>
      </c>
      <c r="AX419" s="39">
        <v>1700.5</v>
      </c>
      <c r="AY419" s="39">
        <v>1721.05</v>
      </c>
      <c r="AZ419" s="39">
        <v>1621.95</v>
      </c>
      <c r="BA419" s="39">
        <v>1601.4</v>
      </c>
      <c r="BB419" s="39">
        <v>1572.4</v>
      </c>
      <c r="BC419" s="39">
        <v>5</v>
      </c>
      <c r="BD419" s="39">
        <v>5</v>
      </c>
      <c r="BE419" s="39">
        <v>4</v>
      </c>
      <c r="BF419" s="39" t="s">
        <v>130</v>
      </c>
      <c r="BG419" s="39">
        <v>899</v>
      </c>
      <c r="BH419" s="39">
        <v>0.5</v>
      </c>
      <c r="BI419" s="39" t="s">
        <v>131</v>
      </c>
      <c r="BJ419" s="39" t="s">
        <v>4563</v>
      </c>
    </row>
    <row r="1039565" ht="12.75" customHeight="1" x14ac:dyDescent="0.35"/>
    <row r="1039566" ht="12.75" customHeight="1" x14ac:dyDescent="0.35"/>
    <row r="1039567" ht="12.75" customHeight="1" x14ac:dyDescent="0.35"/>
    <row r="1039568" ht="12.75" customHeight="1" x14ac:dyDescent="0.35"/>
    <row r="1039569" ht="12.75" customHeight="1" x14ac:dyDescent="0.35"/>
    <row r="1039570" ht="12.75" customHeight="1" x14ac:dyDescent="0.35"/>
    <row r="1039571" ht="12.75" customHeight="1" x14ac:dyDescent="0.35"/>
    <row r="1039572" ht="12.75" customHeight="1" x14ac:dyDescent="0.35"/>
    <row r="1039573" ht="12.75" customHeight="1" x14ac:dyDescent="0.35"/>
    <row r="1039574" ht="12.75" customHeight="1" x14ac:dyDescent="0.35"/>
    <row r="1039575" ht="12.75" customHeight="1" x14ac:dyDescent="0.35"/>
    <row r="1039576" ht="12.75" customHeight="1" x14ac:dyDescent="0.35"/>
    <row r="1039577" ht="12.75" customHeight="1" x14ac:dyDescent="0.35"/>
    <row r="1039578" ht="12.75" customHeight="1" x14ac:dyDescent="0.35"/>
  </sheetData>
  <sheetProtection formatCells="0" formatColumns="0" formatRows="0" insertColumns="0" insertRows="0" insertHyperlinks="0" deleteColumns="0" deleteRows="0" sort="0" autoFilter="0" pivotTables="0"/>
  <autoFilter ref="A5:BL5" xr:uid="{D1C3FBE0-9A23-44A9-9FE0-77ACAB825F93}"/>
  <mergeCells count="10">
    <mergeCell ref="D2:AO2"/>
    <mergeCell ref="AP2:BK2"/>
    <mergeCell ref="D3:AO3"/>
    <mergeCell ref="AP3:BK3"/>
    <mergeCell ref="E4:I4"/>
    <mergeCell ref="J4:K4"/>
    <mergeCell ref="L4:M4"/>
    <mergeCell ref="O4:R4"/>
    <mergeCell ref="S4:AD4"/>
    <mergeCell ref="AE4:AO4"/>
  </mergeCells>
  <pageMargins left="0.7" right="0.7" top="0.75" bottom="0.75" header="0.51180555555554996" footer="0.51180555555554996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2CE3A-3864-4B02-BBA0-D667331BCAA2}">
  <sheetPr codeName="Sheet13"/>
  <dimension ref="A1:M16"/>
  <sheetViews>
    <sheetView showGridLines="0" workbookViewId="0">
      <selection activeCell="B18" sqref="B18"/>
    </sheetView>
  </sheetViews>
  <sheetFormatPr defaultRowHeight="14.5" x14ac:dyDescent="0.35"/>
  <cols>
    <col min="1" max="8" width="22.54296875" style="39" customWidth="1"/>
    <col min="9" max="10" width="8.7265625" style="39"/>
    <col min="11" max="11" width="22.54296875" style="39" customWidth="1"/>
    <col min="12" max="12" width="60.453125" style="39" customWidth="1"/>
    <col min="13" max="13" width="16.6328125" customWidth="1"/>
  </cols>
  <sheetData>
    <row r="1" spans="1:13" ht="48" customHeight="1" thickBot="1" x14ac:dyDescent="0.4">
      <c r="A1"/>
      <c r="B1"/>
      <c r="C1"/>
      <c r="D1"/>
      <c r="E1"/>
      <c r="F1"/>
      <c r="G1"/>
      <c r="H1"/>
      <c r="I1"/>
      <c r="J1"/>
      <c r="K1"/>
      <c r="L1"/>
    </row>
    <row r="2" spans="1:13" ht="15" thickBot="1" x14ac:dyDescent="0.4">
      <c r="A2" s="61" t="s">
        <v>4570</v>
      </c>
      <c r="B2" s="61" t="s">
        <v>4994</v>
      </c>
      <c r="C2" s="61" t="s">
        <v>4573</v>
      </c>
      <c r="D2" s="61" t="s">
        <v>4575</v>
      </c>
      <c r="E2" s="62" t="s">
        <v>4545</v>
      </c>
      <c r="F2" s="62" t="s">
        <v>4546</v>
      </c>
      <c r="G2" s="62" t="s">
        <v>4547</v>
      </c>
      <c r="H2" s="62" t="s">
        <v>5897</v>
      </c>
      <c r="I2" s="62" t="s">
        <v>5896</v>
      </c>
      <c r="J2" s="46" t="s">
        <v>4623</v>
      </c>
      <c r="K2" s="61" t="s">
        <v>4571</v>
      </c>
      <c r="L2"/>
    </row>
    <row r="3" spans="1:13" x14ac:dyDescent="0.35">
      <c r="A3" s="63" t="s">
        <v>4633</v>
      </c>
      <c r="B3" s="63" t="s">
        <v>4624</v>
      </c>
      <c r="C3" s="63" t="s">
        <v>133</v>
      </c>
      <c r="D3" s="63" t="s">
        <v>5047</v>
      </c>
      <c r="E3" s="63" t="s">
        <v>5891</v>
      </c>
      <c r="F3" s="63" t="s">
        <v>5892</v>
      </c>
      <c r="G3" s="63" t="s">
        <v>5891</v>
      </c>
      <c r="H3" s="63" t="s">
        <v>5060</v>
      </c>
      <c r="I3" s="63" t="s">
        <v>4633</v>
      </c>
      <c r="J3" s="63" t="s">
        <v>4361</v>
      </c>
      <c r="K3" s="63" t="str">
        <f>"NA"</f>
        <v>NA</v>
      </c>
      <c r="L3"/>
    </row>
    <row r="4" spans="1:13" x14ac:dyDescent="0.35">
      <c r="A4" s="4" t="s">
        <v>129</v>
      </c>
      <c r="B4" s="4" t="s">
        <v>4989</v>
      </c>
      <c r="C4" s="4" t="s">
        <v>4615</v>
      </c>
      <c r="D4" s="4" t="s">
        <v>4955</v>
      </c>
      <c r="E4" s="2"/>
      <c r="F4" s="2"/>
      <c r="G4" s="2"/>
      <c r="H4" s="4" t="s">
        <v>14</v>
      </c>
      <c r="I4" s="2" t="s">
        <v>129</v>
      </c>
      <c r="J4" s="2"/>
      <c r="K4" s="2"/>
      <c r="L4"/>
    </row>
    <row r="5" spans="1:13" x14ac:dyDescent="0.35">
      <c r="A5" s="4" t="s">
        <v>4562</v>
      </c>
      <c r="B5" s="2"/>
      <c r="C5" s="4" t="s">
        <v>4957</v>
      </c>
      <c r="D5" s="2"/>
      <c r="E5" s="2"/>
      <c r="F5" s="2"/>
      <c r="G5" s="2"/>
      <c r="H5" s="4" t="s">
        <v>5076</v>
      </c>
      <c r="I5" s="2"/>
      <c r="J5" s="2"/>
      <c r="K5" s="2"/>
      <c r="L5"/>
    </row>
    <row r="6" spans="1:13" x14ac:dyDescent="0.35">
      <c r="A6"/>
      <c r="B6"/>
      <c r="C6"/>
      <c r="D6"/>
      <c r="E6"/>
      <c r="F6"/>
      <c r="G6"/>
      <c r="H6"/>
      <c r="I6"/>
      <c r="J6"/>
      <c r="K6"/>
      <c r="L6"/>
    </row>
    <row r="7" spans="1:13" x14ac:dyDescent="0.35">
      <c r="A7"/>
      <c r="B7"/>
      <c r="C7"/>
      <c r="D7"/>
      <c r="E7"/>
      <c r="F7"/>
      <c r="G7"/>
      <c r="H7"/>
      <c r="I7"/>
      <c r="J7"/>
      <c r="K7"/>
      <c r="L7"/>
    </row>
    <row r="8" spans="1:13" x14ac:dyDescent="0.35">
      <c r="A8"/>
      <c r="B8"/>
      <c r="C8"/>
      <c r="D8"/>
      <c r="E8"/>
      <c r="F8"/>
      <c r="G8"/>
      <c r="H8"/>
      <c r="I8"/>
      <c r="J8"/>
      <c r="K8"/>
      <c r="L8"/>
    </row>
    <row r="9" spans="1:13" x14ac:dyDescent="0.35">
      <c r="A9"/>
      <c r="B9"/>
      <c r="C9"/>
      <c r="D9"/>
      <c r="E9"/>
      <c r="F9"/>
      <c r="G9"/>
      <c r="H9"/>
      <c r="I9"/>
      <c r="J9"/>
      <c r="K9"/>
      <c r="L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</row>
    <row r="11" spans="1:13" s="69" customFormat="1" ht="15" thickBot="1" x14ac:dyDescent="0.4"/>
    <row r="12" spans="1:13" ht="16" thickBot="1" x14ac:dyDescent="0.4">
      <c r="A12" s="68" t="s">
        <v>4359</v>
      </c>
      <c r="B12" s="68" t="s">
        <v>4570</v>
      </c>
      <c r="C12" s="68" t="s">
        <v>4994</v>
      </c>
      <c r="D12" s="68" t="s">
        <v>4573</v>
      </c>
      <c r="E12" s="68" t="s">
        <v>4575</v>
      </c>
      <c r="F12" s="68" t="s">
        <v>4545</v>
      </c>
      <c r="G12" s="68" t="s">
        <v>4546</v>
      </c>
      <c r="H12" s="68" t="s">
        <v>4547</v>
      </c>
      <c r="I12" s="68" t="s">
        <v>5897</v>
      </c>
      <c r="J12" s="68" t="s">
        <v>5896</v>
      </c>
      <c r="K12" s="68" t="s">
        <v>4623</v>
      </c>
      <c r="L12" s="68" t="s">
        <v>4571</v>
      </c>
      <c r="M12" s="72" t="s">
        <v>5899</v>
      </c>
    </row>
    <row r="13" spans="1:13" x14ac:dyDescent="0.35">
      <c r="A13" s="39" t="s">
        <v>209</v>
      </c>
      <c r="B13" s="39" t="s">
        <v>129</v>
      </c>
      <c r="C13" s="39" t="s">
        <v>4624</v>
      </c>
      <c r="D13" s="39" t="s">
        <v>133</v>
      </c>
      <c r="E13" s="39" t="s">
        <v>5047</v>
      </c>
      <c r="F13" s="39">
        <v>60</v>
      </c>
      <c r="G13" s="39">
        <v>40</v>
      </c>
      <c r="H13" s="39">
        <v>64</v>
      </c>
      <c r="I13" s="39" t="s">
        <v>14</v>
      </c>
      <c r="J13" s="39" t="s">
        <v>129</v>
      </c>
      <c r="K13" s="39" t="s">
        <v>4361</v>
      </c>
      <c r="L13" s="39" t="s">
        <v>5044</v>
      </c>
      <c r="M13" s="39"/>
    </row>
    <row r="14" spans="1:13" x14ac:dyDescent="0.35">
      <c r="A14" s="39" t="s">
        <v>282</v>
      </c>
      <c r="B14" s="39" t="s">
        <v>4633</v>
      </c>
      <c r="C14" s="39" t="s">
        <v>4989</v>
      </c>
      <c r="D14" s="39" t="s">
        <v>133</v>
      </c>
      <c r="E14" s="39" t="s">
        <v>4955</v>
      </c>
      <c r="F14" s="39">
        <v>65</v>
      </c>
      <c r="G14" s="39">
        <v>67</v>
      </c>
      <c r="H14" s="39">
        <v>49</v>
      </c>
      <c r="I14" s="39" t="s">
        <v>5060</v>
      </c>
      <c r="J14" s="39" t="s">
        <v>129</v>
      </c>
      <c r="K14" s="39" t="s">
        <v>4361</v>
      </c>
      <c r="L14" s="39" t="s">
        <v>5057</v>
      </c>
    </row>
    <row r="15" spans="1:13" x14ac:dyDescent="0.35">
      <c r="A15" s="39" t="s">
        <v>231</v>
      </c>
      <c r="B15" s="39" t="s">
        <v>129</v>
      </c>
      <c r="C15" s="39" t="s">
        <v>4624</v>
      </c>
      <c r="D15" s="39" t="s">
        <v>4615</v>
      </c>
      <c r="E15" s="39" t="s">
        <v>5047</v>
      </c>
      <c r="F15" s="39">
        <v>55</v>
      </c>
      <c r="G15" s="39">
        <v>43</v>
      </c>
      <c r="H15" s="39">
        <v>58</v>
      </c>
      <c r="I15" s="39" t="s">
        <v>5060</v>
      </c>
      <c r="J15" s="39" t="s">
        <v>129</v>
      </c>
      <c r="K15" s="39" t="s">
        <v>4361</v>
      </c>
      <c r="L15" s="39" t="s">
        <v>5439</v>
      </c>
    </row>
    <row r="16" spans="1:13" x14ac:dyDescent="0.35">
      <c r="A16" s="39" t="s">
        <v>367</v>
      </c>
      <c r="B16" s="39" t="s">
        <v>129</v>
      </c>
      <c r="C16" s="39" t="s">
        <v>4624</v>
      </c>
      <c r="D16" s="39" t="s">
        <v>4615</v>
      </c>
      <c r="E16" s="39" t="s">
        <v>5047</v>
      </c>
      <c r="F16" s="39">
        <v>65</v>
      </c>
      <c r="G16" s="39">
        <v>51</v>
      </c>
      <c r="H16" s="39">
        <v>59</v>
      </c>
      <c r="I16" s="39" t="s">
        <v>14</v>
      </c>
      <c r="J16" s="39" t="s">
        <v>129</v>
      </c>
      <c r="K16" s="39" t="s">
        <v>4361</v>
      </c>
      <c r="L16" s="39" t="s">
        <v>7428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BBE12-2F34-4577-BDC6-73094FDFE5AD}">
  <sheetPr codeName="Sheet12"/>
  <dimension ref="A1:M13"/>
  <sheetViews>
    <sheetView showGridLines="0" workbookViewId="0">
      <selection activeCell="A3" sqref="A3"/>
    </sheetView>
  </sheetViews>
  <sheetFormatPr defaultRowHeight="14.5" x14ac:dyDescent="0.35"/>
  <cols>
    <col min="1" max="8" width="22.54296875" style="39" customWidth="1"/>
    <col min="9" max="9" width="13" style="39" customWidth="1"/>
    <col min="10" max="10" width="8.7265625" style="39"/>
    <col min="11" max="11" width="22.54296875" style="39" customWidth="1"/>
    <col min="12" max="12" width="60.453125" style="39" customWidth="1"/>
    <col min="13" max="13" width="16.6328125" customWidth="1"/>
  </cols>
  <sheetData>
    <row r="1" spans="1:13" ht="48" customHeight="1" thickBot="1" x14ac:dyDescent="0.4">
      <c r="A1"/>
      <c r="B1"/>
      <c r="C1"/>
      <c r="D1"/>
      <c r="E1"/>
      <c r="F1"/>
      <c r="G1"/>
      <c r="H1"/>
      <c r="I1"/>
      <c r="J1"/>
      <c r="K1"/>
      <c r="L1"/>
    </row>
    <row r="2" spans="1:13" ht="15" thickBot="1" x14ac:dyDescent="0.4">
      <c r="A2" s="61" t="s">
        <v>4570</v>
      </c>
      <c r="B2" s="61" t="s">
        <v>4994</v>
      </c>
      <c r="C2" s="61" t="s">
        <v>4573</v>
      </c>
      <c r="D2" s="61" t="s">
        <v>4575</v>
      </c>
      <c r="E2" s="62" t="s">
        <v>4545</v>
      </c>
      <c r="F2" s="62" t="s">
        <v>4546</v>
      </c>
      <c r="G2" s="62" t="s">
        <v>4547</v>
      </c>
      <c r="H2" s="62" t="s">
        <v>5897</v>
      </c>
      <c r="I2" s="62" t="s">
        <v>5896</v>
      </c>
      <c r="J2" s="46" t="s">
        <v>4623</v>
      </c>
      <c r="K2" s="61" t="s">
        <v>4571</v>
      </c>
      <c r="L2"/>
    </row>
    <row r="3" spans="1:13" x14ac:dyDescent="0.35">
      <c r="A3" s="63" t="s">
        <v>4633</v>
      </c>
      <c r="B3" s="63" t="s">
        <v>4624</v>
      </c>
      <c r="C3" s="63" t="s">
        <v>133</v>
      </c>
      <c r="D3" s="63" t="s">
        <v>5047</v>
      </c>
      <c r="E3" s="63" t="s">
        <v>5893</v>
      </c>
      <c r="F3" s="63" t="s">
        <v>5894</v>
      </c>
      <c r="G3" s="63" t="s">
        <v>5895</v>
      </c>
      <c r="H3" s="63" t="s">
        <v>5060</v>
      </c>
      <c r="I3" s="63" t="s">
        <v>4633</v>
      </c>
      <c r="J3" s="63" t="s">
        <v>4362</v>
      </c>
      <c r="K3" s="63" t="str">
        <f>"NA"</f>
        <v>NA</v>
      </c>
      <c r="L3"/>
    </row>
    <row r="4" spans="1:13" x14ac:dyDescent="0.35">
      <c r="A4" s="4" t="s">
        <v>129</v>
      </c>
      <c r="B4" s="4"/>
      <c r="C4" s="4" t="s">
        <v>4957</v>
      </c>
      <c r="D4" s="4" t="s">
        <v>4955</v>
      </c>
      <c r="E4" s="2"/>
      <c r="F4" s="2"/>
      <c r="G4" s="2"/>
      <c r="H4" s="4" t="s">
        <v>5076</v>
      </c>
      <c r="I4" s="2" t="s">
        <v>129</v>
      </c>
      <c r="J4" s="2"/>
      <c r="K4" s="2"/>
      <c r="L4"/>
    </row>
    <row r="5" spans="1:13" x14ac:dyDescent="0.35">
      <c r="A5" s="4"/>
      <c r="B5" s="2"/>
      <c r="D5" s="2"/>
      <c r="E5" s="2"/>
      <c r="F5" s="2"/>
      <c r="G5" s="2"/>
      <c r="H5" s="2"/>
      <c r="J5" s="2"/>
      <c r="K5" s="2"/>
      <c r="L5"/>
    </row>
    <row r="6" spans="1:13" x14ac:dyDescent="0.35">
      <c r="A6"/>
      <c r="B6"/>
      <c r="C6"/>
      <c r="D6"/>
      <c r="E6"/>
      <c r="F6"/>
      <c r="G6"/>
      <c r="H6"/>
      <c r="I6"/>
      <c r="J6"/>
      <c r="K6"/>
      <c r="L6"/>
    </row>
    <row r="7" spans="1:13" x14ac:dyDescent="0.35">
      <c r="A7"/>
      <c r="B7"/>
      <c r="C7"/>
      <c r="D7"/>
      <c r="E7"/>
      <c r="F7"/>
      <c r="G7"/>
      <c r="H7"/>
      <c r="I7"/>
      <c r="J7"/>
      <c r="K7"/>
      <c r="L7"/>
    </row>
    <row r="8" spans="1:13" x14ac:dyDescent="0.35">
      <c r="A8"/>
      <c r="B8"/>
      <c r="C8"/>
      <c r="D8"/>
      <c r="E8"/>
      <c r="F8"/>
      <c r="G8"/>
      <c r="H8"/>
      <c r="I8"/>
      <c r="J8"/>
      <c r="K8"/>
      <c r="L8"/>
    </row>
    <row r="9" spans="1:13" x14ac:dyDescent="0.35">
      <c r="A9"/>
      <c r="B9"/>
      <c r="C9"/>
      <c r="D9"/>
      <c r="E9"/>
      <c r="F9"/>
      <c r="G9"/>
      <c r="H9"/>
      <c r="I9"/>
      <c r="J9"/>
      <c r="K9"/>
      <c r="L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</row>
    <row r="11" spans="1:13" ht="15" thickBot="1" x14ac:dyDescent="0.4">
      <c r="A11"/>
      <c r="B11"/>
      <c r="C11"/>
      <c r="D11"/>
      <c r="E11"/>
      <c r="F11"/>
      <c r="G11"/>
      <c r="H11"/>
      <c r="I11"/>
      <c r="J11"/>
      <c r="K11"/>
      <c r="L11"/>
    </row>
    <row r="12" spans="1:13" ht="16" thickBot="1" x14ac:dyDescent="0.4">
      <c r="A12" s="51" t="s">
        <v>4359</v>
      </c>
      <c r="B12" s="51" t="s">
        <v>4570</v>
      </c>
      <c r="C12" s="51" t="s">
        <v>4994</v>
      </c>
      <c r="D12" s="51" t="s">
        <v>4573</v>
      </c>
      <c r="E12" s="51" t="s">
        <v>4575</v>
      </c>
      <c r="F12" s="51" t="s">
        <v>4545</v>
      </c>
      <c r="G12" s="51" t="s">
        <v>4546</v>
      </c>
      <c r="H12" s="51" t="s">
        <v>4547</v>
      </c>
      <c r="I12" s="51" t="s">
        <v>5897</v>
      </c>
      <c r="J12" s="51" t="s">
        <v>5896</v>
      </c>
      <c r="K12" s="51" t="s">
        <v>4623</v>
      </c>
      <c r="L12" s="51" t="s">
        <v>4571</v>
      </c>
      <c r="M12" s="51" t="s">
        <v>5899</v>
      </c>
    </row>
    <row r="13" spans="1:13" x14ac:dyDescent="0.35">
      <c r="A13" s="60"/>
      <c r="B13" s="60"/>
      <c r="C13" s="60"/>
      <c r="D13" s="60"/>
      <c r="E13" s="60"/>
      <c r="F13" s="60"/>
      <c r="G13" s="60"/>
      <c r="H13" s="60"/>
      <c r="I13" s="60"/>
      <c r="J13" s="60"/>
      <c r="K13" s="60"/>
      <c r="L13" s="60"/>
      <c r="M13" s="39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6B364-C31A-440C-93C8-A4349B3259AD}">
  <sheetPr codeName="Sheet11"/>
  <dimension ref="A1:M13"/>
  <sheetViews>
    <sheetView showGridLines="0" tabSelected="1" workbookViewId="0">
      <selection activeCell="E13" sqref="E13"/>
    </sheetView>
  </sheetViews>
  <sheetFormatPr defaultRowHeight="14.5" x14ac:dyDescent="0.35"/>
  <cols>
    <col min="1" max="8" width="22.54296875" style="39" customWidth="1"/>
    <col min="9" max="9" width="13.08984375" style="39" customWidth="1"/>
    <col min="10" max="10" width="10" style="39" customWidth="1"/>
    <col min="11" max="11" width="22.54296875" style="39" customWidth="1"/>
    <col min="12" max="12" width="60.453125" style="39" customWidth="1"/>
    <col min="13" max="13" width="16.6328125" customWidth="1"/>
  </cols>
  <sheetData>
    <row r="1" spans="1:13" ht="48" customHeight="1" thickBot="1" x14ac:dyDescent="0.4">
      <c r="A1"/>
      <c r="B1"/>
      <c r="C1"/>
      <c r="D1"/>
      <c r="E1"/>
      <c r="F1"/>
      <c r="G1"/>
      <c r="H1"/>
      <c r="I1"/>
      <c r="J1"/>
      <c r="K1"/>
      <c r="L1"/>
    </row>
    <row r="2" spans="1:13" ht="15" thickBot="1" x14ac:dyDescent="0.4">
      <c r="A2" s="61" t="s">
        <v>4570</v>
      </c>
      <c r="B2" s="61" t="s">
        <v>4994</v>
      </c>
      <c r="C2" s="61" t="s">
        <v>4573</v>
      </c>
      <c r="D2" s="61" t="s">
        <v>4575</v>
      </c>
      <c r="E2" s="62" t="s">
        <v>4545</v>
      </c>
      <c r="F2" s="62" t="s">
        <v>4546</v>
      </c>
      <c r="G2" s="62" t="s">
        <v>4547</v>
      </c>
      <c r="H2" s="62" t="s">
        <v>5897</v>
      </c>
      <c r="I2" s="62" t="s">
        <v>5896</v>
      </c>
      <c r="J2" s="46" t="s">
        <v>4623</v>
      </c>
      <c r="K2" s="61" t="s">
        <v>4571</v>
      </c>
      <c r="L2"/>
    </row>
    <row r="3" spans="1:13" x14ac:dyDescent="0.35">
      <c r="A3" s="63" t="s">
        <v>4633</v>
      </c>
      <c r="B3" s="63" t="s">
        <v>4624</v>
      </c>
      <c r="C3" s="4" t="s">
        <v>4957</v>
      </c>
      <c r="D3" s="4" t="s">
        <v>4955</v>
      </c>
      <c r="E3" s="63" t="s">
        <v>5893</v>
      </c>
      <c r="F3" s="63" t="s">
        <v>5894</v>
      </c>
      <c r="G3" s="63" t="s">
        <v>5893</v>
      </c>
      <c r="H3" s="63" t="s">
        <v>5060</v>
      </c>
      <c r="I3" s="63" t="s">
        <v>4633</v>
      </c>
      <c r="J3" s="63" t="s">
        <v>4363</v>
      </c>
      <c r="K3" s="63" t="str">
        <f>"NA"</f>
        <v>NA</v>
      </c>
      <c r="L3"/>
    </row>
    <row r="4" spans="1:13" x14ac:dyDescent="0.35">
      <c r="A4" s="4"/>
      <c r="B4" s="4"/>
      <c r="C4" s="4"/>
      <c r="E4" s="2"/>
      <c r="F4" s="2"/>
      <c r="G4" s="2"/>
      <c r="H4" s="4" t="s">
        <v>5076</v>
      </c>
      <c r="I4" s="2"/>
      <c r="J4" s="2"/>
      <c r="K4" s="2"/>
      <c r="L4"/>
    </row>
    <row r="5" spans="1:13" x14ac:dyDescent="0.35">
      <c r="A5" s="4"/>
      <c r="B5" s="2"/>
      <c r="D5" s="2"/>
      <c r="E5" s="2"/>
      <c r="F5" s="2"/>
      <c r="G5" s="2"/>
      <c r="H5" s="2"/>
      <c r="I5" s="2"/>
      <c r="J5" s="2"/>
      <c r="K5" s="2"/>
      <c r="L5"/>
    </row>
    <row r="6" spans="1:13" x14ac:dyDescent="0.35">
      <c r="A6"/>
      <c r="B6"/>
      <c r="C6"/>
      <c r="D6"/>
      <c r="E6"/>
      <c r="F6"/>
      <c r="G6"/>
      <c r="H6"/>
      <c r="I6"/>
      <c r="J6"/>
      <c r="K6"/>
      <c r="L6"/>
    </row>
    <row r="7" spans="1:13" x14ac:dyDescent="0.35">
      <c r="A7"/>
      <c r="B7"/>
      <c r="C7"/>
      <c r="D7"/>
      <c r="E7"/>
      <c r="F7"/>
      <c r="G7"/>
      <c r="H7"/>
      <c r="I7"/>
      <c r="J7"/>
      <c r="K7"/>
      <c r="L7"/>
    </row>
    <row r="8" spans="1:13" x14ac:dyDescent="0.35">
      <c r="A8"/>
      <c r="B8"/>
      <c r="C8"/>
      <c r="D8"/>
      <c r="E8"/>
      <c r="F8"/>
      <c r="G8"/>
      <c r="H8"/>
      <c r="I8"/>
      <c r="J8"/>
      <c r="K8"/>
      <c r="L8"/>
    </row>
    <row r="9" spans="1:13" x14ac:dyDescent="0.35">
      <c r="A9"/>
      <c r="B9"/>
      <c r="C9"/>
      <c r="D9"/>
      <c r="E9"/>
      <c r="F9"/>
      <c r="G9"/>
      <c r="H9"/>
      <c r="I9"/>
      <c r="J9"/>
      <c r="K9"/>
      <c r="L9"/>
    </row>
    <row r="10" spans="1:13" x14ac:dyDescent="0.35">
      <c r="A10"/>
      <c r="B10"/>
      <c r="C10"/>
      <c r="D10"/>
      <c r="E10"/>
      <c r="F10"/>
      <c r="G10"/>
      <c r="H10"/>
      <c r="I10"/>
      <c r="J10"/>
      <c r="K10"/>
      <c r="L10"/>
    </row>
    <row r="11" spans="1:13" s="69" customFormat="1" ht="15" thickBot="1" x14ac:dyDescent="0.4"/>
    <row r="12" spans="1:13" ht="16" thickBot="1" x14ac:dyDescent="0.4">
      <c r="A12" s="68" t="s">
        <v>4359</v>
      </c>
      <c r="B12" s="68" t="s">
        <v>4570</v>
      </c>
      <c r="C12" s="68" t="s">
        <v>4994</v>
      </c>
      <c r="D12" s="68" t="s">
        <v>4573</v>
      </c>
      <c r="E12" s="68" t="s">
        <v>4575</v>
      </c>
      <c r="F12" s="68" t="s">
        <v>4545</v>
      </c>
      <c r="G12" s="68" t="s">
        <v>4546</v>
      </c>
      <c r="H12" s="68" t="s">
        <v>4547</v>
      </c>
      <c r="I12" s="68" t="s">
        <v>5897</v>
      </c>
      <c r="J12" s="68" t="s">
        <v>5896</v>
      </c>
      <c r="K12" s="68" t="s">
        <v>4623</v>
      </c>
      <c r="L12" s="68" t="s">
        <v>4571</v>
      </c>
      <c r="M12" s="72" t="s">
        <v>5899</v>
      </c>
    </row>
    <row r="13" spans="1:13" x14ac:dyDescent="0.35">
      <c r="M13" s="3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</vt:i4>
      </vt:variant>
    </vt:vector>
  </HeadingPairs>
  <TitlesOfParts>
    <vt:vector size="20" baseType="lpstr">
      <vt:lpstr>rupeevest_fetch_data</vt:lpstr>
      <vt:lpstr>mutual_fund_list</vt:lpstr>
      <vt:lpstr>added_new_stocks</vt:lpstr>
      <vt:lpstr>mutual_fund_analysis</vt:lpstr>
      <vt:lpstr>large_cap_filter_mf</vt:lpstr>
      <vt:lpstr>mid_cap_filter_mf</vt:lpstr>
      <vt:lpstr>small_cap_filter_mf</vt:lpstr>
      <vt:lpstr>final_portfolio</vt:lpstr>
      <vt:lpstr>fund_status_count</vt:lpstr>
      <vt:lpstr>stock_list</vt:lpstr>
      <vt:lpstr>portfolio_analysis</vt:lpstr>
      <vt:lpstr>large_cap_filter_portfolio</vt:lpstr>
      <vt:lpstr>mid_cap_filter_portfolio</vt:lpstr>
      <vt:lpstr>small_cap_filter_portfolio</vt:lpstr>
      <vt:lpstr>large_cap_filter_mf!Criteria</vt:lpstr>
      <vt:lpstr>large_cap_filter_portfolio!Criteria</vt:lpstr>
      <vt:lpstr>mid_cap_filter_mf!Criteria</vt:lpstr>
      <vt:lpstr>mid_cap_filter_portfolio!Criteria</vt:lpstr>
      <vt:lpstr>small_cap_filter_mf!Criteria</vt:lpstr>
      <vt:lpstr>small_cap_filter_portfolio!Criteria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bhushan desai</dc:creator>
  <cp:keywords/>
  <dc:description/>
  <cp:lastModifiedBy>Abhishek</cp:lastModifiedBy>
  <dcterms:created xsi:type="dcterms:W3CDTF">2022-01-24T07:59:12Z</dcterms:created>
  <dcterms:modified xsi:type="dcterms:W3CDTF">2023-09-01T08:36:09Z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